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15"/>
  <workbookPr/>
  <xr:revisionPtr revIDLastSave="385" documentId="11_0B7012EAF13FC596F131AC416E0482B8C994AAB5" xr6:coauthVersionLast="47" xr6:coauthVersionMax="47" xr10:uidLastSave="{6AEFB82E-D625-4B7B-A985-A69A8C8C1E7F}"/>
  <bookViews>
    <workbookView xWindow="0" yWindow="0" windowWidth="16384" windowHeight="8192" tabRatio="500" activeTab="3" xr2:uid="{00000000-000D-0000-FFFF-FFFF00000000}"/>
  </bookViews>
  <sheets>
    <sheet name="Início" sheetId="1" r:id="rId1"/>
    <sheet name="FCMMG" sheetId="5" r:id="rId2"/>
    <sheet name="UFMG" sheetId="13" r:id="rId3"/>
    <sheet name="UEMG" sheetId="12" r:id="rId4"/>
    <sheet name="ARNALDO" sheetId="2" r:id="rId5"/>
    <sheet name="FADIP" sheetId="3" r:id="rId6"/>
    <sheet name="FAMINAS" sheetId="4" r:id="rId7"/>
    <sheet name="GT-BARREIRO" sheetId="6" r:id="rId8"/>
    <sheet name="GT-CENTRO" sheetId="7" r:id="rId9"/>
    <sheet name="INES GERALDA" sheetId="8" state="hidden" r:id="rId10"/>
    <sheet name="NEWTON PAIVA" sheetId="9" r:id="rId11"/>
    <sheet name="PUC" sheetId="11" state="hidden" r:id="rId12"/>
    <sheet name="UFOP" sheetId="14" r:id="rId13"/>
    <sheet name="UFSJ" sheetId="15" r:id="rId14"/>
    <sheet name="UNIBH" sheetId="16" state="hidden" r:id="rId15"/>
    <sheet name="UNOPAR" sheetId="17" state="hidden" r:id="rId16"/>
    <sheet name="CONHECER" sheetId="10" r:id="rId17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CalcA1ExcelA1"/>
    </ext>
  </extLst>
</workbook>
</file>

<file path=xl/calcChain.xml><?xml version="1.0" encoding="utf-8"?>
<calcChain xmlns="http://schemas.openxmlformats.org/spreadsheetml/2006/main">
  <c r="M4" i="15" l="1"/>
  <c r="M5" i="14"/>
  <c r="M2" i="10"/>
  <c r="M2" i="9"/>
  <c r="M3" i="7"/>
  <c r="M2" i="6"/>
  <c r="M3" i="4"/>
  <c r="M3" i="3"/>
  <c r="M8" i="5"/>
  <c r="M2" i="2"/>
  <c r="M6" i="12"/>
  <c r="M5" i="13"/>
  <c r="F40" i="1"/>
  <c r="F39" i="1"/>
  <c r="F38" i="1"/>
  <c r="G38" i="1" s="1"/>
  <c r="F37" i="1"/>
  <c r="F36" i="1"/>
  <c r="F35" i="1"/>
  <c r="F34" i="1"/>
  <c r="G34" i="1" s="1"/>
  <c r="F33" i="1"/>
  <c r="F32" i="1"/>
  <c r="F31" i="1"/>
  <c r="F30" i="1"/>
  <c r="G30" i="1" s="1"/>
  <c r="F29" i="1"/>
  <c r="F28" i="1"/>
  <c r="F27" i="1"/>
  <c r="F26" i="1"/>
  <c r="F25" i="1"/>
  <c r="G25" i="1" s="1"/>
  <c r="F24" i="1"/>
  <c r="F23" i="1"/>
  <c r="F22" i="1"/>
  <c r="G22" i="1" s="1"/>
  <c r="F21" i="1"/>
  <c r="F20" i="1"/>
  <c r="F19" i="1"/>
  <c r="F18" i="1"/>
  <c r="F17" i="1"/>
  <c r="F16" i="1"/>
  <c r="F15" i="1"/>
  <c r="F14" i="1"/>
  <c r="G14" i="1" s="1"/>
  <c r="F13" i="1"/>
  <c r="F12" i="1"/>
  <c r="G12" i="1" s="1"/>
  <c r="F5" i="1"/>
  <c r="F4" i="1"/>
  <c r="G4" i="1" s="1"/>
  <c r="F3" i="1"/>
  <c r="F2" i="1"/>
  <c r="I4" i="11"/>
  <c r="H6" i="8"/>
  <c r="H5" i="8"/>
  <c r="H4" i="8"/>
</calcChain>
</file>

<file path=xl/sharedStrings.xml><?xml version="1.0" encoding="utf-8"?>
<sst xmlns="http://schemas.openxmlformats.org/spreadsheetml/2006/main" count="719" uniqueCount="204">
  <si>
    <t>I. E</t>
  </si>
  <si>
    <t>CÓDIGO CAMPO DE ESTAGIO</t>
  </si>
  <si>
    <t>PLANO ATIVIDADES 1° SEMESTRE 2026</t>
  </si>
  <si>
    <t>LOCALIZAÇÃO</t>
  </si>
  <si>
    <t>TOTAL DE ESTUDANTES (POR ATIVIDADE)</t>
  </si>
  <si>
    <t>TOTAL DE ESTUDANTES (POR ESCOLA)</t>
  </si>
  <si>
    <t>ARNALDO</t>
  </si>
  <si>
    <t>   CHU-ODO-059</t>
  </si>
  <si>
    <t>ODONTOLOGIA</t>
  </si>
  <si>
    <t>HJXXIII</t>
  </si>
  <si>
    <t>CONHECER</t>
  </si>
  <si>
    <t>TRA – 004</t>
  </si>
  <si>
    <t>RX</t>
  </si>
  <si>
    <t>FADIP</t>
  </si>
  <si>
    <t>MED 073</t>
  </si>
  <si>
    <t>ORTOPEDIA</t>
  </si>
  <si>
    <t>MED-069</t>
  </si>
  <si>
    <t>CIRURGIA</t>
  </si>
  <si>
    <t>FAMINAS</t>
  </si>
  <si>
    <t>MED 077</t>
  </si>
  <si>
    <t>TRAUMA PEDIÁTRICO</t>
  </si>
  <si>
    <t>MED 069</t>
  </si>
  <si>
    <t>UNIDADE CIRÚRGICA 4º ANDAR</t>
  </si>
  <si>
    <t>FCMMG</t>
  </si>
  <si>
    <t>MED-074</t>
  </si>
  <si>
    <t>EMERGÊNCIAS CLÍNICAS</t>
  </si>
  <si>
    <t>MED-071</t>
  </si>
  <si>
    <t xml:space="preserve">Unidade de Neurocirúrgica, Neurologia e Clínica </t>
  </si>
  <si>
    <t>MED-073</t>
  </si>
  <si>
    <t>ORTOPEDIA - EMERGÊNCIA</t>
  </si>
  <si>
    <t>MED-075</t>
  </si>
  <si>
    <t>EMERGÊNCIA - Sala de Politraumatizados</t>
  </si>
  <si>
    <t>MED-077</t>
  </si>
  <si>
    <t>URGÊNCIA PEDIÁTRICA</t>
  </si>
  <si>
    <t>MED-076</t>
  </si>
  <si>
    <t>UPF - Unidade de Pequenos Ferimentos</t>
  </si>
  <si>
    <t>MED-072</t>
  </si>
  <si>
    <t>UTI</t>
  </si>
  <si>
    <t>GT - BARREIRO</t>
  </si>
  <si>
    <t>TEF-056</t>
  </si>
  <si>
    <t>CTI</t>
  </si>
  <si>
    <t>GT - CENTRO</t>
  </si>
  <si>
    <t>TEF-003</t>
  </si>
  <si>
    <t>UNIDADE INTERNAÇÃO 5º E 6º ANDAR</t>
  </si>
  <si>
    <t>NEWTON PAIVA</t>
  </si>
  <si>
    <t>ENF-054</t>
  </si>
  <si>
    <t>UEMG</t>
  </si>
  <si>
    <t>UNIDADE CIRÚRGICA</t>
  </si>
  <si>
    <t>SALA DE EMERGÊNCIA</t>
  </si>
  <si>
    <t xml:space="preserve">POLITRAUMA </t>
  </si>
  <si>
    <t>UNIDADE DE PEQUENOS FERIMENTOS</t>
  </si>
  <si>
    <t>UFMG</t>
  </si>
  <si>
    <t>MED 068</t>
  </si>
  <si>
    <t>TOXICOLOGIA CLÍNICA</t>
  </si>
  <si>
    <t>MED 075</t>
  </si>
  <si>
    <t>POLITRAUMA</t>
  </si>
  <si>
    <t> MED 076</t>
  </si>
  <si>
    <t>UPF - UNIDADE DE PEQUENOS FERIMENTOS</t>
  </si>
  <si>
    <t>MED 079</t>
  </si>
  <si>
    <t>CTQ- CIRURGIA PLÁSTICA</t>
  </si>
  <si>
    <t>UFOP</t>
  </si>
  <si>
    <t>MED 074</t>
  </si>
  <si>
    <t>MED 076</t>
  </si>
  <si>
    <t>UPF</t>
  </si>
  <si>
    <t xml:space="preserve">MED 068 </t>
  </si>
  <si>
    <t>CIATOX TOXICOLOGIA</t>
  </si>
  <si>
    <t>UFSJ</t>
  </si>
  <si>
    <t>PROCESSO SEI</t>
  </si>
  <si>
    <t>UNIDADE</t>
  </si>
  <si>
    <t>CÓDIGO DO CAMPO</t>
  </si>
  <si>
    <t>COORDENAÇÃO DO CAMPO DE ESTÁGIO DO HJXXIII</t>
  </si>
  <si>
    <t xml:space="preserve">RESPONSÁVEL NA INSTITUIÇÃO DE ENSINO </t>
  </si>
  <si>
    <t>E-MAIL DO RESPONSÁVEL DE ENSINO</t>
  </si>
  <si>
    <t>TELEFONE DO RESPONSÁVEL DE ENSINO</t>
  </si>
  <si>
    <t>CAMPO DE ESTÁGIO</t>
  </si>
  <si>
    <t>Nº TOTAL DE ESTUDANTES POR SEMESTRE</t>
  </si>
  <si>
    <t>CARGA HORÁRIA TOTAL POR ESTUDANTE</t>
  </si>
  <si>
    <t>Nº TOTAL DE ESTUDANTES 
1° SEMESTRE / 2026</t>
  </si>
  <si>
    <t>Nº TOTAL DE ESTUDANTES 
2° SEMESTRE / 2026</t>
  </si>
  <si>
    <t>TOTAL DE ESTUDANTES</t>
  </si>
  <si>
    <t>2270.01.0012773/2026-71</t>
  </si>
  <si>
    <t>Samuel Cruz</t>
  </si>
  <si>
    <t>Rodrigo Dutra</t>
  </si>
  <si>
    <t xml:space="preserve"> rodrigo.dutra@cienciasmedicas.mg.edu.br</t>
  </si>
  <si>
    <t>(31)32487285</t>
  </si>
  <si>
    <t>Emergências Clínicas</t>
  </si>
  <si>
    <t>N/A</t>
  </si>
  <si>
    <t>Augusto César</t>
  </si>
  <si>
    <t>(31)32487283</t>
  </si>
  <si>
    <t>Hudson Vieira</t>
  </si>
  <si>
    <t>(31)32487284</t>
  </si>
  <si>
    <t xml:space="preserve"> Ortopedia – Emergência</t>
  </si>
  <si>
    <t>Emergência - Sala de Politraumatizados</t>
  </si>
  <si>
    <t>André Marinho</t>
  </si>
  <si>
    <t>Urgência Pediátrica</t>
  </si>
  <si>
    <t>Bianca Resende</t>
  </si>
  <si>
    <t>(31)32487286</t>
  </si>
  <si>
    <t xml:space="preserve"> </t>
  </si>
  <si>
    <t xml:space="preserve">CAMPO DE ESTÁGIO </t>
  </si>
  <si>
    <t>2270.01.0009424/2026-90</t>
  </si>
  <si>
    <t>Adebal Filho</t>
  </si>
  <si>
    <t xml:space="preserve">Marcus de Andrade </t>
  </si>
  <si>
    <t xml:space="preserve"> andrademufmg@gmail.com   </t>
  </si>
  <si>
    <t>(31) 988053393</t>
  </si>
  <si>
    <t>Rodrigo Muzzi</t>
  </si>
  <si>
    <t>Fábio Rodrigues</t>
  </si>
  <si>
    <t xml:space="preserve"> fabiogontijo1@hotmail.com  </t>
  </si>
  <si>
    <t>(31) 992821471</t>
  </si>
  <si>
    <t>Guilherme Silva</t>
  </si>
  <si>
    <t xml:space="preserve"> drguilhermecanabravauro@gmail.com </t>
  </si>
  <si>
    <t>(31) 991311574</t>
  </si>
  <si>
    <t>Vivian</t>
  </si>
  <si>
    <t>Clarissa Turrer</t>
  </si>
  <si>
    <t xml:space="preserve">clarissa.turrer@gmail.com     </t>
  </si>
  <si>
    <t>(31) 993010840</t>
  </si>
  <si>
    <t>2270.01.0023469/2026-48</t>
  </si>
  <si>
    <t>Cynara Pereira</t>
  </si>
  <si>
    <t xml:space="preserve"> medicina.passos@uemg.br  </t>
  </si>
  <si>
    <t>353529-6015</t>
  </si>
  <si>
    <t>2270.01.0023482/2026-85</t>
  </si>
  <si>
    <t>HJXXIII </t>
  </si>
  <si>
    <t>CHU-ODO-059</t>
  </si>
  <si>
    <t>Marco Túlio Ribeiro</t>
  </si>
  <si>
    <t>Alcione Rimulo</t>
  </si>
  <si>
    <t xml:space="preserve"> freitasribeirom@gmail.com</t>
  </si>
  <si>
    <t>Odontologia</t>
  </si>
  <si>
    <t xml:space="preserve">Nº TOTAL DE ESTUDANTES </t>
  </si>
  <si>
    <t>2270.01.0009421/2026-74</t>
  </si>
  <si>
    <t>Rodrigo Cotta</t>
  </si>
  <si>
    <t xml:space="preserve">rodrigomcotta@hormail.com </t>
  </si>
  <si>
    <t>(31) 988250936</t>
  </si>
  <si>
    <t>Ortopedia</t>
  </si>
  <si>
    <t xml:space="preserve"> dr.rodrigomuzzi@gmail.com</t>
  </si>
  <si>
    <t>(31) 987271821</t>
  </si>
  <si>
    <t xml:space="preserve">Cirurgia </t>
  </si>
  <si>
    <t>2270.01.0017154/2026-27</t>
  </si>
  <si>
    <t xml:space="preserve"> andremarinhoped@gmail.com </t>
  </si>
  <si>
    <t>(31) 991127299</t>
  </si>
  <si>
    <t>Trauma Pediátrico</t>
  </si>
  <si>
    <t>Leonardo Rezende</t>
  </si>
  <si>
    <t xml:space="preserve"> leonardosfrezende@hotmail.com  </t>
  </si>
  <si>
    <t>(31) 984417805</t>
  </si>
  <si>
    <t xml:space="preserve">Unidade Cirúrgica 4° andar </t>
  </si>
  <si>
    <t>2270.01.0009422/2026-47</t>
  </si>
  <si>
    <t>Rafael Gonçalves</t>
  </si>
  <si>
    <t xml:space="preserve"> saudegraubarreiro@gmail.com </t>
  </si>
  <si>
    <t>(31)973224347</t>
  </si>
  <si>
    <t>2270.01.0012768/2026-12</t>
  </si>
  <si>
    <t>HJXXIII – HMAL</t>
  </si>
  <si>
    <t>Elizabeth</t>
  </si>
  <si>
    <t>Hellen Lage</t>
  </si>
  <si>
    <t xml:space="preserve"> bh-centrosaude@grautecnico.com.br </t>
  </si>
  <si>
    <t>(31) 25362280</t>
  </si>
  <si>
    <t>Unidade de internação 5 e 6</t>
  </si>
  <si>
    <t>Glaúcia Pinho</t>
  </si>
  <si>
    <t>INICIO</t>
  </si>
  <si>
    <t>Início</t>
  </si>
  <si>
    <t>quem assina o plano</t>
  </si>
  <si>
    <t>NOME DO CURSO / PROGRAMA DE ESTÁGO</t>
  </si>
  <si>
    <t>Nº TOTAL DE ESTUDANTES POR ANO</t>
  </si>
  <si>
    <t>Nº TOTAL DE ESTUDANTES 
1° SEMESTRE / 2024</t>
  </si>
  <si>
    <t>Nº TOTAL DE ESTUDANTES 
2° SEMESTRE / 2024</t>
  </si>
  <si>
    <t>PLANOS  2º SEMETRE</t>
  </si>
  <si>
    <t>E-MAIL E TELEFONE DO RESPONSÁVEL DA INSTITUIÇÃO DE ENSINO</t>
  </si>
  <si>
    <t>HMAL</t>
  </si>
  <si>
    <t>TEF 003</t>
  </si>
  <si>
    <t>ENFERMAGEM</t>
  </si>
  <si>
    <t>PENDENTE</t>
  </si>
  <si>
    <t>TEF 52</t>
  </si>
  <si>
    <t>UE-A Urgência e emergência adulto</t>
  </si>
  <si>
    <t>OK</t>
  </si>
  <si>
    <t>TEF 056</t>
  </si>
  <si>
    <t>UTI Térreo</t>
  </si>
  <si>
    <t>2270.01.0023483/2026-58</t>
  </si>
  <si>
    <t>Gláucia Pinho</t>
  </si>
  <si>
    <t>Grazyelle Souza</t>
  </si>
  <si>
    <t xml:space="preserve"> grazyelle.souza@newtonpaiva.br </t>
  </si>
  <si>
    <t>(31)996165353</t>
  </si>
  <si>
    <t>UTI – Térreo</t>
  </si>
  <si>
    <t>QUEM ASSINA</t>
  </si>
  <si>
    <t>NOME DO CURSO / PROGRAMA DE ESTÁGIO</t>
  </si>
  <si>
    <t>Nº TOTAL DE ESTUDANTES 
1° SEMESTRE / 2025</t>
  </si>
  <si>
    <t>Nº TOTAL DE ESTUDANTES 
2° SEMESTRE / 2025</t>
  </si>
  <si>
    <t>COMPLEXO HJXXIII/ HMAL</t>
  </si>
  <si>
    <t>ESTÁGIO SUPERVISIONADO IVA</t>
  </si>
  <si>
    <t>2270.01.0017158/2026-16</t>
  </si>
  <si>
    <t>Sávio Siqueira</t>
  </si>
  <si>
    <t xml:space="preserve"> saviolanasiqueira@gmail.com </t>
  </si>
  <si>
    <t>(31) 999837286</t>
  </si>
  <si>
    <t>Alexandre Andrade</t>
  </si>
  <si>
    <t xml:space="preserve"> profalexandrebarbosaandrade@ufop.edu.br  </t>
  </si>
  <si>
    <t>(31) 997977971</t>
  </si>
  <si>
    <t>Sala de Emergência</t>
  </si>
  <si>
    <t xml:space="preserve"> Ciatox Toxicologia</t>
  </si>
  <si>
    <t>2270.01.0009425/2026-63</t>
  </si>
  <si>
    <t>Andressa Zanuncio</t>
  </si>
  <si>
    <t xml:space="preserve"> zandressa@ufsj.edu.br </t>
  </si>
  <si>
    <t>(31) 988318541</t>
  </si>
  <si>
    <t>Politrauma</t>
  </si>
  <si>
    <t>2270.01.0009428/2026-79</t>
  </si>
  <si>
    <t>Maria Inês Abras</t>
  </si>
  <si>
    <t>Samuel Reis</t>
  </si>
  <si>
    <t xml:space="preserve"> coordenaçãoradiologia@conhecerescola.com.br       </t>
  </si>
  <si>
    <t>(31) 993435590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</si>
</sst>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R$&quot;#,##0.00;[Red]&quot;-R$&quot;#,##0.00"/>
  </numFmts>
  <fonts count="24">
    <font>
      <sz val="10"/>
      <name val="Arial"/>
      <family val="2"/>
    </font>
    <font>
      <sz val="10"/>
      <color theme="1"/>
      <name val="Calibri"/>
    </font>
    <font>
      <b/>
      <sz val="10"/>
      <color rgb="FF000000"/>
      <name val="Arial"/>
      <family val="2"/>
    </font>
    <font>
      <u/>
      <sz val="10"/>
      <color rgb="FF0000FF"/>
      <name val="Arial"/>
      <family val="2"/>
    </font>
    <font>
      <u/>
      <sz val="11"/>
      <color rgb="FF0000FF"/>
      <name val="Calibri"/>
    </font>
    <font>
      <sz val="10"/>
      <color rgb="FF000000"/>
      <name val="Arial"/>
      <family val="2"/>
    </font>
    <font>
      <sz val="10"/>
      <color theme="1"/>
      <name val="Arial"/>
      <family val="2"/>
    </font>
    <font>
      <b/>
      <i/>
      <u/>
      <sz val="10"/>
      <color theme="1"/>
      <name val="Arial"/>
      <family val="2"/>
    </font>
    <font>
      <b/>
      <i/>
      <u/>
      <sz val="10"/>
      <color rgb="FFFF0000"/>
      <name val="Arial"/>
      <family val="2"/>
    </font>
    <font>
      <u/>
      <sz val="10"/>
      <color rgb="FF800080"/>
      <name val="Arial"/>
      <family val="2"/>
    </font>
    <font>
      <u/>
      <sz val="11"/>
      <color rgb="FF800080"/>
      <name val="Calibri"/>
    </font>
    <font>
      <b/>
      <u/>
      <sz val="11"/>
      <color rgb="FF0000FF"/>
      <name val="Calibri"/>
    </font>
    <font>
      <b/>
      <sz val="10"/>
      <name val="Arial"/>
      <family val="2"/>
    </font>
    <font>
      <b/>
      <sz val="11"/>
      <color rgb="FF000000"/>
      <name val="Calibri"/>
    </font>
    <font>
      <sz val="11"/>
      <color rgb="FF000000"/>
      <name val="Calibri"/>
    </font>
    <font>
      <b/>
      <i/>
      <u/>
      <sz val="10"/>
      <color theme="1"/>
      <name val="Arial"/>
    </font>
    <font>
      <sz val="10"/>
      <color theme="1"/>
      <name val="Arial"/>
    </font>
    <font>
      <b/>
      <i/>
      <u/>
      <sz val="10"/>
      <color theme="1"/>
      <name val="Calibri"/>
    </font>
    <font>
      <sz val="10"/>
      <name val="Calibri"/>
    </font>
    <font>
      <sz val="11"/>
      <color rgb="FFFF0000"/>
      <name val="Calibri"/>
    </font>
    <font>
      <sz val="11"/>
      <name val="Calibri"/>
    </font>
    <font>
      <sz val="10"/>
      <color rgb="FFFF0000"/>
      <name val="Calibri"/>
    </font>
    <font>
      <b/>
      <sz val="10"/>
      <color theme="1"/>
      <name val="Calibri"/>
    </font>
    <font>
      <b/>
      <sz val="11"/>
      <color rgb="FFFF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D4EA6B"/>
        <bgColor rgb="FFC5E0B4"/>
      </patternFill>
    </fill>
    <fill>
      <patternFill patternType="solid">
        <fgColor rgb="FFFFFFFF"/>
        <bgColor rgb="FFE2E2E2"/>
      </patternFill>
    </fill>
    <fill>
      <patternFill patternType="solid">
        <fgColor rgb="FFFFFF00"/>
        <bgColor rgb="FFFFFF00"/>
      </patternFill>
    </fill>
    <fill>
      <patternFill patternType="solid">
        <fgColor theme="0"/>
        <bgColor indexed="64"/>
      </patternFill>
    </fill>
  </fills>
  <borders count="2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E2E2E2"/>
      </left>
      <right style="thin">
        <color rgb="FFE2E2E2"/>
      </right>
      <top style="thin">
        <color rgb="FFE2E2E2"/>
      </top>
      <bottom style="thin">
        <color rgb="FFE2E2E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1B1B1B"/>
      </left>
      <right style="thin">
        <color rgb="FF1B1B1B"/>
      </right>
      <top style="thin">
        <color rgb="FF1B1B1B"/>
      </top>
      <bottom style="thin">
        <color rgb="FF1B1B1B"/>
      </bottom>
      <diagonal/>
    </border>
    <border>
      <left style="thin">
        <color rgb="FFBAC9D7"/>
      </left>
      <right style="thin">
        <color rgb="FFBAC9D7"/>
      </right>
      <top style="thin">
        <color rgb="FFBAC9D7"/>
      </top>
      <bottom style="thin">
        <color rgb="FFBAC9D7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6C6C6"/>
      </left>
      <right style="thin">
        <color rgb="FFC6C6C6"/>
      </right>
      <top/>
      <bottom style="thin">
        <color rgb="FFC6C6C6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/>
      <right style="thin">
        <color rgb="FFE2E2E2"/>
      </right>
      <top style="thin">
        <color rgb="FFE2E2E2"/>
      </top>
      <bottom style="thin">
        <color rgb="FFE2E2E2"/>
      </bottom>
      <diagonal/>
    </border>
    <border>
      <left style="thin">
        <color rgb="FFE2E2E2"/>
      </left>
      <right/>
      <top style="thin">
        <color rgb="FFE2E2E2"/>
      </top>
      <bottom style="thin">
        <color rgb="FFE2E2E2"/>
      </bottom>
      <diagonal/>
    </border>
    <border>
      <left style="thin">
        <color rgb="FFBAC9D7"/>
      </left>
      <right/>
      <top style="thin">
        <color rgb="FFBAC9D7"/>
      </top>
      <bottom style="thin">
        <color rgb="FFBAC9D7"/>
      </bottom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thin">
        <color rgb="FF1B1B1B"/>
      </left>
      <right/>
      <top style="thin">
        <color rgb="FF1B1B1B"/>
      </top>
      <bottom style="thin">
        <color rgb="FF1B1B1B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2">
    <xf numFmtId="0" fontId="0" fillId="0" borderId="0"/>
    <xf numFmtId="0" fontId="4" fillId="0" borderId="0" applyBorder="0" applyProtection="0">
      <alignment vertical="center"/>
    </xf>
  </cellStyleXfs>
  <cellXfs count="129">
    <xf numFmtId="0" fontId="0" fillId="0" borderId="0" xfId="0"/>
    <xf numFmtId="0" fontId="14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3" fillId="2" borderId="1" xfId="1" applyFon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vertical="center"/>
    </xf>
    <xf numFmtId="0" fontId="5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6" fillId="0" borderId="1" xfId="0" applyFont="1" applyBorder="1" applyAlignment="1">
      <alignment horizontal="center" vertical="center" wrapText="1"/>
    </xf>
    <xf numFmtId="0" fontId="4" fillId="0" borderId="0" xfId="1" applyBorder="1" applyProtection="1">
      <alignment vertical="center"/>
    </xf>
    <xf numFmtId="0" fontId="10" fillId="0" borderId="0" xfId="1" applyFont="1" applyBorder="1" applyProtection="1">
      <alignment vertical="center"/>
    </xf>
    <xf numFmtId="0" fontId="11" fillId="0" borderId="0" xfId="1" applyFont="1" applyBorder="1" applyAlignment="1" applyProtection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2" xfId="0" applyFill="1" applyBorder="1"/>
    <xf numFmtId="0" fontId="0" fillId="3" borderId="2" xfId="0" applyFill="1" applyBorder="1" applyAlignment="1">
      <alignment vertical="center"/>
    </xf>
    <xf numFmtId="0" fontId="13" fillId="3" borderId="3" xfId="0" applyFont="1" applyFill="1" applyBorder="1" applyAlignment="1">
      <alignment horizontal="center" vertical="center" wrapText="1"/>
    </xf>
    <xf numFmtId="0" fontId="14" fillId="3" borderId="3" xfId="0" applyFont="1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0" fillId="3" borderId="0" xfId="0" applyFill="1" applyAlignment="1">
      <alignment vertical="center"/>
    </xf>
    <xf numFmtId="0" fontId="0" fillId="3" borderId="4" xfId="0" applyFill="1" applyBorder="1" applyAlignment="1">
      <alignment vertical="center"/>
    </xf>
    <xf numFmtId="0" fontId="2" fillId="2" borderId="5" xfId="0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0" fillId="0" borderId="5" xfId="0" applyBorder="1" applyAlignment="1">
      <alignment vertical="center"/>
    </xf>
    <xf numFmtId="0" fontId="5" fillId="0" borderId="5" xfId="0" applyFont="1" applyBorder="1" applyAlignment="1">
      <alignment horizontal="center" vertical="center" wrapText="1"/>
    </xf>
    <xf numFmtId="0" fontId="0" fillId="0" borderId="3" xfId="0" applyBorder="1"/>
    <xf numFmtId="0" fontId="14" fillId="0" borderId="3" xfId="0" applyFont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/>
    </xf>
    <xf numFmtId="0" fontId="0" fillId="0" borderId="6" xfId="0" applyBorder="1"/>
    <xf numFmtId="0" fontId="14" fillId="0" borderId="6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right" vertical="center" wrapText="1"/>
    </xf>
    <xf numFmtId="0" fontId="14" fillId="3" borderId="6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164" fontId="14" fillId="0" borderId="0" xfId="0" applyNumberFormat="1" applyFont="1" applyAlignment="1">
      <alignment horizontal="right" vertical="center" wrapText="1"/>
    </xf>
    <xf numFmtId="0" fontId="13" fillId="3" borderId="2" xfId="0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vertical="center"/>
    </xf>
    <xf numFmtId="0" fontId="1" fillId="0" borderId="1" xfId="0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3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vertical="center"/>
    </xf>
    <xf numFmtId="0" fontId="0" fillId="0" borderId="8" xfId="0" applyBorder="1" applyAlignment="1">
      <alignment vertical="center"/>
    </xf>
    <xf numFmtId="164" fontId="23" fillId="0" borderId="0" xfId="0" applyNumberFormat="1" applyFont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0" fillId="3" borderId="0" xfId="0" applyFill="1"/>
    <xf numFmtId="0" fontId="11" fillId="3" borderId="2" xfId="1" applyFont="1" applyFill="1" applyBorder="1" applyAlignment="1" applyProtection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0" fillId="0" borderId="1" xfId="0" applyBorder="1" applyAlignment="1">
      <alignment horizontal="left"/>
    </xf>
    <xf numFmtId="0" fontId="4" fillId="3" borderId="2" xfId="1" applyFill="1" applyBorder="1" applyProtection="1">
      <alignment vertical="center"/>
    </xf>
    <xf numFmtId="0" fontId="0" fillId="3" borderId="2" xfId="0" applyFill="1" applyBorder="1" applyAlignment="1">
      <alignment vertical="center" wrapText="1"/>
    </xf>
    <xf numFmtId="0" fontId="5" fillId="0" borderId="10" xfId="0" applyFont="1" applyBorder="1" applyAlignment="1">
      <alignment horizontal="center" vertical="center" wrapText="1"/>
    </xf>
    <xf numFmtId="0" fontId="0" fillId="0" borderId="9" xfId="0" applyBorder="1" applyAlignment="1">
      <alignment horizontal="center" vertical="center"/>
    </xf>
    <xf numFmtId="0" fontId="5" fillId="0" borderId="9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0" fillId="3" borderId="0" xfId="0" applyFont="1" applyFill="1" applyAlignment="1">
      <alignment horizontal="center" vertical="center" wrapText="1"/>
    </xf>
    <xf numFmtId="0" fontId="18" fillId="3" borderId="0" xfId="0" applyFont="1" applyFill="1" applyAlignment="1">
      <alignment horizontal="center" vertical="center"/>
    </xf>
    <xf numFmtId="0" fontId="17" fillId="3" borderId="11" xfId="0" applyFont="1" applyFill="1" applyBorder="1" applyAlignment="1">
      <alignment vertical="center" wrapText="1"/>
    </xf>
    <xf numFmtId="0" fontId="18" fillId="3" borderId="11" xfId="0" applyFont="1" applyFill="1" applyBorder="1" applyAlignment="1">
      <alignment vertical="center" wrapText="1"/>
    </xf>
    <xf numFmtId="0" fontId="0" fillId="0" borderId="10" xfId="0" applyBorder="1" applyAlignment="1">
      <alignment vertical="center"/>
    </xf>
    <xf numFmtId="0" fontId="14" fillId="0" borderId="10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/>
    </xf>
    <xf numFmtId="0" fontId="0" fillId="0" borderId="9" xfId="0" applyBorder="1" applyAlignment="1">
      <alignment vertical="center"/>
    </xf>
    <xf numFmtId="0" fontId="14" fillId="0" borderId="9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 wrapText="1"/>
    </xf>
    <xf numFmtId="0" fontId="0" fillId="0" borderId="12" xfId="0" applyBorder="1"/>
    <xf numFmtId="0" fontId="0" fillId="0" borderId="12" xfId="0" applyBorder="1" applyAlignment="1">
      <alignment vertical="center"/>
    </xf>
    <xf numFmtId="0" fontId="2" fillId="2" borderId="9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7" fillId="3" borderId="7" xfId="0" applyFont="1" applyFill="1" applyBorder="1" applyAlignment="1">
      <alignment vertical="center" wrapText="1"/>
    </xf>
    <xf numFmtId="164" fontId="8" fillId="3" borderId="7" xfId="0" applyNumberFormat="1" applyFont="1" applyFill="1" applyBorder="1" applyAlignment="1">
      <alignment vertical="center" wrapText="1"/>
    </xf>
    <xf numFmtId="0" fontId="6" fillId="0" borderId="7" xfId="0" applyFont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vertical="center"/>
    </xf>
    <xf numFmtId="0" fontId="2" fillId="5" borderId="10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0" fillId="3" borderId="13" xfId="0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0" fillId="3" borderId="15" xfId="0" applyFill="1" applyBorder="1" applyAlignment="1">
      <alignment vertical="center"/>
    </xf>
    <xf numFmtId="0" fontId="22" fillId="0" borderId="9" xfId="0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2" fillId="5" borderId="0" xfId="0" applyFont="1" applyFill="1" applyAlignment="1">
      <alignment horizontal="center" vertical="center" wrapText="1"/>
    </xf>
    <xf numFmtId="0" fontId="14" fillId="3" borderId="16" xfId="0" applyFont="1" applyFill="1" applyBorder="1" applyAlignment="1">
      <alignment horizontal="center" vertical="center" wrapText="1"/>
    </xf>
    <xf numFmtId="0" fontId="0" fillId="5" borderId="9" xfId="0" applyFill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5" borderId="0" xfId="0" applyFill="1" applyAlignment="1">
      <alignment vertical="center"/>
    </xf>
    <xf numFmtId="0" fontId="0" fillId="5" borderId="20" xfId="0" applyFill="1" applyBorder="1" applyAlignment="1">
      <alignment vertical="center"/>
    </xf>
    <xf numFmtId="0" fontId="6" fillId="0" borderId="21" xfId="0" applyFont="1" applyBorder="1" applyAlignment="1">
      <alignment horizontal="center" vertical="center"/>
    </xf>
    <xf numFmtId="0" fontId="0" fillId="5" borderId="14" xfId="0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0" fillId="0" borderId="19" xfId="0" applyBorder="1" applyAlignment="1">
      <alignment vertical="center"/>
    </xf>
    <xf numFmtId="0" fontId="2" fillId="5" borderId="14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 applyAlignment="1">
      <alignment vertical="center" wrapText="1"/>
    </xf>
    <xf numFmtId="0" fontId="22" fillId="0" borderId="1" xfId="0" applyFont="1" applyBorder="1" applyAlignment="1">
      <alignment horizontal="center" vertical="center"/>
    </xf>
    <xf numFmtId="164" fontId="13" fillId="0" borderId="0" xfId="0" applyNumberFormat="1" applyFont="1" applyAlignment="1">
      <alignment horizontal="center" vertical="center" wrapText="1"/>
    </xf>
    <xf numFmtId="0" fontId="12" fillId="3" borderId="2" xfId="0" applyFont="1" applyFill="1" applyBorder="1" applyAlignment="1">
      <alignment horizontal="center" vertical="center"/>
    </xf>
    <xf numFmtId="0" fontId="2" fillId="2" borderId="22" xfId="0" applyFont="1" applyFill="1" applyBorder="1" applyAlignment="1">
      <alignment horizontal="center" vertical="center" wrapText="1"/>
    </xf>
    <xf numFmtId="0" fontId="0" fillId="0" borderId="22" xfId="0" applyBorder="1"/>
    <xf numFmtId="0" fontId="0" fillId="0" borderId="14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3" fillId="2" borderId="1" xfId="1" applyFont="1" applyFill="1" applyBorder="1" applyAlignment="1" applyProtection="1">
      <alignment vertical="center"/>
    </xf>
    <xf numFmtId="0" fontId="9" fillId="2" borderId="1" xfId="1" applyFont="1" applyFill="1" applyBorder="1" applyAlignment="1" applyProtection="1">
      <alignment vertical="center"/>
    </xf>
  </cellXfs>
  <cellStyles count="2">
    <cellStyle name="Hiperlink" xfId="1" builtinId="8"/>
    <cellStyle name="Normal" xfId="0" builtinId="0"/>
  </cellStyles>
  <dxfs count="3">
    <dxf>
      <font>
        <b/>
        <i val="0"/>
        <color rgb="FF00000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ill>
        <patternFill>
          <bgColor theme="9" tint="0.5999938962981048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2E6A33"/>
      <rgbColor rgb="FF000080"/>
      <rgbColor rgb="FF808000"/>
      <rgbColor rgb="FF800080"/>
      <rgbColor rgb="FF008080"/>
      <rgbColor rgb="FFC6C6C6"/>
      <rgbColor rgb="FF778899"/>
      <rgbColor rgb="FF7BB2DD"/>
      <rgbColor rgb="FFB11E51"/>
      <rgbColor rgb="FFCCCCCC"/>
      <rgbColor rgb="FFE2E2E2"/>
      <rgbColor rgb="FF660066"/>
      <rgbColor rgb="FFEF8EA0"/>
      <rgbColor rgb="FF0061B1"/>
      <rgbColor rgb="FFBAC9D7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DDDDDD"/>
      <rgbColor rgb="FFC5E0B4"/>
      <rgbColor rgb="FFD4EA6B"/>
      <rgbColor rgb="FFB1C9EA"/>
      <rgbColor rgb="FFAED09A"/>
      <rgbColor rgb="FFB7A4C7"/>
      <rgbColor rgb="FFF4DCE1"/>
      <rgbColor rgb="FF3366FF"/>
      <rgbColor rgb="FF33CCCC"/>
      <rgbColor rgb="FF89B944"/>
      <rgbColor rgb="FFF4BD3E"/>
      <rgbColor rgb="FFFF9900"/>
      <rgbColor rgb="FFFF6600"/>
      <rgbColor rgb="FF666699"/>
      <rgbColor rgb="FFB2B2B2"/>
      <rgbColor rgb="FF003366"/>
      <rgbColor rgb="FF339966"/>
      <rgbColor rgb="FF003300"/>
      <rgbColor rgb="FF333300"/>
      <rgbColor rgb="FF993300"/>
      <rgbColor rgb="FF993366"/>
      <rgbColor rgb="FF5E3383"/>
      <rgbColor rgb="FF1B1B1B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78899"/>
  </sheetPr>
  <dimension ref="A1:G41"/>
  <sheetViews>
    <sheetView zoomScaleNormal="100" workbookViewId="0">
      <selection activeCell="D42" sqref="D42:D43"/>
    </sheetView>
  </sheetViews>
  <sheetFormatPr defaultColWidth="11.5703125" defaultRowHeight="12.75"/>
  <cols>
    <col min="1" max="1" width="3.140625" style="5" customWidth="1"/>
    <col min="2" max="3" width="16.7109375" style="5" customWidth="1"/>
    <col min="4" max="4" width="23.42578125" style="5" customWidth="1"/>
    <col min="5" max="5" width="33.5703125" style="5" customWidth="1"/>
    <col min="6" max="6" width="21.28515625" customWidth="1"/>
    <col min="7" max="7" width="19.5703125" customWidth="1"/>
  </cols>
  <sheetData>
    <row r="1" spans="1:7" ht="38.1" customHeight="1">
      <c r="B1" s="6" t="s">
        <v>0</v>
      </c>
      <c r="C1" s="6" t="s">
        <v>1</v>
      </c>
      <c r="D1" s="6" t="s">
        <v>2</v>
      </c>
      <c r="E1" s="88" t="s">
        <v>3</v>
      </c>
      <c r="F1" s="122" t="s">
        <v>4</v>
      </c>
      <c r="G1" s="84" t="s">
        <v>5</v>
      </c>
    </row>
    <row r="2" spans="1:7">
      <c r="A2" s="7">
        <v>1</v>
      </c>
      <c r="B2" s="3" t="s">
        <v>6</v>
      </c>
      <c r="C2" s="8" t="s">
        <v>7</v>
      </c>
      <c r="D2" s="8" t="s">
        <v>8</v>
      </c>
      <c r="E2" s="89" t="s">
        <v>9</v>
      </c>
      <c r="F2" s="123">
        <f>ARNALDO!I2</f>
        <v>3</v>
      </c>
      <c r="G2" s="65">
        <v>3</v>
      </c>
    </row>
    <row r="3" spans="1:7">
      <c r="A3" s="4">
        <v>2</v>
      </c>
      <c r="B3" s="3" t="s">
        <v>10</v>
      </c>
      <c r="C3" s="10" t="s">
        <v>11</v>
      </c>
      <c r="D3" s="10" t="s">
        <v>12</v>
      </c>
      <c r="E3" s="89" t="s">
        <v>9</v>
      </c>
      <c r="F3" s="123">
        <f>CONHECER!I2</f>
        <v>12</v>
      </c>
      <c r="G3" s="65">
        <v>12</v>
      </c>
    </row>
    <row r="4" spans="1:7">
      <c r="A4" s="116">
        <v>3</v>
      </c>
      <c r="B4" s="127" t="s">
        <v>13</v>
      </c>
      <c r="C4" s="8" t="s">
        <v>14</v>
      </c>
      <c r="D4" s="8" t="s">
        <v>15</v>
      </c>
      <c r="E4" s="89" t="s">
        <v>9</v>
      </c>
      <c r="F4" s="123">
        <f>FADIP!I2</f>
        <v>27</v>
      </c>
      <c r="G4" s="124">
        <f>SUM(F4:F5)</f>
        <v>54</v>
      </c>
    </row>
    <row r="5" spans="1:7">
      <c r="A5" s="116"/>
      <c r="B5" s="127" t="s">
        <v>13</v>
      </c>
      <c r="C5" s="8" t="s">
        <v>16</v>
      </c>
      <c r="D5" s="8" t="s">
        <v>17</v>
      </c>
      <c r="E5" s="89" t="s">
        <v>9</v>
      </c>
      <c r="F5" s="123">
        <f>FADIP!I3</f>
        <v>27</v>
      </c>
      <c r="G5" s="125"/>
    </row>
    <row r="6" spans="1:7" ht="12.75" hidden="1" customHeight="1">
      <c r="A6" s="116"/>
      <c r="B6" s="127"/>
      <c r="C6" s="8"/>
      <c r="D6" s="11"/>
      <c r="E6" s="90"/>
      <c r="F6" s="123"/>
      <c r="G6" s="65"/>
    </row>
    <row r="7" spans="1:7" ht="12.75" hidden="1" customHeight="1">
      <c r="A7" s="116"/>
      <c r="B7" s="127"/>
      <c r="C7" s="8"/>
      <c r="D7" s="11"/>
      <c r="E7" s="90"/>
      <c r="F7" s="123"/>
      <c r="G7" s="65"/>
    </row>
    <row r="8" spans="1:7" ht="12.75" hidden="1" customHeight="1">
      <c r="A8" s="116"/>
      <c r="B8" s="127"/>
      <c r="C8" s="8"/>
      <c r="D8" s="11"/>
      <c r="E8" s="90"/>
      <c r="F8" s="123"/>
      <c r="G8" s="65"/>
    </row>
    <row r="9" spans="1:7" ht="12.75" hidden="1" customHeight="1">
      <c r="A9" s="116"/>
      <c r="B9" s="127"/>
      <c r="C9" s="8"/>
      <c r="D9" s="11"/>
      <c r="E9" s="91"/>
      <c r="F9" s="123"/>
      <c r="G9" s="65"/>
    </row>
    <row r="10" spans="1:7" ht="12.75" hidden="1" customHeight="1">
      <c r="A10" s="116"/>
      <c r="B10" s="127"/>
      <c r="C10" s="8"/>
      <c r="D10" s="11"/>
      <c r="E10" s="90"/>
      <c r="F10" s="123"/>
      <c r="G10" s="65"/>
    </row>
    <row r="11" spans="1:7" ht="12.75" hidden="1" customHeight="1">
      <c r="A11" s="116"/>
      <c r="B11" s="127"/>
      <c r="C11" s="8"/>
      <c r="D11" s="11"/>
      <c r="E11" s="90"/>
      <c r="F11" s="123"/>
      <c r="G11" s="65"/>
    </row>
    <row r="12" spans="1:7" ht="21.6" customHeight="1">
      <c r="A12" s="116">
        <v>4</v>
      </c>
      <c r="B12" s="127" t="s">
        <v>18</v>
      </c>
      <c r="C12" s="8" t="s">
        <v>19</v>
      </c>
      <c r="D12" s="8" t="s">
        <v>20</v>
      </c>
      <c r="E12" s="89" t="s">
        <v>9</v>
      </c>
      <c r="F12" s="123">
        <f>FAMINAS!I2</f>
        <v>99</v>
      </c>
      <c r="G12" s="124">
        <f>SUM(F12:F13)</f>
        <v>171</v>
      </c>
    </row>
    <row r="13" spans="1:7" ht="35.25" customHeight="1">
      <c r="A13" s="116"/>
      <c r="B13" s="127" t="s">
        <v>18</v>
      </c>
      <c r="C13" s="8" t="s">
        <v>21</v>
      </c>
      <c r="D13" s="8" t="s">
        <v>22</v>
      </c>
      <c r="E13" s="89" t="s">
        <v>9</v>
      </c>
      <c r="F13" s="123">
        <f>FAMINAS!I3</f>
        <v>72</v>
      </c>
      <c r="G13" s="125"/>
    </row>
    <row r="14" spans="1:7" ht="22.35" customHeight="1">
      <c r="A14" s="117">
        <v>5</v>
      </c>
      <c r="B14" s="128" t="s">
        <v>23</v>
      </c>
      <c r="C14" s="8" t="s">
        <v>24</v>
      </c>
      <c r="D14" s="8" t="s">
        <v>25</v>
      </c>
      <c r="E14" s="89" t="s">
        <v>9</v>
      </c>
      <c r="F14" s="123">
        <f>FCMMG!I2</f>
        <v>94</v>
      </c>
      <c r="G14" s="124">
        <f>SUM(F14:F20)</f>
        <v>888</v>
      </c>
    </row>
    <row r="15" spans="1:7" ht="44.85" customHeight="1">
      <c r="A15" s="117"/>
      <c r="B15" s="128" t="s">
        <v>23</v>
      </c>
      <c r="C15" s="8" t="s">
        <v>26</v>
      </c>
      <c r="D15" s="8" t="s">
        <v>27</v>
      </c>
      <c r="E15" s="89" t="s">
        <v>9</v>
      </c>
      <c r="F15" s="123">
        <f>FCMMG!I3</f>
        <v>200</v>
      </c>
      <c r="G15" s="126"/>
    </row>
    <row r="16" spans="1:7" ht="18.600000000000001" customHeight="1">
      <c r="A16" s="117"/>
      <c r="B16" s="128" t="s">
        <v>23</v>
      </c>
      <c r="C16" s="8" t="s">
        <v>28</v>
      </c>
      <c r="D16" s="8" t="s">
        <v>29</v>
      </c>
      <c r="E16" s="89" t="s">
        <v>9</v>
      </c>
      <c r="F16" s="123">
        <f>FCMMG!I4</f>
        <v>220</v>
      </c>
      <c r="G16" s="126"/>
    </row>
    <row r="17" spans="1:7" ht="33.6" customHeight="1">
      <c r="A17" s="117"/>
      <c r="B17" s="128" t="s">
        <v>23</v>
      </c>
      <c r="C17" s="8" t="s">
        <v>30</v>
      </c>
      <c r="D17" s="8" t="s">
        <v>31</v>
      </c>
      <c r="E17" s="89" t="s">
        <v>9</v>
      </c>
      <c r="F17" s="123">
        <f>FCMMG!I5</f>
        <v>155</v>
      </c>
      <c r="G17" s="126"/>
    </row>
    <row r="18" spans="1:7" ht="22.35" customHeight="1">
      <c r="A18" s="117"/>
      <c r="B18" s="128" t="s">
        <v>23</v>
      </c>
      <c r="C18" s="8" t="s">
        <v>32</v>
      </c>
      <c r="D18" s="8" t="s">
        <v>33</v>
      </c>
      <c r="E18" s="89" t="s">
        <v>9</v>
      </c>
      <c r="F18" s="123">
        <f>FCMMG!I6</f>
        <v>14</v>
      </c>
      <c r="G18" s="126"/>
    </row>
    <row r="19" spans="1:7" ht="32.1" customHeight="1">
      <c r="A19" s="117"/>
      <c r="B19" s="128" t="s">
        <v>23</v>
      </c>
      <c r="C19" s="8" t="s">
        <v>34</v>
      </c>
      <c r="D19" s="13" t="s">
        <v>35</v>
      </c>
      <c r="E19" s="89" t="s">
        <v>9</v>
      </c>
      <c r="F19" s="123">
        <f>FCMMG!I7</f>
        <v>85</v>
      </c>
      <c r="G19" s="126"/>
    </row>
    <row r="20" spans="1:7" ht="22.35" customHeight="1">
      <c r="A20" s="117"/>
      <c r="B20" s="128" t="s">
        <v>23</v>
      </c>
      <c r="C20" s="8" t="s">
        <v>36</v>
      </c>
      <c r="D20" s="8" t="s">
        <v>37</v>
      </c>
      <c r="E20" s="89" t="s">
        <v>9</v>
      </c>
      <c r="F20" s="123">
        <f>FCMMG!I8</f>
        <v>120</v>
      </c>
      <c r="G20" s="125"/>
    </row>
    <row r="21" spans="1:7">
      <c r="A21" s="5">
        <v>6</v>
      </c>
      <c r="B21" s="3" t="s">
        <v>38</v>
      </c>
      <c r="C21" s="8" t="s">
        <v>39</v>
      </c>
      <c r="D21" s="8" t="s">
        <v>40</v>
      </c>
      <c r="E21" s="89" t="s">
        <v>9</v>
      </c>
      <c r="F21" s="123">
        <f>'GT-BARREIRO'!I2</f>
        <v>36</v>
      </c>
      <c r="G21" s="65">
        <v>36</v>
      </c>
    </row>
    <row r="22" spans="1:7" ht="33.75" customHeight="1">
      <c r="A22" s="5">
        <v>7</v>
      </c>
      <c r="B22" s="127" t="s">
        <v>41</v>
      </c>
      <c r="C22" s="8" t="s">
        <v>42</v>
      </c>
      <c r="D22" s="8" t="s">
        <v>43</v>
      </c>
      <c r="E22" s="89" t="s">
        <v>9</v>
      </c>
      <c r="F22" s="123">
        <f>'GT-CENTRO'!I2</f>
        <v>54</v>
      </c>
      <c r="G22" s="124">
        <f>SUM(F22:F23)</f>
        <v>104</v>
      </c>
    </row>
    <row r="23" spans="1:7">
      <c r="B23" s="127" t="s">
        <v>41</v>
      </c>
      <c r="C23" s="8" t="s">
        <v>39</v>
      </c>
      <c r="D23" s="8" t="s">
        <v>40</v>
      </c>
      <c r="E23" s="89" t="s">
        <v>9</v>
      </c>
      <c r="F23" s="123">
        <f>'GT-CENTRO'!I3</f>
        <v>50</v>
      </c>
      <c r="G23" s="125"/>
    </row>
    <row r="24" spans="1:7">
      <c r="A24" s="5">
        <v>9</v>
      </c>
      <c r="B24" s="3" t="s">
        <v>44</v>
      </c>
      <c r="C24" s="10" t="s">
        <v>45</v>
      </c>
      <c r="D24" s="10" t="s">
        <v>37</v>
      </c>
      <c r="E24" s="89" t="s">
        <v>9</v>
      </c>
      <c r="F24" s="123">
        <f>'NEWTON PAIVA'!I2</f>
        <v>18</v>
      </c>
      <c r="G24" s="65">
        <v>18</v>
      </c>
    </row>
    <row r="25" spans="1:7" ht="16.350000000000001" customHeight="1">
      <c r="A25" s="117">
        <v>11</v>
      </c>
      <c r="B25" s="127" t="s">
        <v>46</v>
      </c>
      <c r="C25" s="8" t="s">
        <v>16</v>
      </c>
      <c r="D25" s="8" t="s">
        <v>47</v>
      </c>
      <c r="E25" s="89" t="s">
        <v>9</v>
      </c>
      <c r="F25" s="123">
        <f>UEMG!I2</f>
        <v>3</v>
      </c>
      <c r="G25" s="124">
        <f>SUM(F25:F29)</f>
        <v>15</v>
      </c>
    </row>
    <row r="26" spans="1:7" ht="16.350000000000001" customHeight="1">
      <c r="A26" s="117"/>
      <c r="B26" s="127" t="s">
        <v>46</v>
      </c>
      <c r="C26" s="8" t="s">
        <v>28</v>
      </c>
      <c r="D26" s="8" t="s">
        <v>15</v>
      </c>
      <c r="E26" s="89" t="s">
        <v>9</v>
      </c>
      <c r="F26" s="123">
        <f>UEMG!I3</f>
        <v>3</v>
      </c>
      <c r="G26" s="126"/>
    </row>
    <row r="27" spans="1:7" ht="20.85" customHeight="1">
      <c r="A27" s="117"/>
      <c r="B27" s="127" t="s">
        <v>46</v>
      </c>
      <c r="C27" s="8" t="s">
        <v>24</v>
      </c>
      <c r="D27" s="8" t="s">
        <v>48</v>
      </c>
      <c r="E27" s="89" t="s">
        <v>9</v>
      </c>
      <c r="F27" s="123">
        <f>UEMG!I4</f>
        <v>3</v>
      </c>
      <c r="G27" s="126"/>
    </row>
    <row r="28" spans="1:7" ht="21.6" customHeight="1">
      <c r="A28" s="117"/>
      <c r="B28" s="127" t="s">
        <v>46</v>
      </c>
      <c r="C28" s="8" t="s">
        <v>30</v>
      </c>
      <c r="D28" s="8" t="s">
        <v>49</v>
      </c>
      <c r="E28" s="89" t="s">
        <v>9</v>
      </c>
      <c r="F28" s="123">
        <f>UEMG!I5</f>
        <v>3</v>
      </c>
      <c r="G28" s="126"/>
    </row>
    <row r="29" spans="1:7" ht="54.75" customHeight="1">
      <c r="A29" s="117"/>
      <c r="B29" s="127" t="s">
        <v>46</v>
      </c>
      <c r="C29" s="8" t="s">
        <v>34</v>
      </c>
      <c r="D29" s="8" t="s">
        <v>50</v>
      </c>
      <c r="E29" s="89" t="s">
        <v>9</v>
      </c>
      <c r="F29" s="123">
        <f>UEMG!I6</f>
        <v>3</v>
      </c>
      <c r="G29" s="125"/>
    </row>
    <row r="30" spans="1:7" ht="24.6" customHeight="1">
      <c r="A30" s="117">
        <v>12</v>
      </c>
      <c r="B30" s="128" t="s">
        <v>51</v>
      </c>
      <c r="C30" s="8" t="s">
        <v>52</v>
      </c>
      <c r="D30" s="8" t="s">
        <v>53</v>
      </c>
      <c r="E30" s="89" t="s">
        <v>9</v>
      </c>
      <c r="F30" s="123">
        <f>UFMG!I2</f>
        <v>24</v>
      </c>
      <c r="G30" s="124">
        <f>SUM(F30:F33)</f>
        <v>304</v>
      </c>
    </row>
    <row r="31" spans="1:7" ht="23.85" customHeight="1">
      <c r="A31" s="117"/>
      <c r="B31" s="128" t="s">
        <v>51</v>
      </c>
      <c r="C31" s="8" t="s">
        <v>54</v>
      </c>
      <c r="D31" s="8" t="s">
        <v>55</v>
      </c>
      <c r="E31" s="89" t="s">
        <v>9</v>
      </c>
      <c r="F31" s="123">
        <f>UFMG!I3</f>
        <v>160</v>
      </c>
      <c r="G31" s="126"/>
    </row>
    <row r="32" spans="1:7" ht="63" customHeight="1">
      <c r="A32" s="117"/>
      <c r="B32" s="128" t="s">
        <v>51</v>
      </c>
      <c r="C32" s="8" t="s">
        <v>56</v>
      </c>
      <c r="D32" s="8" t="s">
        <v>57</v>
      </c>
      <c r="E32" s="89" t="s">
        <v>9</v>
      </c>
      <c r="F32" s="123">
        <f>UFMG!I4</f>
        <v>100</v>
      </c>
      <c r="G32" s="126"/>
    </row>
    <row r="33" spans="1:7" ht="23.1" customHeight="1">
      <c r="A33" s="117"/>
      <c r="B33" s="128" t="s">
        <v>51</v>
      </c>
      <c r="C33" s="8" t="s">
        <v>58</v>
      </c>
      <c r="D33" s="8" t="s">
        <v>59</v>
      </c>
      <c r="E33" s="89" t="s">
        <v>9</v>
      </c>
      <c r="F33" s="123">
        <f>UFMG!I5</f>
        <v>20</v>
      </c>
      <c r="G33" s="125"/>
    </row>
    <row r="34" spans="1:7" ht="19.350000000000001" customHeight="1">
      <c r="A34" s="116">
        <v>13</v>
      </c>
      <c r="B34" s="127" t="s">
        <v>60</v>
      </c>
      <c r="C34" s="8" t="s">
        <v>14</v>
      </c>
      <c r="D34" s="8" t="s">
        <v>15</v>
      </c>
      <c r="E34" s="89" t="s">
        <v>9</v>
      </c>
      <c r="F34" s="123">
        <f>UFOP!I2</f>
        <v>8</v>
      </c>
      <c r="G34" s="124">
        <f>SUM(F34:F37)</f>
        <v>32</v>
      </c>
    </row>
    <row r="35" spans="1:7" ht="20.85" customHeight="1">
      <c r="A35" s="116"/>
      <c r="B35" s="127" t="s">
        <v>60</v>
      </c>
      <c r="C35" s="8" t="s">
        <v>61</v>
      </c>
      <c r="D35" s="8" t="s">
        <v>48</v>
      </c>
      <c r="E35" s="89" t="s">
        <v>9</v>
      </c>
      <c r="F35" s="123">
        <f>UFOP!I3</f>
        <v>8</v>
      </c>
      <c r="G35" s="126"/>
    </row>
    <row r="36" spans="1:7" ht="16.350000000000001" customHeight="1">
      <c r="A36" s="116"/>
      <c r="B36" s="127" t="s">
        <v>60</v>
      </c>
      <c r="C36" s="8" t="s">
        <v>62</v>
      </c>
      <c r="D36" s="8" t="s">
        <v>63</v>
      </c>
      <c r="E36" s="89" t="s">
        <v>9</v>
      </c>
      <c r="F36" s="123">
        <f>UFOP!I4</f>
        <v>8</v>
      </c>
      <c r="G36" s="126"/>
    </row>
    <row r="37" spans="1:7" ht="18.600000000000001" customHeight="1">
      <c r="A37" s="116"/>
      <c r="B37" s="127" t="s">
        <v>60</v>
      </c>
      <c r="C37" s="8" t="s">
        <v>64</v>
      </c>
      <c r="D37" s="8" t="s">
        <v>65</v>
      </c>
      <c r="E37" s="89" t="s">
        <v>9</v>
      </c>
      <c r="F37" s="123">
        <f>UFOP!I5</f>
        <v>8</v>
      </c>
      <c r="G37" s="125"/>
    </row>
    <row r="38" spans="1:7">
      <c r="A38" s="116">
        <v>14</v>
      </c>
      <c r="B38" s="127" t="s">
        <v>66</v>
      </c>
      <c r="C38" s="8" t="s">
        <v>30</v>
      </c>
      <c r="D38" s="8" t="s">
        <v>49</v>
      </c>
      <c r="E38" s="89" t="s">
        <v>9</v>
      </c>
      <c r="F38" s="123">
        <f>UFSJ!I2</f>
        <v>3</v>
      </c>
      <c r="G38" s="124">
        <f>SUM(F38:F40)</f>
        <v>9</v>
      </c>
    </row>
    <row r="39" spans="1:7" ht="24">
      <c r="A39" s="116"/>
      <c r="B39" s="127" t="s">
        <v>66</v>
      </c>
      <c r="C39" s="8" t="s">
        <v>34</v>
      </c>
      <c r="D39" s="8" t="s">
        <v>35</v>
      </c>
      <c r="E39" s="89" t="s">
        <v>9</v>
      </c>
      <c r="F39" s="123">
        <f>UFSJ!I3</f>
        <v>3</v>
      </c>
      <c r="G39" s="126"/>
    </row>
    <row r="40" spans="1:7">
      <c r="A40" s="116"/>
      <c r="B40" s="127" t="s">
        <v>66</v>
      </c>
      <c r="C40" s="8" t="s">
        <v>32</v>
      </c>
      <c r="D40" s="8" t="s">
        <v>20</v>
      </c>
      <c r="E40" s="89" t="s">
        <v>9</v>
      </c>
      <c r="F40" s="123">
        <f>UFSJ!I4</f>
        <v>3</v>
      </c>
      <c r="G40" s="125"/>
    </row>
    <row r="41" spans="1:7" ht="13.9">
      <c r="B41" s="15"/>
      <c r="C41" s="15"/>
    </row>
  </sheetData>
  <mergeCells count="15">
    <mergeCell ref="G30:G33"/>
    <mergeCell ref="G34:G37"/>
    <mergeCell ref="G38:G40"/>
    <mergeCell ref="G4:G5"/>
    <mergeCell ref="G12:G13"/>
    <mergeCell ref="G14:G20"/>
    <mergeCell ref="G22:G23"/>
    <mergeCell ref="G25:G29"/>
    <mergeCell ref="A4:A11"/>
    <mergeCell ref="A12:A13"/>
    <mergeCell ref="A14:A20"/>
    <mergeCell ref="A34:A37"/>
    <mergeCell ref="A38:A40"/>
    <mergeCell ref="A25:A29"/>
    <mergeCell ref="A30:A33"/>
  </mergeCells>
  <conditionalFormatting sqref="D9">
    <cfRule type="cellIs" dxfId="2" priority="2" operator="equal">
      <formula>#REF!</formula>
    </cfRule>
    <cfRule type="cellIs" dxfId="1" priority="3" operator="equal">
      <formula>#REF!</formula>
    </cfRule>
    <cfRule type="cellIs" dxfId="0" priority="4" operator="equal">
      <formula>#REF!</formula>
    </cfRule>
  </conditionalFormatting>
  <hyperlinks>
    <hyperlink ref="B2" location="ARNALDO!A1" display="ARNALDO" xr:uid="{00000000-0004-0000-0000-000000000000}"/>
    <hyperlink ref="B4" location="FADIP!A1" display="FADIP" xr:uid="{00000000-0004-0000-0000-000001000000}"/>
    <hyperlink ref="B12" location="FAMINAS!A1" display="FAMINAS" xr:uid="{00000000-0004-0000-0000-000002000000}"/>
    <hyperlink ref="B14" location="FCMMG!A1" display="FCMMG" xr:uid="{00000000-0004-0000-0000-000003000000}"/>
    <hyperlink ref="B21" location="'GT - BARREIRO'!A1" display="GT - BARREIRO" xr:uid="{00000000-0004-0000-0000-000004000000}"/>
    <hyperlink ref="B22" location="'GT - CENTRO'!A1" display="GT - CENTRO" xr:uid="{00000000-0004-0000-0000-000005000000}"/>
    <hyperlink ref="B24" location="'NEWTON PAIVA'!A1" display="NEWTON PAIVA" xr:uid="{00000000-0004-0000-0000-000006000000}"/>
    <hyperlink ref="B25" location="UEMG!A1" display="UEMG" xr:uid="{00000000-0004-0000-0000-000007000000}"/>
    <hyperlink ref="B30" location="UFMG!A1" display="UFMG" xr:uid="{00000000-0004-0000-0000-000008000000}"/>
    <hyperlink ref="B34" location="UFOP!A1" display="UFOP" xr:uid="{00000000-0004-0000-0000-000009000000}"/>
    <hyperlink ref="B38" location="UFSJ!A1" display="UFSJ" xr:uid="{00000000-0004-0000-0000-00000A000000}"/>
    <hyperlink ref="B5" location="FADIP!A1" display="FADIP" xr:uid="{A795E2B8-90F1-460E-B019-9FBB92A6B60D}"/>
    <hyperlink ref="B13" location="FAMINAS!A1" display="FAMINAS" xr:uid="{08C0E9B5-57B4-4023-96F3-4772F240AA84}"/>
    <hyperlink ref="B15:B20" location="FCMMG!A1" display="FCMMG" xr:uid="{0810B79A-4444-458E-B16C-8D1E12089470}"/>
    <hyperlink ref="B23" location="'GT - CENTRO'!A1" display="GT - CENTRO" xr:uid="{BF91D856-4B48-4A83-BDE2-92D5ECF3100A}"/>
    <hyperlink ref="B26:B29" location="UEMG!A1" display="UEMG" xr:uid="{AA57CC8D-C027-4C3C-9198-7DB61A72E85E}"/>
    <hyperlink ref="B31:B33" location="UFMG!A1" display="UFMG" xr:uid="{395FF0E4-C797-482B-96CF-8019CB7A39E1}"/>
    <hyperlink ref="B35:B37" location="UFOP!A1" display="UFOP" xr:uid="{73C6307D-2E8C-49A1-8FC9-3F43F888E197}"/>
    <hyperlink ref="B39:B40" location="UFSJ!A1" display="UFSJ" xr:uid="{E3C3B190-B289-4455-B657-D2B792BF374A}"/>
  </hyperlinks>
  <pageMargins left="0.78749999999999998" right="0.78749999999999998" top="1.0249999999999999" bottom="1.0249999999999999" header="0.78749999999999998" footer="0.78749999999999998"/>
  <pageSetup paperSize="9" orientation="portrait" useFirstPageNumber="1" horizontalDpi="300" verticalDpi="300"/>
  <headerFooter>
    <oddHeader>&amp;C&amp;A</oddHeader>
    <oddFooter>&amp;CPágina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2E6A33"/>
  </sheetPr>
  <dimension ref="A1:N21"/>
  <sheetViews>
    <sheetView topLeftCell="D1" zoomScaleNormal="100" workbookViewId="0">
      <selection activeCell="I3" sqref="I3"/>
    </sheetView>
  </sheetViews>
  <sheetFormatPr defaultColWidth="11.5703125" defaultRowHeight="12.75"/>
  <cols>
    <col min="1" max="1" width="22.28515625" customWidth="1"/>
    <col min="2" max="2" width="11.7109375" customWidth="1"/>
    <col min="3" max="3" width="22.42578125" style="5" customWidth="1"/>
    <col min="4" max="4" width="25" style="5" customWidth="1"/>
    <col min="5" max="5" width="23.28515625" style="5" customWidth="1"/>
    <col min="6" max="6" width="35" style="5" customWidth="1"/>
    <col min="7" max="8" width="26.140625" style="5" customWidth="1"/>
    <col min="9" max="9" width="22.5703125" style="5" customWidth="1"/>
    <col min="10" max="10" width="21.28515625" style="5" customWidth="1"/>
    <col min="11" max="12" width="25.7109375" style="5" customWidth="1"/>
    <col min="13" max="13" width="24.85546875" style="5" customWidth="1"/>
    <col min="14" max="14" width="20.5703125" style="5" customWidth="1"/>
  </cols>
  <sheetData>
    <row r="1" spans="1:14" ht="41.1" customHeight="1">
      <c r="A1" s="42" t="s">
        <v>67</v>
      </c>
      <c r="B1" s="42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23"/>
    </row>
    <row r="2" spans="1:14" ht="42.6" customHeight="1">
      <c r="A2" s="7" t="s">
        <v>80</v>
      </c>
      <c r="B2" s="44" t="s">
        <v>9</v>
      </c>
      <c r="C2" s="8" t="s">
        <v>24</v>
      </c>
      <c r="D2" s="8" t="s">
        <v>81</v>
      </c>
      <c r="E2" s="8" t="s">
        <v>82</v>
      </c>
      <c r="F2" s="8" t="s">
        <v>83</v>
      </c>
      <c r="G2" s="8" t="s">
        <v>84</v>
      </c>
      <c r="H2" s="8" t="s">
        <v>85</v>
      </c>
      <c r="I2" s="8">
        <v>94</v>
      </c>
      <c r="J2" s="8">
        <v>78</v>
      </c>
      <c r="K2" s="11">
        <v>94</v>
      </c>
      <c r="L2" s="11" t="s">
        <v>86</v>
      </c>
      <c r="M2" s="104"/>
    </row>
    <row r="3" spans="1:14" ht="52.9" customHeight="1">
      <c r="A3" s="7" t="s">
        <v>80</v>
      </c>
      <c r="B3" s="44" t="s">
        <v>9</v>
      </c>
      <c r="C3" s="8" t="s">
        <v>26</v>
      </c>
      <c r="D3" s="8" t="s">
        <v>87</v>
      </c>
      <c r="E3" s="8" t="s">
        <v>82</v>
      </c>
      <c r="F3" s="8" t="s">
        <v>83</v>
      </c>
      <c r="G3" s="8" t="s">
        <v>88</v>
      </c>
      <c r="H3" s="8" t="s">
        <v>27</v>
      </c>
      <c r="I3" s="8">
        <v>200</v>
      </c>
      <c r="J3" s="8">
        <v>24</v>
      </c>
      <c r="K3" s="11">
        <v>200</v>
      </c>
      <c r="L3" s="11" t="s">
        <v>86</v>
      </c>
      <c r="M3" s="95"/>
    </row>
    <row r="4" spans="1:14" ht="51.4" customHeight="1">
      <c r="A4" s="7" t="s">
        <v>80</v>
      </c>
      <c r="B4" s="44" t="s">
        <v>9</v>
      </c>
      <c r="C4" s="8" t="s">
        <v>28</v>
      </c>
      <c r="D4" s="8" t="s">
        <v>89</v>
      </c>
      <c r="E4" s="8" t="s">
        <v>82</v>
      </c>
      <c r="F4" s="8" t="s">
        <v>83</v>
      </c>
      <c r="G4" s="8" t="s">
        <v>90</v>
      </c>
      <c r="H4" s="8" t="s">
        <v>91</v>
      </c>
      <c r="I4" s="8">
        <v>220</v>
      </c>
      <c r="J4" s="8">
        <v>40</v>
      </c>
      <c r="K4" s="11">
        <v>110</v>
      </c>
      <c r="L4" s="11" t="s">
        <v>86</v>
      </c>
      <c r="M4" s="104"/>
    </row>
    <row r="5" spans="1:14" ht="52.9" customHeight="1">
      <c r="A5" s="7" t="s">
        <v>80</v>
      </c>
      <c r="B5" s="44" t="s">
        <v>9</v>
      </c>
      <c r="C5" s="8" t="s">
        <v>30</v>
      </c>
      <c r="D5" s="8" t="s">
        <v>81</v>
      </c>
      <c r="E5" s="8" t="s">
        <v>82</v>
      </c>
      <c r="F5" s="8" t="s">
        <v>83</v>
      </c>
      <c r="G5" s="8" t="s">
        <v>84</v>
      </c>
      <c r="H5" s="8" t="s">
        <v>92</v>
      </c>
      <c r="I5" s="8">
        <v>155</v>
      </c>
      <c r="J5" s="8">
        <v>50</v>
      </c>
      <c r="K5" s="11">
        <v>155</v>
      </c>
      <c r="L5" s="11" t="s">
        <v>86</v>
      </c>
      <c r="M5" s="95"/>
    </row>
    <row r="6" spans="1:14" ht="49.9" customHeight="1">
      <c r="A6" s="7" t="s">
        <v>80</v>
      </c>
      <c r="B6" s="44" t="s">
        <v>9</v>
      </c>
      <c r="C6" s="8" t="s">
        <v>32</v>
      </c>
      <c r="D6" s="8" t="s">
        <v>93</v>
      </c>
      <c r="E6" s="8" t="s">
        <v>82</v>
      </c>
      <c r="F6" s="8" t="s">
        <v>83</v>
      </c>
      <c r="G6" s="8" t="s">
        <v>84</v>
      </c>
      <c r="H6" s="8" t="s">
        <v>94</v>
      </c>
      <c r="I6" s="8">
        <v>14</v>
      </c>
      <c r="J6" s="8">
        <v>120</v>
      </c>
      <c r="K6" s="11">
        <v>14</v>
      </c>
      <c r="L6" s="11" t="s">
        <v>86</v>
      </c>
      <c r="M6" s="104"/>
    </row>
    <row r="7" spans="1:14" ht="40.35" customHeight="1">
      <c r="A7" s="75" t="s">
        <v>80</v>
      </c>
      <c r="B7" s="76" t="s">
        <v>9</v>
      </c>
      <c r="C7" s="64" t="s">
        <v>34</v>
      </c>
      <c r="D7" s="64" t="s">
        <v>81</v>
      </c>
      <c r="E7" s="64" t="s">
        <v>82</v>
      </c>
      <c r="F7" s="64" t="s">
        <v>83</v>
      </c>
      <c r="G7" s="64" t="s">
        <v>84</v>
      </c>
      <c r="H7" s="81" t="s">
        <v>35</v>
      </c>
      <c r="I7" s="64">
        <v>85</v>
      </c>
      <c r="J7" s="64">
        <v>50</v>
      </c>
      <c r="K7" s="77">
        <v>85</v>
      </c>
      <c r="L7" s="77" t="s">
        <v>86</v>
      </c>
      <c r="M7" s="95"/>
    </row>
    <row r="8" spans="1:14" ht="49.9" customHeight="1">
      <c r="A8" s="78" t="s">
        <v>80</v>
      </c>
      <c r="B8" s="79" t="s">
        <v>9</v>
      </c>
      <c r="C8" s="66" t="s">
        <v>36</v>
      </c>
      <c r="D8" s="66" t="s">
        <v>95</v>
      </c>
      <c r="E8" s="66" t="s">
        <v>82</v>
      </c>
      <c r="F8" s="66" t="s">
        <v>83</v>
      </c>
      <c r="G8" s="66" t="s">
        <v>96</v>
      </c>
      <c r="H8" s="66" t="s">
        <v>37</v>
      </c>
      <c r="I8" s="66">
        <v>120</v>
      </c>
      <c r="J8" s="66">
        <v>72</v>
      </c>
      <c r="K8" s="80">
        <v>120</v>
      </c>
      <c r="L8" s="80" t="s">
        <v>86</v>
      </c>
      <c r="M8" s="104">
        <f>SUM(I2:I8)</f>
        <v>888</v>
      </c>
    </row>
    <row r="9" spans="1:14" ht="99.95" customHeight="1">
      <c r="B9" s="39"/>
      <c r="C9" s="39"/>
      <c r="D9" s="39"/>
      <c r="E9" s="39"/>
      <c r="F9" s="39"/>
      <c r="G9" s="39"/>
      <c r="H9" s="39"/>
      <c r="I9" s="39"/>
      <c r="J9" s="39"/>
      <c r="K9" s="67"/>
      <c r="L9" s="67"/>
      <c r="M9" s="45"/>
    </row>
    <row r="10" spans="1:14" ht="99.95" customHeight="1">
      <c r="B10" s="39"/>
      <c r="C10" s="39"/>
      <c r="D10" s="39"/>
      <c r="E10" s="39"/>
      <c r="F10" s="39"/>
      <c r="G10" s="39"/>
      <c r="H10" s="39"/>
      <c r="I10" s="39"/>
      <c r="J10" s="39"/>
      <c r="K10" s="67"/>
      <c r="L10" s="67"/>
      <c r="M10" s="45"/>
    </row>
    <row r="11" spans="1:14" ht="99.95" customHeight="1">
      <c r="B11" s="39"/>
      <c r="C11" s="39"/>
      <c r="D11" s="39"/>
      <c r="E11" s="39"/>
      <c r="F11" s="39"/>
      <c r="G11" s="39"/>
      <c r="H11" s="39"/>
      <c r="I11" s="39"/>
      <c r="J11" s="39"/>
      <c r="K11" s="67"/>
      <c r="L11" s="68"/>
      <c r="M11" s="48"/>
    </row>
    <row r="12" spans="1:14" ht="99.95" customHeight="1">
      <c r="B12" s="39"/>
      <c r="C12" s="39"/>
      <c r="D12" s="39"/>
      <c r="E12" s="39"/>
      <c r="F12" s="39"/>
      <c r="G12" s="39"/>
      <c r="H12" s="39"/>
      <c r="I12" s="39"/>
      <c r="J12" s="39"/>
      <c r="K12" s="67"/>
      <c r="L12" s="67"/>
      <c r="M12" s="45"/>
    </row>
    <row r="13" spans="1:14" ht="99.95" customHeight="1">
      <c r="B13" s="39"/>
      <c r="C13" s="39"/>
      <c r="D13" s="39"/>
      <c r="E13" s="39"/>
      <c r="F13" s="39"/>
      <c r="G13" s="39"/>
      <c r="H13" s="39"/>
      <c r="I13" s="39"/>
      <c r="J13" s="39"/>
      <c r="K13" s="67"/>
      <c r="L13" s="67"/>
      <c r="M13" s="45"/>
    </row>
    <row r="14" spans="1:14" ht="71.099999999999994" customHeight="1">
      <c r="B14" s="39"/>
      <c r="C14" s="39"/>
      <c r="D14" s="39"/>
      <c r="E14" s="39"/>
      <c r="F14" s="39"/>
      <c r="G14" s="39"/>
      <c r="H14" s="39"/>
      <c r="I14" s="39"/>
      <c r="J14" s="39"/>
      <c r="K14" s="67"/>
      <c r="L14" s="67"/>
      <c r="M14" s="73"/>
    </row>
    <row r="15" spans="1:14" ht="24.95" customHeight="1">
      <c r="B15" s="39"/>
      <c r="C15" s="39"/>
      <c r="D15" s="39"/>
      <c r="E15" s="39"/>
      <c r="F15" s="39"/>
      <c r="G15" s="39"/>
      <c r="H15" s="39"/>
      <c r="I15" s="39"/>
      <c r="J15" s="39"/>
      <c r="K15" s="67"/>
      <c r="L15" s="67"/>
      <c r="M15" s="73"/>
    </row>
    <row r="16" spans="1:14" ht="24.95" customHeight="1">
      <c r="B16" s="39"/>
      <c r="C16" s="39"/>
      <c r="D16" s="39"/>
      <c r="E16" s="39"/>
      <c r="F16" s="39"/>
      <c r="G16" s="39"/>
      <c r="H16" s="39"/>
      <c r="I16" s="39"/>
      <c r="J16" s="39"/>
      <c r="K16" s="67"/>
      <c r="L16" s="67"/>
      <c r="M16" s="73"/>
    </row>
    <row r="17" spans="2:13" ht="24.95" customHeight="1">
      <c r="B17" s="39"/>
      <c r="C17" s="39"/>
      <c r="D17" s="39"/>
      <c r="E17" s="39"/>
      <c r="F17" s="39"/>
      <c r="G17" s="39"/>
      <c r="H17" s="39"/>
      <c r="I17" s="39"/>
      <c r="J17" s="39"/>
      <c r="K17" s="67"/>
      <c r="L17" s="67"/>
      <c r="M17" s="73"/>
    </row>
    <row r="18" spans="2:13" ht="66.95" customHeight="1">
      <c r="B18" s="39"/>
      <c r="C18" s="39"/>
      <c r="D18" s="39"/>
      <c r="E18" s="39"/>
      <c r="F18" s="39"/>
      <c r="G18" s="39"/>
      <c r="H18" s="39"/>
      <c r="I18" s="39"/>
      <c r="J18" s="39"/>
      <c r="K18" s="67"/>
      <c r="L18" s="67"/>
      <c r="M18" s="74"/>
    </row>
    <row r="19" spans="2:13" ht="45" customHeight="1">
      <c r="B19" s="39"/>
      <c r="C19" s="39"/>
      <c r="D19" s="39"/>
      <c r="E19" s="39"/>
      <c r="F19" s="39"/>
      <c r="G19" s="39"/>
      <c r="H19" s="39"/>
      <c r="I19" s="39"/>
      <c r="J19" s="39"/>
      <c r="K19" s="67"/>
      <c r="L19" s="67"/>
      <c r="M19" s="73"/>
    </row>
    <row r="20" spans="2:13" ht="120" customHeight="1">
      <c r="B20" s="69"/>
      <c r="C20" s="70"/>
      <c r="D20" s="70"/>
      <c r="E20" s="70"/>
      <c r="F20" s="70"/>
      <c r="G20" s="70"/>
      <c r="H20" s="71"/>
      <c r="I20" s="71"/>
      <c r="J20" s="71"/>
      <c r="K20" s="72"/>
      <c r="L20" s="72"/>
      <c r="M20" s="24"/>
    </row>
    <row r="21" spans="2:13">
      <c r="C21" s="5" t="s">
        <v>97</v>
      </c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EF8EA0"/>
  </sheetPr>
  <dimension ref="A1:N21"/>
  <sheetViews>
    <sheetView zoomScaleNormal="100" workbookViewId="0">
      <selection activeCell="M1" sqref="M1"/>
    </sheetView>
  </sheetViews>
  <sheetFormatPr defaultColWidth="11.5703125" defaultRowHeight="12.75"/>
  <cols>
    <col min="1" max="1" width="22.85546875" customWidth="1"/>
    <col min="2" max="2" width="12.140625" style="5" customWidth="1"/>
    <col min="3" max="3" width="11.28515625" style="5" customWidth="1"/>
    <col min="4" max="5" width="26.7109375" style="5" customWidth="1"/>
    <col min="6" max="6" width="33.140625" style="5" customWidth="1"/>
    <col min="7" max="8" width="26.7109375" style="5" customWidth="1"/>
    <col min="9" max="9" width="24.42578125" style="5" customWidth="1"/>
    <col min="10" max="10" width="20.28515625" style="5" customWidth="1"/>
    <col min="11" max="12" width="24.42578125" style="5" customWidth="1"/>
    <col min="13" max="13" width="13.85546875" customWidth="1"/>
    <col min="14" max="14" width="8.28515625" customWidth="1"/>
  </cols>
  <sheetData>
    <row r="1" spans="1:14" ht="36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98</v>
      </c>
      <c r="I1" s="6" t="s">
        <v>75</v>
      </c>
      <c r="J1" s="6" t="s">
        <v>76</v>
      </c>
      <c r="K1" s="6" t="s">
        <v>77</v>
      </c>
      <c r="L1" s="93" t="s">
        <v>78</v>
      </c>
      <c r="M1" s="93" t="s">
        <v>79</v>
      </c>
    </row>
    <row r="2" spans="1:14" ht="80.099999999999994" customHeight="1">
      <c r="A2" s="7" t="s">
        <v>99</v>
      </c>
      <c r="B2" s="8" t="s">
        <v>9</v>
      </c>
      <c r="C2" s="8" t="s">
        <v>52</v>
      </c>
      <c r="D2" s="8" t="s">
        <v>100</v>
      </c>
      <c r="E2" s="8" t="s">
        <v>101</v>
      </c>
      <c r="F2" s="8" t="s">
        <v>102</v>
      </c>
      <c r="G2" s="8" t="s">
        <v>103</v>
      </c>
      <c r="H2" s="8" t="s">
        <v>53</v>
      </c>
      <c r="I2" s="9">
        <v>24</v>
      </c>
      <c r="J2" s="8">
        <v>144</v>
      </c>
      <c r="K2" s="92">
        <v>24</v>
      </c>
      <c r="L2" s="80" t="s">
        <v>86</v>
      </c>
      <c r="M2" s="65"/>
      <c r="N2" s="2"/>
    </row>
    <row r="3" spans="1:14" ht="39" customHeight="1">
      <c r="A3" s="7" t="s">
        <v>99</v>
      </c>
      <c r="B3" s="8" t="s">
        <v>9</v>
      </c>
      <c r="C3" s="8" t="s">
        <v>54</v>
      </c>
      <c r="D3" s="8" t="s">
        <v>104</v>
      </c>
      <c r="E3" s="8" t="s">
        <v>105</v>
      </c>
      <c r="F3" s="8" t="s">
        <v>106</v>
      </c>
      <c r="G3" s="8" t="s">
        <v>107</v>
      </c>
      <c r="H3" s="8" t="s">
        <v>55</v>
      </c>
      <c r="I3" s="8">
        <v>160</v>
      </c>
      <c r="J3" s="8">
        <v>30</v>
      </c>
      <c r="K3" s="92">
        <v>160</v>
      </c>
      <c r="L3" s="80" t="s">
        <v>86</v>
      </c>
      <c r="M3" s="65"/>
      <c r="N3" s="2"/>
    </row>
    <row r="4" spans="1:14" ht="39" customHeight="1">
      <c r="A4" s="7" t="s">
        <v>99</v>
      </c>
      <c r="B4" s="8" t="s">
        <v>9</v>
      </c>
      <c r="C4" s="8" t="s">
        <v>56</v>
      </c>
      <c r="D4" s="8" t="s">
        <v>104</v>
      </c>
      <c r="E4" s="8" t="s">
        <v>108</v>
      </c>
      <c r="F4" s="8" t="s">
        <v>109</v>
      </c>
      <c r="G4" s="8" t="s">
        <v>110</v>
      </c>
      <c r="H4" s="8" t="s">
        <v>57</v>
      </c>
      <c r="I4" s="8">
        <v>100</v>
      </c>
      <c r="J4" s="8">
        <v>60</v>
      </c>
      <c r="K4" s="92">
        <v>50</v>
      </c>
      <c r="L4" s="80" t="s">
        <v>86</v>
      </c>
      <c r="M4" s="94"/>
      <c r="N4" s="2"/>
    </row>
    <row r="5" spans="1:14" ht="33" customHeight="1">
      <c r="A5" s="7" t="s">
        <v>99</v>
      </c>
      <c r="B5" s="8" t="s">
        <v>9</v>
      </c>
      <c r="C5" s="8" t="s">
        <v>58</v>
      </c>
      <c r="D5" s="8" t="s">
        <v>111</v>
      </c>
      <c r="E5" s="8" t="s">
        <v>112</v>
      </c>
      <c r="F5" s="8" t="s">
        <v>113</v>
      </c>
      <c r="G5" s="8" t="s">
        <v>114</v>
      </c>
      <c r="H5" s="8" t="s">
        <v>59</v>
      </c>
      <c r="I5" s="8">
        <v>20</v>
      </c>
      <c r="J5" s="8">
        <v>80</v>
      </c>
      <c r="K5" s="92">
        <v>20</v>
      </c>
      <c r="L5" s="80" t="s">
        <v>86</v>
      </c>
      <c r="M5" s="100">
        <f>SUM(I2:I5)</f>
        <v>304</v>
      </c>
      <c r="N5" s="2"/>
    </row>
    <row r="6" spans="1:14">
      <c r="M6" s="2"/>
      <c r="N6" s="2"/>
    </row>
    <row r="7" spans="1:14">
      <c r="M7" s="2"/>
      <c r="N7" s="2"/>
    </row>
    <row r="8" spans="1:14">
      <c r="M8" s="2"/>
      <c r="N8" s="2"/>
    </row>
    <row r="9" spans="1:14">
      <c r="M9" s="2"/>
      <c r="N9" s="2"/>
    </row>
    <row r="10" spans="1:14">
      <c r="M10" s="2"/>
      <c r="N10" s="2"/>
    </row>
    <row r="11" spans="1:14">
      <c r="M11" s="2"/>
      <c r="N11" s="2"/>
    </row>
    <row r="12" spans="1:14">
      <c r="M12" s="2"/>
      <c r="N12" s="2"/>
    </row>
    <row r="13" spans="1:14">
      <c r="M13" s="2"/>
      <c r="N13" s="2"/>
    </row>
    <row r="14" spans="1:14" ht="13.9">
      <c r="B14" s="39"/>
      <c r="M14" s="2"/>
      <c r="N14" s="2"/>
    </row>
    <row r="15" spans="1:14" ht="13.9">
      <c r="B15" s="39"/>
      <c r="M15" s="2"/>
      <c r="N15" s="2"/>
    </row>
    <row r="16" spans="1:14" ht="13.9">
      <c r="B16" s="39"/>
      <c r="M16" s="2"/>
      <c r="N16" s="2"/>
    </row>
    <row r="17" spans="2:14" ht="13.9">
      <c r="B17" s="39"/>
      <c r="M17" s="2"/>
      <c r="N17" s="2"/>
    </row>
    <row r="18" spans="2:14" ht="13.9">
      <c r="B18" s="39"/>
      <c r="M18" s="2"/>
      <c r="N18" s="2"/>
    </row>
    <row r="19" spans="2:14" ht="13.9">
      <c r="B19" s="39"/>
      <c r="C19" s="39"/>
      <c r="D19" s="39"/>
      <c r="E19" s="39"/>
      <c r="F19" s="39"/>
      <c r="G19" s="39"/>
      <c r="H19" s="39"/>
      <c r="I19" s="39"/>
      <c r="J19" s="39"/>
      <c r="K19" s="39"/>
      <c r="M19" s="2"/>
      <c r="N19" s="2"/>
    </row>
    <row r="20" spans="2:14">
      <c r="M20" s="2"/>
      <c r="N20" s="2"/>
    </row>
    <row r="21" spans="2:14">
      <c r="M21" s="2"/>
      <c r="N21" s="2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B11E51"/>
  </sheetPr>
  <dimension ref="A1:X63"/>
  <sheetViews>
    <sheetView tabSelected="1" zoomScaleNormal="100" workbookViewId="0">
      <selection activeCell="M1" sqref="M1:M6"/>
    </sheetView>
  </sheetViews>
  <sheetFormatPr defaultColWidth="11.5703125" defaultRowHeight="12.75"/>
  <cols>
    <col min="1" max="1" width="21.85546875" customWidth="1"/>
    <col min="2" max="2" width="8.28515625" customWidth="1"/>
    <col min="3" max="3" width="13.7109375" style="5" customWidth="1"/>
    <col min="4" max="9" width="23.85546875" style="5" customWidth="1"/>
    <col min="10" max="10" width="21.85546875" style="5" customWidth="1"/>
    <col min="11" max="12" width="23.85546875" style="5" customWidth="1"/>
    <col min="13" max="13" width="13.42578125" style="24" customWidth="1"/>
    <col min="14" max="14" width="8.28515625" customWidth="1"/>
    <col min="20" max="20" width="13.140625" customWidth="1"/>
    <col min="21" max="21" width="12.85546875" customWidth="1"/>
    <col min="22" max="22" width="13.7109375" customWidth="1"/>
    <col min="23" max="23" width="13.28515625" customWidth="1"/>
    <col min="24" max="24" width="12.85546875" customWidth="1"/>
  </cols>
  <sheetData>
    <row r="1" spans="1:24" ht="36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</row>
    <row r="2" spans="1:24" ht="39.950000000000003" customHeight="1">
      <c r="A2" s="7" t="s">
        <v>115</v>
      </c>
      <c r="B2" s="8" t="s">
        <v>9</v>
      </c>
      <c r="C2" s="8" t="s">
        <v>16</v>
      </c>
      <c r="D2" s="8" t="s">
        <v>104</v>
      </c>
      <c r="E2" s="8" t="s">
        <v>116</v>
      </c>
      <c r="F2" s="8" t="s">
        <v>117</v>
      </c>
      <c r="G2" s="8" t="s">
        <v>118</v>
      </c>
      <c r="H2" s="8" t="s">
        <v>47</v>
      </c>
      <c r="I2" s="8">
        <v>3</v>
      </c>
      <c r="J2" s="8">
        <v>40</v>
      </c>
      <c r="K2" s="11">
        <v>3</v>
      </c>
      <c r="L2" s="11" t="s">
        <v>86</v>
      </c>
      <c r="M2" s="65"/>
      <c r="N2" s="17"/>
      <c r="O2" s="17"/>
      <c r="P2" s="17"/>
      <c r="Q2" s="17"/>
      <c r="R2" s="17"/>
      <c r="S2" s="17"/>
      <c r="T2" s="53"/>
      <c r="U2" s="53"/>
      <c r="V2" s="53"/>
      <c r="W2" s="17"/>
      <c r="X2" s="17"/>
    </row>
    <row r="3" spans="1:24" ht="39.950000000000003" customHeight="1">
      <c r="A3" s="7" t="s">
        <v>115</v>
      </c>
      <c r="B3" s="8" t="s">
        <v>9</v>
      </c>
      <c r="C3" s="8" t="s">
        <v>28</v>
      </c>
      <c r="D3" s="8" t="s">
        <v>89</v>
      </c>
      <c r="E3" s="8" t="s">
        <v>116</v>
      </c>
      <c r="F3" s="8" t="s">
        <v>117</v>
      </c>
      <c r="G3" s="8" t="s">
        <v>118</v>
      </c>
      <c r="H3" s="8" t="s">
        <v>15</v>
      </c>
      <c r="I3" s="8">
        <v>3</v>
      </c>
      <c r="J3" s="8">
        <v>56</v>
      </c>
      <c r="K3" s="11">
        <v>3</v>
      </c>
      <c r="L3" s="11" t="s">
        <v>86</v>
      </c>
      <c r="M3" s="65"/>
      <c r="N3" s="17"/>
      <c r="O3" s="17"/>
      <c r="P3" s="17"/>
      <c r="Q3" s="17"/>
      <c r="R3" s="17"/>
      <c r="S3" s="17"/>
      <c r="T3" s="17"/>
      <c r="U3" s="53"/>
      <c r="V3" s="53"/>
      <c r="W3" s="17"/>
      <c r="X3" s="17"/>
    </row>
    <row r="4" spans="1:24" ht="39.950000000000003" customHeight="1">
      <c r="A4" s="7" t="s">
        <v>115</v>
      </c>
      <c r="B4" s="8" t="s">
        <v>9</v>
      </c>
      <c r="C4" s="8" t="s">
        <v>24</v>
      </c>
      <c r="D4" s="8" t="s">
        <v>104</v>
      </c>
      <c r="E4" s="8" t="s">
        <v>116</v>
      </c>
      <c r="F4" s="8" t="s">
        <v>117</v>
      </c>
      <c r="G4" s="8" t="s">
        <v>118</v>
      </c>
      <c r="H4" s="8" t="s">
        <v>48</v>
      </c>
      <c r="I4" s="8">
        <v>3</v>
      </c>
      <c r="J4" s="8">
        <v>74</v>
      </c>
      <c r="K4" s="11">
        <v>3</v>
      </c>
      <c r="L4" s="11" t="s">
        <v>86</v>
      </c>
      <c r="M4" s="94"/>
      <c r="N4" s="17"/>
      <c r="O4" s="17"/>
      <c r="P4" s="17"/>
      <c r="Q4" s="17"/>
      <c r="R4" s="17"/>
      <c r="S4" s="17"/>
      <c r="T4" s="17"/>
      <c r="U4" s="53"/>
      <c r="V4" s="53"/>
      <c r="W4" s="17"/>
      <c r="X4" s="17"/>
    </row>
    <row r="5" spans="1:24" ht="39.950000000000003" customHeight="1">
      <c r="A5" s="7" t="s">
        <v>115</v>
      </c>
      <c r="B5" s="8" t="s">
        <v>9</v>
      </c>
      <c r="C5" s="8" t="s">
        <v>30</v>
      </c>
      <c r="D5" s="8" t="s">
        <v>104</v>
      </c>
      <c r="E5" s="8" t="s">
        <v>116</v>
      </c>
      <c r="F5" s="8" t="s">
        <v>117</v>
      </c>
      <c r="G5" s="8" t="s">
        <v>118</v>
      </c>
      <c r="H5" s="8" t="s">
        <v>49</v>
      </c>
      <c r="I5" s="8">
        <v>3</v>
      </c>
      <c r="J5" s="8">
        <v>80</v>
      </c>
      <c r="K5" s="11">
        <v>3</v>
      </c>
      <c r="L5" s="11" t="s">
        <v>86</v>
      </c>
      <c r="M5" s="98"/>
      <c r="N5" s="17"/>
      <c r="O5" s="17"/>
      <c r="P5" s="17"/>
      <c r="Q5" s="17"/>
      <c r="R5" s="17"/>
      <c r="S5" s="17"/>
      <c r="T5" s="17"/>
      <c r="U5" s="53"/>
      <c r="V5" s="53"/>
      <c r="W5" s="17"/>
      <c r="X5" s="17"/>
    </row>
    <row r="6" spans="1:24" ht="39.950000000000003" customHeight="1">
      <c r="A6" s="7" t="s">
        <v>115</v>
      </c>
      <c r="B6" s="8" t="s">
        <v>9</v>
      </c>
      <c r="C6" s="8" t="s">
        <v>34</v>
      </c>
      <c r="D6" s="8" t="s">
        <v>104</v>
      </c>
      <c r="E6" s="8" t="s">
        <v>116</v>
      </c>
      <c r="F6" s="8" t="s">
        <v>117</v>
      </c>
      <c r="G6" s="8" t="s">
        <v>118</v>
      </c>
      <c r="H6" s="8" t="s">
        <v>50</v>
      </c>
      <c r="I6" s="8">
        <v>3</v>
      </c>
      <c r="J6" s="8">
        <v>60</v>
      </c>
      <c r="K6" s="11">
        <v>3</v>
      </c>
      <c r="L6" s="92" t="s">
        <v>86</v>
      </c>
      <c r="M6" s="96">
        <f>SUM(I2:I6)</f>
        <v>15</v>
      </c>
      <c r="N6" s="97"/>
      <c r="O6" s="17"/>
      <c r="P6" s="17"/>
      <c r="Q6" s="17"/>
      <c r="R6" s="17"/>
      <c r="S6" s="17"/>
      <c r="T6" s="53"/>
      <c r="U6" s="53"/>
      <c r="V6" s="17"/>
      <c r="W6" s="17"/>
      <c r="X6" s="17"/>
    </row>
    <row r="7" spans="1:24">
      <c r="M7" s="99"/>
    </row>
    <row r="8" spans="1:24">
      <c r="M8" s="25"/>
    </row>
    <row r="9" spans="1:24">
      <c r="M9" s="25"/>
    </row>
    <row r="10" spans="1:24">
      <c r="M10" s="25"/>
    </row>
    <row r="11" spans="1:24">
      <c r="M11" s="25"/>
    </row>
    <row r="12" spans="1:24">
      <c r="M12" s="25"/>
    </row>
    <row r="13" spans="1:24">
      <c r="M13" s="25"/>
    </row>
    <row r="14" spans="1:24">
      <c r="M14" s="25"/>
    </row>
    <row r="15" spans="1:24">
      <c r="M15" s="25"/>
    </row>
    <row r="16" spans="1:24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61B1"/>
  </sheetPr>
  <dimension ref="A1:X11"/>
  <sheetViews>
    <sheetView zoomScaleNormal="100" workbookViewId="0">
      <selection activeCell="M1" sqref="M1:M2"/>
    </sheetView>
  </sheetViews>
  <sheetFormatPr defaultColWidth="11.5703125" defaultRowHeight="12.75"/>
  <cols>
    <col min="1" max="1" width="22" customWidth="1"/>
    <col min="2" max="2" width="11.28515625" customWidth="1"/>
    <col min="3" max="3" width="15.140625" style="5" customWidth="1"/>
    <col min="4" max="4" width="26.5703125" style="5" customWidth="1"/>
    <col min="5" max="5" width="22.7109375" style="5" customWidth="1"/>
    <col min="6" max="6" width="29" style="5" customWidth="1"/>
    <col min="7" max="8" width="22.7109375" style="5" customWidth="1"/>
    <col min="9" max="9" width="25.28515625" style="5" customWidth="1"/>
    <col min="10" max="12" width="22.7109375" style="5" customWidth="1"/>
    <col min="13" max="13" width="17.140625" style="5" customWidth="1"/>
    <col min="14" max="14" width="17.7109375" style="5" customWidth="1"/>
    <col min="21" max="21" width="12.42578125" customWidth="1"/>
    <col min="22" max="23" width="12.7109375" customWidth="1"/>
    <col min="24" max="24" width="11.85546875" customWidth="1"/>
  </cols>
  <sheetData>
    <row r="1" spans="1:24" ht="36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</row>
    <row r="2" spans="1:24" ht="58.15" customHeight="1">
      <c r="A2" s="4" t="s">
        <v>119</v>
      </c>
      <c r="B2" s="8" t="s">
        <v>120</v>
      </c>
      <c r="C2" s="8" t="s">
        <v>121</v>
      </c>
      <c r="D2" s="8" t="s">
        <v>122</v>
      </c>
      <c r="E2" s="8" t="s">
        <v>123</v>
      </c>
      <c r="F2" s="8" t="s">
        <v>124</v>
      </c>
      <c r="G2" s="8"/>
      <c r="H2" s="8" t="s">
        <v>125</v>
      </c>
      <c r="I2" s="8">
        <v>3</v>
      </c>
      <c r="J2" s="8">
        <v>144</v>
      </c>
      <c r="K2" s="11">
        <v>3</v>
      </c>
      <c r="L2" s="92" t="s">
        <v>86</v>
      </c>
      <c r="M2" s="65">
        <f>I2</f>
        <v>3</v>
      </c>
      <c r="N2" s="103"/>
      <c r="O2" s="21"/>
      <c r="P2" s="21"/>
      <c r="Q2" s="21"/>
      <c r="R2" s="21"/>
      <c r="S2" s="21"/>
      <c r="T2" s="21"/>
      <c r="U2" s="22"/>
      <c r="V2" s="22"/>
      <c r="W2" s="22"/>
      <c r="X2" s="21"/>
    </row>
    <row r="3" spans="1:24">
      <c r="M3" s="2"/>
      <c r="U3" t="s">
        <v>97</v>
      </c>
    </row>
    <row r="4" spans="1:24">
      <c r="M4" s="101"/>
    </row>
    <row r="5" spans="1:24">
      <c r="M5" s="67"/>
    </row>
    <row r="6" spans="1:24">
      <c r="M6" s="102"/>
    </row>
    <row r="11" spans="1:24">
      <c r="H11" s="5" t="s">
        <v>97</v>
      </c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7BB2DD"/>
  </sheetPr>
  <dimension ref="A1:O134"/>
  <sheetViews>
    <sheetView zoomScaleNormal="100" workbookViewId="0">
      <selection activeCell="M1" sqref="M1"/>
    </sheetView>
  </sheetViews>
  <sheetFormatPr defaultColWidth="11.5703125" defaultRowHeight="12.75"/>
  <cols>
    <col min="1" max="1" width="22.28515625" customWidth="1"/>
    <col min="2" max="2" width="8.7109375" style="5" customWidth="1"/>
    <col min="3" max="3" width="14.7109375" style="5" customWidth="1"/>
    <col min="4" max="4" width="25.42578125" style="5" customWidth="1"/>
    <col min="5" max="5" width="23.7109375" style="5" customWidth="1"/>
    <col min="6" max="6" width="29" style="5" customWidth="1"/>
    <col min="7" max="12" width="23.7109375" style="5" customWidth="1"/>
    <col min="13" max="13" width="24.85546875" style="24" customWidth="1"/>
    <col min="14" max="15" width="11" style="5" customWidth="1"/>
  </cols>
  <sheetData>
    <row r="1" spans="1:15" ht="43.35" customHeight="1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126</v>
      </c>
      <c r="J1" s="6" t="s">
        <v>76</v>
      </c>
      <c r="K1" s="6" t="s">
        <v>77</v>
      </c>
      <c r="L1" s="26" t="s">
        <v>78</v>
      </c>
      <c r="M1" s="93" t="s">
        <v>79</v>
      </c>
      <c r="N1" s="23"/>
    </row>
    <row r="2" spans="1:15" ht="44.1" customHeight="1">
      <c r="A2" s="7" t="s">
        <v>127</v>
      </c>
      <c r="B2" s="8" t="s">
        <v>9</v>
      </c>
      <c r="C2" s="8" t="s">
        <v>28</v>
      </c>
      <c r="D2" s="8" t="s">
        <v>104</v>
      </c>
      <c r="E2" s="8" t="s">
        <v>128</v>
      </c>
      <c r="F2" s="8" t="s">
        <v>129</v>
      </c>
      <c r="G2" s="8" t="s">
        <v>130</v>
      </c>
      <c r="H2" s="8" t="s">
        <v>131</v>
      </c>
      <c r="I2" s="8">
        <v>27</v>
      </c>
      <c r="J2" s="8">
        <v>56</v>
      </c>
      <c r="K2" s="11">
        <v>27</v>
      </c>
      <c r="L2" s="27" t="s">
        <v>86</v>
      </c>
      <c r="M2" s="111"/>
      <c r="N2" s="23"/>
    </row>
    <row r="3" spans="1:15" ht="44.1" customHeight="1">
      <c r="A3" s="28" t="s">
        <v>127</v>
      </c>
      <c r="B3" s="29" t="s">
        <v>9</v>
      </c>
      <c r="C3" s="29" t="s">
        <v>16</v>
      </c>
      <c r="D3" s="29" t="s">
        <v>104</v>
      </c>
      <c r="E3" s="29" t="s">
        <v>104</v>
      </c>
      <c r="F3" s="29" t="s">
        <v>132</v>
      </c>
      <c r="G3" s="29" t="s">
        <v>133</v>
      </c>
      <c r="H3" s="29" t="s">
        <v>134</v>
      </c>
      <c r="I3" s="29">
        <v>27</v>
      </c>
      <c r="J3" s="29">
        <v>40</v>
      </c>
      <c r="K3" s="27">
        <v>27</v>
      </c>
      <c r="L3" s="110" t="s">
        <v>86</v>
      </c>
      <c r="M3" s="96">
        <f>SUM(I2:I3)</f>
        <v>54</v>
      </c>
      <c r="N3" s="23"/>
    </row>
    <row r="4" spans="1:15" ht="44.1" customHeight="1">
      <c r="A4" s="30"/>
      <c r="B4" s="31"/>
      <c r="C4" s="31"/>
      <c r="D4" s="31"/>
      <c r="E4" s="31"/>
      <c r="F4" s="31"/>
      <c r="G4" s="31"/>
      <c r="H4" s="31"/>
      <c r="I4" s="31"/>
      <c r="J4" s="31"/>
      <c r="K4" s="32"/>
      <c r="L4" s="105"/>
      <c r="M4" s="108"/>
      <c r="N4" s="23"/>
      <c r="O4" s="23"/>
    </row>
    <row r="5" spans="1:15" ht="44.1" customHeight="1">
      <c r="A5" s="33"/>
      <c r="B5" s="34"/>
      <c r="C5" s="34"/>
      <c r="D5" s="34"/>
      <c r="E5" s="34"/>
      <c r="F5" s="34"/>
      <c r="G5" s="34"/>
      <c r="H5" s="34"/>
      <c r="I5" s="34"/>
      <c r="J5" s="34"/>
      <c r="K5" s="35"/>
      <c r="L5" s="106"/>
      <c r="M5" s="108"/>
      <c r="N5" s="23"/>
    </row>
    <row r="6" spans="1:15" ht="44.1" customHeight="1">
      <c r="A6" s="33"/>
      <c r="B6" s="34"/>
      <c r="C6" s="34"/>
      <c r="D6" s="34"/>
      <c r="E6" s="34"/>
      <c r="F6" s="34"/>
      <c r="G6" s="34"/>
      <c r="H6" s="34"/>
      <c r="I6" s="34"/>
      <c r="J6" s="34"/>
      <c r="K6" s="35"/>
      <c r="L6" s="106"/>
      <c r="M6" s="108"/>
      <c r="N6" s="23"/>
    </row>
    <row r="7" spans="1:15" ht="44.1" customHeight="1">
      <c r="A7" s="33"/>
      <c r="B7" s="34"/>
      <c r="C7" s="34"/>
      <c r="D7" s="34"/>
      <c r="E7" s="34"/>
      <c r="F7" s="34"/>
      <c r="G7" s="34"/>
      <c r="H7" s="34"/>
      <c r="I7" s="34"/>
      <c r="J7" s="34"/>
      <c r="K7" s="35"/>
      <c r="L7" s="106"/>
      <c r="M7" s="108"/>
      <c r="N7" s="23"/>
      <c r="O7" s="36"/>
    </row>
    <row r="8" spans="1:15" ht="44.1" customHeight="1">
      <c r="A8" s="33"/>
      <c r="B8" s="37"/>
      <c r="C8" s="37"/>
      <c r="D8" s="37"/>
      <c r="E8" s="37"/>
      <c r="F8" s="37"/>
      <c r="G8" s="37"/>
      <c r="H8" s="37"/>
      <c r="I8" s="37"/>
      <c r="J8" s="37"/>
      <c r="K8" s="38"/>
      <c r="L8" s="107"/>
      <c r="M8" s="108"/>
      <c r="N8" s="23"/>
    </row>
    <row r="9" spans="1:15" ht="44.1" customHeight="1">
      <c r="A9" s="33"/>
      <c r="B9" s="34"/>
      <c r="C9" s="34"/>
      <c r="D9" s="34"/>
      <c r="E9" s="34"/>
      <c r="F9" s="34"/>
      <c r="G9" s="34"/>
      <c r="H9" s="34"/>
      <c r="I9" s="34"/>
      <c r="J9" s="34"/>
      <c r="K9" s="35"/>
      <c r="L9" s="35"/>
      <c r="M9" s="109"/>
      <c r="N9" s="23"/>
      <c r="O9" s="36"/>
    </row>
    <row r="10" spans="1:15" ht="44.1" customHeight="1">
      <c r="A10" s="33"/>
      <c r="B10" s="34"/>
      <c r="C10" s="34"/>
      <c r="D10" s="34"/>
      <c r="E10" s="34"/>
      <c r="F10" s="34"/>
      <c r="G10" s="34"/>
      <c r="H10" s="34"/>
      <c r="I10" s="34"/>
      <c r="J10" s="34"/>
      <c r="K10" s="35"/>
      <c r="L10" s="35"/>
      <c r="M10" s="25"/>
      <c r="N10" s="23"/>
      <c r="O10" s="36"/>
    </row>
    <row r="11" spans="1:15" ht="13.9">
      <c r="B11" s="39"/>
      <c r="L11" s="39"/>
      <c r="M11" s="25"/>
      <c r="N11" s="40"/>
      <c r="O11" s="36"/>
    </row>
    <row r="12" spans="1:15" ht="13.9">
      <c r="B12" s="39"/>
      <c r="L12" s="39"/>
      <c r="M12" s="25"/>
      <c r="N12" s="40"/>
      <c r="O12" s="36"/>
    </row>
    <row r="13" spans="1:15" ht="13.9">
      <c r="B13" s="39"/>
      <c r="L13" s="39"/>
      <c r="M13" s="25"/>
      <c r="N13" s="40"/>
      <c r="O13" s="36"/>
    </row>
    <row r="14" spans="1:15" ht="13.9">
      <c r="B14" s="39"/>
      <c r="L14" s="39"/>
      <c r="M14" s="25"/>
      <c r="N14" s="40"/>
      <c r="O14" s="36"/>
    </row>
    <row r="15" spans="1:15" ht="13.9">
      <c r="B15" s="39"/>
      <c r="L15" s="39"/>
      <c r="M15" s="25"/>
      <c r="N15" s="40"/>
      <c r="O15" s="36"/>
    </row>
    <row r="16" spans="1:15" ht="13.9">
      <c r="B16" s="39"/>
      <c r="L16" s="39"/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B1C9EA"/>
  </sheetPr>
  <dimension ref="A1:N134"/>
  <sheetViews>
    <sheetView topLeftCell="F1" zoomScaleNormal="100" workbookViewId="0">
      <selection activeCell="O1" sqref="O1:O1048576"/>
    </sheetView>
  </sheetViews>
  <sheetFormatPr defaultColWidth="11.5703125" defaultRowHeight="12.75"/>
  <cols>
    <col min="1" max="1" width="23" customWidth="1"/>
    <col min="2" max="2" width="16.7109375" customWidth="1"/>
    <col min="3" max="3" width="12.140625" style="5" customWidth="1"/>
    <col min="4" max="4" width="26.140625" style="5" customWidth="1"/>
    <col min="5" max="5" width="23.42578125" style="5" customWidth="1"/>
    <col min="6" max="6" width="28.5703125" style="5" customWidth="1"/>
    <col min="7" max="8" width="23.42578125" style="5" customWidth="1"/>
    <col min="9" max="9" width="22.5703125" style="5" customWidth="1"/>
    <col min="10" max="10" width="22.42578125" style="5" customWidth="1"/>
    <col min="11" max="12" width="23.42578125" style="5" customWidth="1"/>
    <col min="13" max="13" width="22.42578125" style="5" customWidth="1"/>
    <col min="14" max="14" width="16.85546875" style="5" customWidth="1"/>
  </cols>
  <sheetData>
    <row r="1" spans="1:14" ht="39.950000000000003" customHeight="1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23"/>
    </row>
    <row r="2" spans="1:14" ht="33" customHeight="1">
      <c r="A2" s="7" t="s">
        <v>135</v>
      </c>
      <c r="B2" s="8" t="s">
        <v>9</v>
      </c>
      <c r="C2" s="8" t="s">
        <v>19</v>
      </c>
      <c r="D2" s="8" t="s">
        <v>104</v>
      </c>
      <c r="E2" s="8" t="s">
        <v>93</v>
      </c>
      <c r="F2" s="8" t="s">
        <v>136</v>
      </c>
      <c r="G2" s="8" t="s">
        <v>137</v>
      </c>
      <c r="H2" s="8" t="s">
        <v>138</v>
      </c>
      <c r="I2" s="8">
        <v>99</v>
      </c>
      <c r="J2" s="8">
        <v>20</v>
      </c>
      <c r="K2" s="11">
        <v>99</v>
      </c>
      <c r="L2" s="11" t="s">
        <v>86</v>
      </c>
      <c r="M2" s="111"/>
      <c r="N2" s="23"/>
    </row>
    <row r="3" spans="1:14" ht="42" customHeight="1">
      <c r="A3" s="7" t="s">
        <v>135</v>
      </c>
      <c r="B3" s="8" t="s">
        <v>9</v>
      </c>
      <c r="C3" s="8" t="s">
        <v>21</v>
      </c>
      <c r="D3" s="8" t="s">
        <v>104</v>
      </c>
      <c r="E3" s="8" t="s">
        <v>139</v>
      </c>
      <c r="F3" s="8" t="s">
        <v>140</v>
      </c>
      <c r="G3" s="8" t="s">
        <v>141</v>
      </c>
      <c r="H3" s="8" t="s">
        <v>142</v>
      </c>
      <c r="I3" s="8">
        <v>72</v>
      </c>
      <c r="J3" s="8">
        <v>20</v>
      </c>
      <c r="K3" s="11">
        <v>72</v>
      </c>
      <c r="L3" s="11" t="s">
        <v>86</v>
      </c>
      <c r="M3" s="96">
        <f>SUM(I2:I3)</f>
        <v>171</v>
      </c>
      <c r="N3" s="23"/>
    </row>
    <row r="4" spans="1:14">
      <c r="M4" s="108"/>
    </row>
    <row r="5" spans="1:14">
      <c r="M5" s="108"/>
    </row>
    <row r="6" spans="1:14">
      <c r="M6" s="108"/>
    </row>
    <row r="7" spans="1:14">
      <c r="M7" s="108"/>
    </row>
    <row r="8" spans="1:14">
      <c r="M8" s="108"/>
    </row>
    <row r="9" spans="1:14">
      <c r="M9" s="109"/>
    </row>
    <row r="10" spans="1:14">
      <c r="M10" s="25"/>
    </row>
    <row r="11" spans="1:14">
      <c r="M11" s="25"/>
    </row>
    <row r="12" spans="1:14">
      <c r="M12" s="25"/>
    </row>
    <row r="13" spans="1:14">
      <c r="M13" s="25"/>
    </row>
    <row r="14" spans="1:14">
      <c r="M14" s="25"/>
    </row>
    <row r="15" spans="1:14">
      <c r="M15" s="25"/>
    </row>
    <row r="16" spans="1:14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89B944"/>
  </sheetPr>
  <dimension ref="A1:N134"/>
  <sheetViews>
    <sheetView zoomScaleNormal="100" workbookViewId="0">
      <selection activeCell="M1" sqref="M1"/>
    </sheetView>
  </sheetViews>
  <sheetFormatPr defaultColWidth="11.5703125" defaultRowHeight="12.75"/>
  <cols>
    <col min="1" max="1" width="21.28515625" customWidth="1"/>
    <col min="2" max="2" width="10" customWidth="1"/>
    <col min="3" max="3" width="14" style="5" customWidth="1"/>
    <col min="4" max="5" width="23" style="5" customWidth="1"/>
    <col min="6" max="6" width="29.28515625" style="5" customWidth="1"/>
    <col min="7" max="12" width="23" style="5" customWidth="1"/>
    <col min="13" max="13" width="14.140625" style="5" customWidth="1"/>
    <col min="14" max="14" width="21.7109375" style="5" customWidth="1"/>
  </cols>
  <sheetData>
    <row r="1" spans="1:14" ht="48.95" customHeight="1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23"/>
    </row>
    <row r="2" spans="1:14" ht="45.6" customHeight="1">
      <c r="A2" s="7" t="s">
        <v>143</v>
      </c>
      <c r="B2" s="8" t="s">
        <v>9</v>
      </c>
      <c r="C2" s="8" t="s">
        <v>39</v>
      </c>
      <c r="D2" s="8" t="s">
        <v>95</v>
      </c>
      <c r="E2" s="8" t="s">
        <v>144</v>
      </c>
      <c r="F2" s="8" t="s">
        <v>145</v>
      </c>
      <c r="G2" s="8" t="s">
        <v>146</v>
      </c>
      <c r="H2" s="8" t="s">
        <v>40</v>
      </c>
      <c r="I2" s="8">
        <v>36</v>
      </c>
      <c r="J2" s="8">
        <v>100</v>
      </c>
      <c r="K2" s="11">
        <v>36</v>
      </c>
      <c r="L2" s="92" t="s">
        <v>86</v>
      </c>
      <c r="M2" s="112">
        <f>I2</f>
        <v>36</v>
      </c>
      <c r="N2" s="23"/>
    </row>
    <row r="3" spans="1:14">
      <c r="M3" s="102"/>
    </row>
    <row r="4" spans="1:14">
      <c r="M4" s="108"/>
    </row>
    <row r="5" spans="1:14">
      <c r="M5" s="108"/>
    </row>
    <row r="6" spans="1:14">
      <c r="M6" s="108"/>
    </row>
    <row r="7" spans="1:14">
      <c r="M7" s="108"/>
    </row>
    <row r="8" spans="1:14">
      <c r="M8" s="108"/>
    </row>
    <row r="9" spans="1:14">
      <c r="M9" s="109"/>
    </row>
    <row r="10" spans="1:14">
      <c r="M10" s="25"/>
    </row>
    <row r="11" spans="1:14">
      <c r="M11" s="25"/>
    </row>
    <row r="12" spans="1:14">
      <c r="M12" s="25"/>
    </row>
    <row r="13" spans="1:14">
      <c r="M13" s="25"/>
    </row>
    <row r="14" spans="1:14">
      <c r="M14" s="25"/>
    </row>
    <row r="15" spans="1:14">
      <c r="M15" s="25"/>
    </row>
    <row r="16" spans="1:14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AED09A"/>
  </sheetPr>
  <dimension ref="A1:O134"/>
  <sheetViews>
    <sheetView zoomScaleNormal="100" workbookViewId="0">
      <selection activeCell="L8" sqref="L8"/>
    </sheetView>
  </sheetViews>
  <sheetFormatPr defaultColWidth="11.5703125" defaultRowHeight="12.75"/>
  <cols>
    <col min="1" max="1" width="22.7109375" customWidth="1"/>
    <col min="2" max="2" width="16.140625" style="5" customWidth="1"/>
    <col min="3" max="3" width="14.42578125" style="5" customWidth="1"/>
    <col min="4" max="5" width="21.140625" style="5" customWidth="1"/>
    <col min="6" max="6" width="33.85546875" style="5" customWidth="1"/>
    <col min="7" max="8" width="27.140625" style="5" customWidth="1"/>
    <col min="9" max="9" width="23.28515625" style="5" customWidth="1"/>
    <col min="10" max="10" width="21.85546875" style="5" customWidth="1"/>
    <col min="11" max="12" width="24.5703125" style="5" customWidth="1"/>
    <col min="13" max="13" width="17.42578125" style="24" customWidth="1"/>
    <col min="14" max="14" width="9.28515625" style="5" customWidth="1"/>
    <col min="15" max="15" width="11" style="5" customWidth="1"/>
  </cols>
  <sheetData>
    <row r="1" spans="1:15" ht="36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  <c r="N1" s="23"/>
    </row>
    <row r="2" spans="1:15" ht="49.35" customHeight="1">
      <c r="A2" s="7" t="s">
        <v>147</v>
      </c>
      <c r="B2" s="8" t="s">
        <v>148</v>
      </c>
      <c r="C2" s="8" t="s">
        <v>42</v>
      </c>
      <c r="D2" s="8" t="s">
        <v>149</v>
      </c>
      <c r="E2" s="8" t="s">
        <v>150</v>
      </c>
      <c r="F2" s="8" t="s">
        <v>151</v>
      </c>
      <c r="G2" s="8" t="s">
        <v>152</v>
      </c>
      <c r="H2" s="8" t="s">
        <v>153</v>
      </c>
      <c r="I2" s="8">
        <v>54</v>
      </c>
      <c r="J2" s="8">
        <v>80</v>
      </c>
      <c r="K2" s="11">
        <v>54</v>
      </c>
      <c r="L2" s="11" t="s">
        <v>86</v>
      </c>
      <c r="M2" s="111"/>
      <c r="N2" s="23"/>
    </row>
    <row r="3" spans="1:15" ht="41.1" customHeight="1">
      <c r="A3" s="7" t="s">
        <v>147</v>
      </c>
      <c r="B3" s="8" t="s">
        <v>9</v>
      </c>
      <c r="C3" s="8" t="s">
        <v>39</v>
      </c>
      <c r="D3" s="8" t="s">
        <v>154</v>
      </c>
      <c r="E3" s="8" t="s">
        <v>150</v>
      </c>
      <c r="F3" s="8" t="s">
        <v>151</v>
      </c>
      <c r="G3" s="8" t="s">
        <v>152</v>
      </c>
      <c r="H3" s="8" t="s">
        <v>40</v>
      </c>
      <c r="I3" s="8">
        <v>50</v>
      </c>
      <c r="J3" s="8">
        <v>80</v>
      </c>
      <c r="K3" s="11">
        <v>50</v>
      </c>
      <c r="L3" s="11" t="s">
        <v>86</v>
      </c>
      <c r="M3" s="96">
        <f>SUM(I2:I3)</f>
        <v>104</v>
      </c>
      <c r="N3" s="23"/>
    </row>
    <row r="4" spans="1:15">
      <c r="M4" s="108"/>
    </row>
    <row r="5" spans="1:15">
      <c r="M5" s="108"/>
    </row>
    <row r="6" spans="1:15">
      <c r="M6" s="108"/>
    </row>
    <row r="7" spans="1:15" ht="13.9">
      <c r="B7" s="39"/>
      <c r="L7" s="39"/>
      <c r="M7" s="108"/>
      <c r="N7" s="1"/>
      <c r="O7" s="40"/>
    </row>
    <row r="8" spans="1:15" ht="13.9">
      <c r="B8" s="39"/>
      <c r="L8" s="39"/>
      <c r="M8" s="108"/>
      <c r="N8" s="118"/>
      <c r="O8" s="40"/>
    </row>
    <row r="9" spans="1:15" ht="13.9">
      <c r="B9" s="39"/>
      <c r="M9" s="109"/>
      <c r="N9" s="118"/>
    </row>
    <row r="10" spans="1:15">
      <c r="M10" s="25"/>
    </row>
    <row r="11" spans="1:15">
      <c r="M11" s="25"/>
    </row>
    <row r="12" spans="1:15">
      <c r="M12" s="25"/>
    </row>
    <row r="13" spans="1:15">
      <c r="M13" s="25"/>
    </row>
    <row r="14" spans="1:15">
      <c r="M14" s="25"/>
    </row>
    <row r="15" spans="1:15">
      <c r="M15" s="25"/>
    </row>
    <row r="16" spans="1:15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mergeCells count="1">
    <mergeCell ref="N8:N9"/>
  </mergeCell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E2E2E2"/>
  </sheetPr>
  <dimension ref="A1:Z6"/>
  <sheetViews>
    <sheetView zoomScaleNormal="100" workbookViewId="0"/>
  </sheetViews>
  <sheetFormatPr defaultColWidth="11.5703125" defaultRowHeight="12.75"/>
  <cols>
    <col min="1" max="1" width="8.28515625" customWidth="1"/>
    <col min="2" max="2" width="11.28515625" style="5" customWidth="1"/>
    <col min="3" max="3" width="25.7109375" style="5" customWidth="1"/>
    <col min="4" max="8" width="22.5703125" style="5" customWidth="1"/>
    <col min="9" max="10" width="16.5703125" style="5" customWidth="1"/>
    <col min="18" max="18" width="22.85546875" customWidth="1"/>
    <col min="19" max="19" width="21" customWidth="1"/>
    <col min="20" max="21" width="18.42578125" customWidth="1"/>
    <col min="22" max="22" width="17.140625" customWidth="1"/>
    <col min="23" max="23" width="15.7109375" customWidth="1"/>
    <col min="24" max="24" width="19.140625" customWidth="1"/>
    <col min="25" max="25" width="19" customWidth="1"/>
    <col min="26" max="26" width="14.42578125" customWidth="1"/>
  </cols>
  <sheetData>
    <row r="1" spans="1:26">
      <c r="A1" s="14" t="s">
        <v>155</v>
      </c>
      <c r="O1" s="16" t="s">
        <v>156</v>
      </c>
    </row>
    <row r="3" spans="1:26" ht="70.900000000000006" customHeight="1">
      <c r="A3" s="23" t="s">
        <v>68</v>
      </c>
      <c r="B3" s="23" t="s">
        <v>69</v>
      </c>
      <c r="C3" s="23" t="s">
        <v>157</v>
      </c>
      <c r="D3" s="23" t="s">
        <v>158</v>
      </c>
      <c r="E3" s="23" t="s">
        <v>159</v>
      </c>
      <c r="F3" s="23" t="s">
        <v>76</v>
      </c>
      <c r="G3" s="23" t="s">
        <v>160</v>
      </c>
      <c r="H3" s="23" t="s">
        <v>161</v>
      </c>
      <c r="I3" s="23" t="s">
        <v>162</v>
      </c>
      <c r="J3" s="23"/>
      <c r="O3" s="42" t="s">
        <v>67</v>
      </c>
      <c r="P3" s="42" t="s">
        <v>68</v>
      </c>
      <c r="Q3" s="42" t="s">
        <v>69</v>
      </c>
      <c r="R3" s="42" t="s">
        <v>70</v>
      </c>
      <c r="S3" s="42" t="s">
        <v>71</v>
      </c>
      <c r="T3" s="42" t="s">
        <v>163</v>
      </c>
      <c r="U3" s="42" t="s">
        <v>74</v>
      </c>
      <c r="V3" s="42" t="s">
        <v>75</v>
      </c>
      <c r="W3" s="42" t="s">
        <v>76</v>
      </c>
      <c r="X3" s="42" t="s">
        <v>77</v>
      </c>
      <c r="Y3" s="42" t="s">
        <v>78</v>
      </c>
      <c r="Z3" s="23"/>
    </row>
    <row r="4" spans="1:26" ht="21" customHeight="1">
      <c r="A4" s="44" t="s">
        <v>164</v>
      </c>
      <c r="B4" s="44" t="s">
        <v>165</v>
      </c>
      <c r="C4" s="44"/>
      <c r="D4" s="44" t="s">
        <v>166</v>
      </c>
      <c r="E4" s="44">
        <v>10</v>
      </c>
      <c r="F4" s="44">
        <v>80</v>
      </c>
      <c r="G4" s="46"/>
      <c r="H4" s="46">
        <f>E4-G4</f>
        <v>10</v>
      </c>
      <c r="I4" s="7" t="s">
        <v>167</v>
      </c>
      <c r="J4" s="7"/>
      <c r="O4" t="s">
        <v>86</v>
      </c>
      <c r="P4" t="s">
        <v>86</v>
      </c>
      <c r="Q4" t="s">
        <v>86</v>
      </c>
      <c r="R4" t="s">
        <v>86</v>
      </c>
      <c r="S4" t="s">
        <v>86</v>
      </c>
      <c r="T4" t="s">
        <v>86</v>
      </c>
      <c r="U4" t="s">
        <v>86</v>
      </c>
      <c r="V4" t="s">
        <v>86</v>
      </c>
      <c r="W4" t="s">
        <v>86</v>
      </c>
      <c r="X4" t="s">
        <v>86</v>
      </c>
      <c r="Y4" t="s">
        <v>86</v>
      </c>
    </row>
    <row r="5" spans="1:26" ht="23.85">
      <c r="A5" s="44" t="s">
        <v>9</v>
      </c>
      <c r="B5" s="44" t="s">
        <v>168</v>
      </c>
      <c r="C5" s="44"/>
      <c r="D5" s="44" t="s">
        <v>169</v>
      </c>
      <c r="E5" s="44">
        <v>12</v>
      </c>
      <c r="F5" s="44">
        <v>144</v>
      </c>
      <c r="G5" s="46">
        <v>6</v>
      </c>
      <c r="H5" s="46">
        <f>E5-G5</f>
        <v>6</v>
      </c>
      <c r="I5" s="50" t="s">
        <v>170</v>
      </c>
      <c r="J5" s="119"/>
    </row>
    <row r="6" spans="1:26" ht="18" customHeight="1">
      <c r="A6" s="44" t="s">
        <v>9</v>
      </c>
      <c r="B6" s="44" t="s">
        <v>171</v>
      </c>
      <c r="C6" s="44"/>
      <c r="D6" s="44" t="s">
        <v>172</v>
      </c>
      <c r="E6" s="44">
        <v>12</v>
      </c>
      <c r="F6" s="44">
        <v>144</v>
      </c>
      <c r="G6" s="46">
        <v>6</v>
      </c>
      <c r="H6" s="46">
        <f>E6-G6</f>
        <v>6</v>
      </c>
      <c r="I6" s="50" t="s">
        <v>170</v>
      </c>
      <c r="J6" s="119"/>
    </row>
  </sheetData>
  <mergeCells count="1">
    <mergeCell ref="J5:J6"/>
  </mergeCells>
  <hyperlinks>
    <hyperlink ref="A1" location="INIICIO!A1" display="INICIO" xr:uid="{00000000-0004-0000-0700-000000000000}"/>
    <hyperlink ref="O1" location="Início!A1" display="Início" xr:uid="{00000000-0004-0000-0700-000001000000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5E3383"/>
  </sheetPr>
  <dimension ref="A1:O134"/>
  <sheetViews>
    <sheetView zoomScaleNormal="100" workbookViewId="0">
      <selection activeCell="M1" sqref="M1"/>
    </sheetView>
  </sheetViews>
  <sheetFormatPr defaultColWidth="11.5703125" defaultRowHeight="12.75"/>
  <cols>
    <col min="1" max="1" width="23" customWidth="1"/>
    <col min="2" max="2" width="10" customWidth="1"/>
    <col min="3" max="3" width="11.5703125" style="5"/>
    <col min="4" max="4" width="25.42578125" style="5" customWidth="1"/>
    <col min="5" max="5" width="23.140625" style="5" customWidth="1"/>
    <col min="6" max="6" width="31.140625" style="5" customWidth="1"/>
    <col min="7" max="12" width="23.140625" style="5" customWidth="1"/>
    <col min="13" max="13" width="13.5703125" style="5" customWidth="1"/>
    <col min="14" max="15" width="8.28515625" customWidth="1"/>
  </cols>
  <sheetData>
    <row r="1" spans="1:15" ht="36">
      <c r="A1" s="84" t="s">
        <v>67</v>
      </c>
      <c r="B1" s="84" t="s">
        <v>68</v>
      </c>
      <c r="C1" s="84" t="s">
        <v>69</v>
      </c>
      <c r="D1" s="84" t="s">
        <v>70</v>
      </c>
      <c r="E1" s="8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</row>
    <row r="2" spans="1:15" ht="15">
      <c r="A2" s="78" t="s">
        <v>173</v>
      </c>
      <c r="B2" s="85" t="s">
        <v>9</v>
      </c>
      <c r="C2" s="85" t="s">
        <v>45</v>
      </c>
      <c r="D2" s="85" t="s">
        <v>174</v>
      </c>
      <c r="E2" s="87" t="s">
        <v>175</v>
      </c>
      <c r="F2" s="49" t="s">
        <v>176</v>
      </c>
      <c r="G2" s="49" t="s">
        <v>177</v>
      </c>
      <c r="H2" s="10" t="s">
        <v>178</v>
      </c>
      <c r="I2" s="10">
        <v>18</v>
      </c>
      <c r="J2" s="10">
        <v>45</v>
      </c>
      <c r="K2" s="47">
        <v>18</v>
      </c>
      <c r="L2" s="11" t="s">
        <v>86</v>
      </c>
      <c r="M2" s="112">
        <f>I2</f>
        <v>18</v>
      </c>
      <c r="O2" s="40"/>
    </row>
    <row r="3" spans="1:15" ht="15">
      <c r="A3" s="5"/>
      <c r="B3" s="69"/>
      <c r="C3" s="69"/>
      <c r="D3" s="69"/>
      <c r="E3" s="39"/>
      <c r="F3" s="39"/>
      <c r="G3" s="39"/>
      <c r="H3" s="39"/>
      <c r="I3" s="39"/>
      <c r="J3" s="39"/>
      <c r="M3" s="102"/>
    </row>
    <row r="4" spans="1:15">
      <c r="A4" s="82"/>
      <c r="B4" s="82"/>
      <c r="C4" s="83"/>
      <c r="D4" s="83"/>
      <c r="M4" s="108"/>
    </row>
    <row r="5" spans="1:15">
      <c r="M5" s="108"/>
    </row>
    <row r="6" spans="1:15">
      <c r="D6" s="51"/>
      <c r="M6" s="108"/>
    </row>
    <row r="7" spans="1:15">
      <c r="M7" s="108"/>
    </row>
    <row r="8" spans="1:15">
      <c r="M8" s="108"/>
    </row>
    <row r="9" spans="1:15">
      <c r="M9" s="109"/>
    </row>
    <row r="10" spans="1:15">
      <c r="M10" s="25"/>
    </row>
    <row r="11" spans="1:15">
      <c r="M11" s="25"/>
    </row>
    <row r="12" spans="1:15">
      <c r="M12" s="25"/>
    </row>
    <row r="13" spans="1:15">
      <c r="M13" s="25"/>
    </row>
    <row r="14" spans="1:15">
      <c r="M14" s="25"/>
    </row>
    <row r="15" spans="1:15">
      <c r="M15" s="25"/>
    </row>
    <row r="16" spans="1:15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E2E2E2"/>
  </sheetPr>
  <dimension ref="A1:Z4"/>
  <sheetViews>
    <sheetView topLeftCell="P1" zoomScaleNormal="100" workbookViewId="0">
      <selection activeCell="Z14" sqref="Z14"/>
    </sheetView>
  </sheetViews>
  <sheetFormatPr defaultColWidth="11.5703125" defaultRowHeight="12.75"/>
  <cols>
    <col min="1" max="1" width="10.85546875" customWidth="1"/>
    <col min="2" max="2" width="13" style="5" customWidth="1"/>
    <col min="3" max="3" width="13.5703125" style="5" customWidth="1"/>
    <col min="4" max="5" width="27.85546875" style="5" customWidth="1"/>
    <col min="6" max="9" width="22.5703125" style="5" customWidth="1"/>
    <col min="10" max="10" width="13.42578125" style="5" customWidth="1"/>
    <col min="11" max="11" width="8.28515625" customWidth="1"/>
    <col min="16" max="16" width="13.7109375" customWidth="1"/>
    <col min="19" max="19" width="17.85546875" customWidth="1"/>
    <col min="20" max="20" width="16.85546875" customWidth="1"/>
    <col min="21" max="21" width="19.42578125" customWidth="1"/>
    <col min="22" max="22" width="14.85546875" customWidth="1"/>
    <col min="23" max="23" width="16.42578125" customWidth="1"/>
    <col min="24" max="24" width="18.28515625" customWidth="1"/>
    <col min="25" max="25" width="18.140625" customWidth="1"/>
    <col min="26" max="26" width="19.7109375" customWidth="1"/>
  </cols>
  <sheetData>
    <row r="1" spans="1:26" ht="13.9">
      <c r="A1" s="16" t="s">
        <v>156</v>
      </c>
      <c r="B1" s="14"/>
    </row>
    <row r="2" spans="1:26" ht="46.35">
      <c r="P2" s="42" t="s">
        <v>67</v>
      </c>
      <c r="Q2" s="42" t="s">
        <v>68</v>
      </c>
      <c r="R2" s="42" t="s">
        <v>69</v>
      </c>
      <c r="S2" s="42" t="s">
        <v>70</v>
      </c>
      <c r="T2" s="42" t="s">
        <v>71</v>
      </c>
      <c r="U2" s="42" t="s">
        <v>163</v>
      </c>
      <c r="V2" s="42" t="s">
        <v>74</v>
      </c>
      <c r="W2" s="42" t="s">
        <v>75</v>
      </c>
      <c r="X2" s="42" t="s">
        <v>76</v>
      </c>
      <c r="Y2" s="42" t="s">
        <v>77</v>
      </c>
      <c r="Z2" s="42" t="s">
        <v>78</v>
      </c>
    </row>
    <row r="3" spans="1:26" ht="39" customHeight="1">
      <c r="A3" s="42" t="s">
        <v>67</v>
      </c>
      <c r="B3" s="42" t="s">
        <v>68</v>
      </c>
      <c r="C3" s="42" t="s">
        <v>69</v>
      </c>
      <c r="D3" s="42" t="s">
        <v>179</v>
      </c>
      <c r="E3" s="42" t="s">
        <v>180</v>
      </c>
      <c r="F3" s="42" t="s">
        <v>75</v>
      </c>
      <c r="G3" s="42" t="s">
        <v>76</v>
      </c>
      <c r="H3" s="42" t="s">
        <v>181</v>
      </c>
      <c r="I3" s="42" t="s">
        <v>182</v>
      </c>
      <c r="J3" s="23"/>
      <c r="K3" s="23"/>
      <c r="P3" t="s">
        <v>86</v>
      </c>
      <c r="Q3" t="s">
        <v>86</v>
      </c>
      <c r="R3" t="s">
        <v>86</v>
      </c>
      <c r="S3" t="s">
        <v>86</v>
      </c>
      <c r="T3" t="s">
        <v>86</v>
      </c>
      <c r="U3" t="s">
        <v>86</v>
      </c>
      <c r="V3" t="s">
        <v>86</v>
      </c>
      <c r="W3" t="s">
        <v>86</v>
      </c>
      <c r="X3" t="s">
        <v>86</v>
      </c>
      <c r="Y3" t="s">
        <v>86</v>
      </c>
      <c r="Z3" t="s">
        <v>86</v>
      </c>
    </row>
    <row r="4" spans="1:26" ht="42.95" customHeight="1">
      <c r="B4" s="44" t="s">
        <v>183</v>
      </c>
      <c r="C4" s="44" t="s">
        <v>121</v>
      </c>
      <c r="D4" s="44"/>
      <c r="E4" s="44" t="s">
        <v>184</v>
      </c>
      <c r="F4" s="44">
        <v>2</v>
      </c>
      <c r="G4" s="44">
        <v>96</v>
      </c>
      <c r="H4" s="46">
        <v>2</v>
      </c>
      <c r="I4" s="46">
        <f>F4-H4</f>
        <v>0</v>
      </c>
      <c r="J4" s="52"/>
      <c r="K4" s="5"/>
    </row>
  </sheetData>
  <hyperlinks>
    <hyperlink ref="A1" location="Início!A1" display="Início" xr:uid="{00000000-0004-0000-0A00-000000000000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4DCE1"/>
  </sheetPr>
  <dimension ref="A1:X134"/>
  <sheetViews>
    <sheetView topLeftCell="F1" zoomScaleNormal="100" workbookViewId="0">
      <selection activeCell="M1" sqref="M1:M1048576"/>
    </sheetView>
  </sheetViews>
  <sheetFormatPr defaultColWidth="11.5703125" defaultRowHeight="12.75"/>
  <cols>
    <col min="1" max="1" width="23.28515625" customWidth="1"/>
    <col min="2" max="2" width="11.85546875" customWidth="1"/>
    <col min="3" max="3" width="14.7109375" style="5" customWidth="1"/>
    <col min="4" max="4" width="23.5703125" style="5" customWidth="1"/>
    <col min="5" max="5" width="24.28515625" style="5" customWidth="1"/>
    <col min="6" max="6" width="38" style="5" customWidth="1"/>
    <col min="7" max="8" width="32.7109375" style="5" customWidth="1"/>
    <col min="9" max="9" width="22.85546875" style="5" customWidth="1"/>
    <col min="10" max="10" width="20" style="5" customWidth="1"/>
    <col min="11" max="12" width="22" style="5" customWidth="1"/>
    <col min="13" max="13" width="39.85546875" style="24" customWidth="1"/>
    <col min="14" max="14" width="17.7109375" style="5" customWidth="1"/>
    <col min="18" max="18" width="14.140625" customWidth="1"/>
    <col min="19" max="19" width="14.5703125" customWidth="1"/>
    <col min="20" max="20" width="13.28515625" customWidth="1"/>
    <col min="21" max="21" width="13.7109375" customWidth="1"/>
    <col min="22" max="22" width="13" customWidth="1"/>
    <col min="23" max="23" width="13.5703125" customWidth="1"/>
  </cols>
  <sheetData>
    <row r="1" spans="1:24" ht="36">
      <c r="A1" s="42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88" t="s">
        <v>78</v>
      </c>
      <c r="M1" s="84" t="s">
        <v>79</v>
      </c>
      <c r="N1" s="60"/>
      <c r="O1" s="60"/>
      <c r="P1" s="60"/>
      <c r="Q1" s="60"/>
      <c r="R1" s="60"/>
      <c r="S1" s="60"/>
      <c r="T1" s="60"/>
      <c r="U1" s="60"/>
      <c r="V1" s="60"/>
      <c r="W1" s="60"/>
      <c r="X1" s="60"/>
    </row>
    <row r="2" spans="1:24" ht="44.85" customHeight="1">
      <c r="A2" s="7" t="s">
        <v>185</v>
      </c>
      <c r="B2" s="8" t="s">
        <v>9</v>
      </c>
      <c r="C2" s="8" t="s">
        <v>14</v>
      </c>
      <c r="D2" s="8" t="s">
        <v>89</v>
      </c>
      <c r="E2" s="8" t="s">
        <v>186</v>
      </c>
      <c r="F2" s="8" t="s">
        <v>187</v>
      </c>
      <c r="G2" s="8" t="s">
        <v>188</v>
      </c>
      <c r="H2" s="8" t="s">
        <v>131</v>
      </c>
      <c r="I2" s="8">
        <v>8</v>
      </c>
      <c r="J2" s="8">
        <v>72</v>
      </c>
      <c r="K2" s="11">
        <v>8</v>
      </c>
      <c r="L2" s="43" t="s">
        <v>86</v>
      </c>
      <c r="M2" s="104"/>
      <c r="N2" s="69"/>
      <c r="O2" s="69"/>
      <c r="P2" s="69"/>
      <c r="Q2" s="69"/>
      <c r="R2" s="69"/>
      <c r="S2" s="69"/>
      <c r="T2" s="113"/>
      <c r="U2" s="113"/>
      <c r="V2" s="113"/>
      <c r="W2" s="113"/>
      <c r="X2" s="60"/>
    </row>
    <row r="3" spans="1:24" ht="42.6" customHeight="1">
      <c r="A3" s="7" t="s">
        <v>185</v>
      </c>
      <c r="B3" s="8" t="s">
        <v>9</v>
      </c>
      <c r="C3" s="8" t="s">
        <v>61</v>
      </c>
      <c r="D3" s="8" t="s">
        <v>104</v>
      </c>
      <c r="E3" s="8" t="s">
        <v>189</v>
      </c>
      <c r="F3" s="8" t="s">
        <v>190</v>
      </c>
      <c r="G3" s="8" t="s">
        <v>191</v>
      </c>
      <c r="H3" s="8" t="s">
        <v>192</v>
      </c>
      <c r="I3" s="8">
        <v>8</v>
      </c>
      <c r="J3" s="8">
        <v>72</v>
      </c>
      <c r="K3" s="11">
        <v>8</v>
      </c>
      <c r="L3" s="43" t="s">
        <v>86</v>
      </c>
      <c r="M3" s="96"/>
      <c r="N3" s="69"/>
      <c r="O3" s="69"/>
      <c r="P3" s="69"/>
      <c r="Q3" s="69"/>
      <c r="R3" s="69"/>
      <c r="S3" s="69"/>
      <c r="T3" s="113"/>
      <c r="U3" s="113"/>
      <c r="V3" s="113"/>
      <c r="W3" s="113"/>
      <c r="X3" s="113"/>
    </row>
    <row r="4" spans="1:24" ht="43.35" customHeight="1">
      <c r="A4" s="7" t="s">
        <v>185</v>
      </c>
      <c r="B4" s="8" t="s">
        <v>9</v>
      </c>
      <c r="C4" s="8" t="s">
        <v>62</v>
      </c>
      <c r="D4" s="8" t="s">
        <v>104</v>
      </c>
      <c r="E4" s="8" t="s">
        <v>186</v>
      </c>
      <c r="F4" s="8" t="s">
        <v>187</v>
      </c>
      <c r="G4" s="8" t="s">
        <v>188</v>
      </c>
      <c r="H4" s="8" t="s">
        <v>63</v>
      </c>
      <c r="I4" s="8">
        <v>8</v>
      </c>
      <c r="J4" s="8">
        <v>72</v>
      </c>
      <c r="K4" s="11">
        <v>8</v>
      </c>
      <c r="L4" s="43" t="s">
        <v>86</v>
      </c>
      <c r="M4" s="96"/>
      <c r="N4" s="69"/>
      <c r="O4" s="69"/>
      <c r="P4" s="69"/>
      <c r="Q4" s="69"/>
      <c r="R4" s="69"/>
      <c r="S4" s="69"/>
      <c r="T4" s="113"/>
      <c r="U4" s="113"/>
      <c r="V4" s="113"/>
      <c r="W4" s="113"/>
      <c r="X4" s="113"/>
    </row>
    <row r="5" spans="1:24" ht="38.85" customHeight="1">
      <c r="A5" s="7" t="s">
        <v>185</v>
      </c>
      <c r="B5" s="8" t="s">
        <v>9</v>
      </c>
      <c r="C5" s="8" t="s">
        <v>64</v>
      </c>
      <c r="D5" s="8" t="s">
        <v>100</v>
      </c>
      <c r="E5" s="8" t="s">
        <v>189</v>
      </c>
      <c r="F5" s="8" t="s">
        <v>190</v>
      </c>
      <c r="G5" s="8" t="s">
        <v>191</v>
      </c>
      <c r="H5" s="8" t="s">
        <v>193</v>
      </c>
      <c r="I5" s="11">
        <v>8</v>
      </c>
      <c r="J5" s="11">
        <v>144</v>
      </c>
      <c r="K5" s="11">
        <v>8</v>
      </c>
      <c r="L5" s="43" t="s">
        <v>86</v>
      </c>
      <c r="M5" s="96">
        <f>SUM(I2:I5)</f>
        <v>32</v>
      </c>
      <c r="N5" s="69"/>
      <c r="O5" s="69"/>
      <c r="P5" s="69"/>
      <c r="Q5" s="69"/>
      <c r="R5" s="69"/>
      <c r="S5" s="69"/>
      <c r="T5" s="113"/>
      <c r="U5" s="113"/>
      <c r="V5" s="113"/>
      <c r="W5" s="113"/>
      <c r="X5" s="58"/>
    </row>
    <row r="6" spans="1:24" ht="17.850000000000001" customHeight="1">
      <c r="B6" s="55"/>
      <c r="C6" s="55"/>
      <c r="D6" s="55"/>
      <c r="E6" s="55"/>
      <c r="F6" s="55"/>
      <c r="G6" s="55"/>
      <c r="H6" s="56"/>
      <c r="I6" s="57"/>
      <c r="J6" s="57"/>
      <c r="K6" s="57"/>
      <c r="L6" s="57"/>
      <c r="M6" s="108"/>
      <c r="N6" s="114"/>
    </row>
    <row r="7" spans="1:24">
      <c r="M7" s="108"/>
    </row>
    <row r="8" spans="1:24">
      <c r="M8" s="108"/>
    </row>
    <row r="9" spans="1:24">
      <c r="M9" s="109"/>
    </row>
    <row r="10" spans="1:24">
      <c r="M10" s="25"/>
    </row>
    <row r="11" spans="1:24">
      <c r="M11" s="25"/>
    </row>
    <row r="12" spans="1:24">
      <c r="M12" s="25"/>
    </row>
    <row r="13" spans="1:24">
      <c r="M13" s="25"/>
    </row>
    <row r="14" spans="1:24">
      <c r="M14" s="25"/>
    </row>
    <row r="15" spans="1:24">
      <c r="M15" s="25"/>
    </row>
    <row r="16" spans="1:24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4BD3E"/>
  </sheetPr>
  <dimension ref="A1:N228"/>
  <sheetViews>
    <sheetView zoomScaleNormal="100" workbookViewId="0">
      <selection activeCell="D25" sqref="D25"/>
    </sheetView>
  </sheetViews>
  <sheetFormatPr defaultColWidth="11.5703125" defaultRowHeight="12.75"/>
  <cols>
    <col min="1" max="1" width="22.28515625" customWidth="1"/>
    <col min="2" max="2" width="9.140625" style="5" customWidth="1"/>
    <col min="3" max="3" width="12.7109375" style="5" customWidth="1"/>
    <col min="4" max="8" width="26.140625" style="5" customWidth="1"/>
    <col min="9" max="9" width="21.85546875" style="5" customWidth="1"/>
    <col min="10" max="10" width="21.28515625" style="5" customWidth="1"/>
    <col min="11" max="12" width="22.5703125" style="5" customWidth="1"/>
    <col min="13" max="13" width="23.140625" style="58" customWidth="1"/>
    <col min="14" max="14" width="8.28515625" customWidth="1"/>
  </cols>
  <sheetData>
    <row r="1" spans="1:14" ht="48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84" t="s">
        <v>79</v>
      </c>
      <c r="N1" s="23"/>
    </row>
    <row r="2" spans="1:14" ht="33" customHeight="1">
      <c r="A2" s="7" t="s">
        <v>194</v>
      </c>
      <c r="B2" s="8" t="s">
        <v>9</v>
      </c>
      <c r="C2" s="8" t="s">
        <v>30</v>
      </c>
      <c r="D2" s="8" t="s">
        <v>81</v>
      </c>
      <c r="E2" s="8" t="s">
        <v>195</v>
      </c>
      <c r="F2" s="8" t="s">
        <v>196</v>
      </c>
      <c r="G2" s="8" t="s">
        <v>197</v>
      </c>
      <c r="H2" s="8" t="s">
        <v>198</v>
      </c>
      <c r="I2" s="8">
        <v>3</v>
      </c>
      <c r="J2" s="8">
        <v>80</v>
      </c>
      <c r="K2" s="11">
        <v>3</v>
      </c>
      <c r="L2" s="11" t="s">
        <v>86</v>
      </c>
      <c r="M2" s="104"/>
    </row>
    <row r="3" spans="1:14" ht="33" customHeight="1">
      <c r="A3" s="7" t="s">
        <v>194</v>
      </c>
      <c r="B3" s="8" t="s">
        <v>9</v>
      </c>
      <c r="C3" s="8" t="s">
        <v>34</v>
      </c>
      <c r="D3" s="8" t="s">
        <v>81</v>
      </c>
      <c r="E3" s="8" t="s">
        <v>195</v>
      </c>
      <c r="F3" s="8" t="s">
        <v>196</v>
      </c>
      <c r="G3" s="8" t="s">
        <v>197</v>
      </c>
      <c r="H3" s="8" t="s">
        <v>63</v>
      </c>
      <c r="I3" s="8">
        <v>3</v>
      </c>
      <c r="J3" s="8">
        <v>60</v>
      </c>
      <c r="K3" s="11">
        <v>3</v>
      </c>
      <c r="L3" s="11" t="s">
        <v>86</v>
      </c>
      <c r="M3" s="115"/>
    </row>
    <row r="4" spans="1:14" ht="24" customHeight="1">
      <c r="A4" s="7" t="s">
        <v>194</v>
      </c>
      <c r="B4" s="8" t="s">
        <v>9</v>
      </c>
      <c r="C4" s="8" t="s">
        <v>32</v>
      </c>
      <c r="D4" s="8" t="s">
        <v>93</v>
      </c>
      <c r="E4" s="8" t="s">
        <v>195</v>
      </c>
      <c r="F4" s="8" t="s">
        <v>196</v>
      </c>
      <c r="G4" s="8" t="s">
        <v>197</v>
      </c>
      <c r="H4" s="8" t="s">
        <v>138</v>
      </c>
      <c r="I4" s="8">
        <v>3</v>
      </c>
      <c r="J4" s="8">
        <v>20</v>
      </c>
      <c r="K4" s="11">
        <v>3</v>
      </c>
      <c r="L4" s="92" t="s">
        <v>86</v>
      </c>
      <c r="M4" s="96">
        <f>SUM(I1:I4)</f>
        <v>9</v>
      </c>
    </row>
    <row r="5" spans="1:14" ht="15">
      <c r="B5" s="39"/>
      <c r="M5" s="102"/>
    </row>
    <row r="6" spans="1:14">
      <c r="M6" s="108"/>
    </row>
    <row r="7" spans="1:14">
      <c r="M7" s="108"/>
    </row>
    <row r="8" spans="1:14">
      <c r="M8" s="108"/>
    </row>
    <row r="9" spans="1:14">
      <c r="M9" s="109"/>
    </row>
    <row r="10" spans="1:14">
      <c r="M10" s="25"/>
    </row>
    <row r="11" spans="1:14">
      <c r="M11" s="25"/>
    </row>
    <row r="12" spans="1:14">
      <c r="M12" s="25"/>
    </row>
    <row r="13" spans="1:14">
      <c r="M13" s="25"/>
    </row>
    <row r="14" spans="1:14">
      <c r="M14" s="25"/>
    </row>
    <row r="15" spans="1:14">
      <c r="M15" s="25"/>
    </row>
    <row r="16" spans="1:14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  <row r="135" spans="13:13">
      <c r="M135" s="24"/>
    </row>
    <row r="136" spans="13:13">
      <c r="M136" s="24"/>
    </row>
    <row r="137" spans="13:13">
      <c r="M137" s="24"/>
    </row>
    <row r="138" spans="13:13">
      <c r="M138" s="24"/>
    </row>
    <row r="139" spans="13:13">
      <c r="M139" s="24"/>
    </row>
    <row r="140" spans="13:13">
      <c r="M140" s="24"/>
    </row>
    <row r="141" spans="13:13">
      <c r="M141" s="24"/>
    </row>
    <row r="142" spans="13:13">
      <c r="M142" s="24"/>
    </row>
    <row r="143" spans="13:13">
      <c r="M143" s="24"/>
    </row>
    <row r="144" spans="13:13">
      <c r="M144" s="24"/>
    </row>
    <row r="145" spans="13:13">
      <c r="M145" s="24"/>
    </row>
    <row r="146" spans="13:13">
      <c r="M146" s="24"/>
    </row>
    <row r="147" spans="13:13">
      <c r="M147" s="24"/>
    </row>
    <row r="148" spans="13:13">
      <c r="M148" s="24"/>
    </row>
    <row r="149" spans="13:13">
      <c r="M149" s="24"/>
    </row>
    <row r="150" spans="13:13">
      <c r="M150" s="24"/>
    </row>
    <row r="151" spans="13:13">
      <c r="M151" s="24"/>
    </row>
    <row r="152" spans="13:13">
      <c r="M152" s="24"/>
    </row>
    <row r="153" spans="13:13">
      <c r="M153" s="24"/>
    </row>
    <row r="154" spans="13:13">
      <c r="M154" s="24"/>
    </row>
    <row r="155" spans="13:13">
      <c r="M155" s="24"/>
    </row>
    <row r="156" spans="13:13">
      <c r="M156" s="24"/>
    </row>
    <row r="157" spans="13:13">
      <c r="M157" s="24"/>
    </row>
    <row r="158" spans="13:13">
      <c r="M158" s="24"/>
    </row>
    <row r="159" spans="13:13">
      <c r="M159" s="24"/>
    </row>
    <row r="160" spans="13:13">
      <c r="M160" s="24"/>
    </row>
    <row r="161" spans="13:13">
      <c r="M161" s="24"/>
    </row>
    <row r="162" spans="13:13">
      <c r="M162" s="24"/>
    </row>
    <row r="163" spans="13:13">
      <c r="M163" s="24"/>
    </row>
    <row r="164" spans="13:13">
      <c r="M164" s="24"/>
    </row>
    <row r="165" spans="13:13">
      <c r="M165" s="24"/>
    </row>
    <row r="166" spans="13:13">
      <c r="M166" s="24"/>
    </row>
    <row r="167" spans="13:13">
      <c r="M167" s="24"/>
    </row>
    <row r="168" spans="13:13">
      <c r="M168" s="24"/>
    </row>
    <row r="169" spans="13:13">
      <c r="M169" s="24"/>
    </row>
    <row r="170" spans="13:13">
      <c r="M170" s="24"/>
    </row>
    <row r="171" spans="13:13">
      <c r="M171" s="24"/>
    </row>
    <row r="172" spans="13:13">
      <c r="M172" s="24"/>
    </row>
    <row r="173" spans="13:13">
      <c r="M173" s="24"/>
    </row>
    <row r="174" spans="13:13">
      <c r="M174" s="24"/>
    </row>
    <row r="175" spans="13:13">
      <c r="M175" s="24"/>
    </row>
    <row r="176" spans="13:13">
      <c r="M176" s="24"/>
    </row>
    <row r="177" spans="13:13">
      <c r="M177" s="24"/>
    </row>
    <row r="178" spans="13:13">
      <c r="M178" s="24"/>
    </row>
    <row r="179" spans="13:13">
      <c r="M179" s="24"/>
    </row>
    <row r="180" spans="13:13">
      <c r="M180" s="24"/>
    </row>
    <row r="181" spans="13:13">
      <c r="M181" s="24"/>
    </row>
    <row r="182" spans="13:13">
      <c r="M182" s="24"/>
    </row>
    <row r="183" spans="13:13">
      <c r="M183" s="24"/>
    </row>
    <row r="184" spans="13:13">
      <c r="M184" s="24"/>
    </row>
    <row r="185" spans="13:13">
      <c r="M185" s="24"/>
    </row>
    <row r="186" spans="13:13">
      <c r="M186" s="24"/>
    </row>
    <row r="187" spans="13:13">
      <c r="M187" s="24"/>
    </row>
    <row r="188" spans="13:13">
      <c r="M188" s="24"/>
    </row>
    <row r="189" spans="13:13">
      <c r="M189" s="24"/>
    </row>
    <row r="190" spans="13:13">
      <c r="M190" s="24"/>
    </row>
    <row r="191" spans="13:13">
      <c r="M191" s="24"/>
    </row>
    <row r="192" spans="13:13">
      <c r="M192" s="24"/>
    </row>
    <row r="193" spans="13:13">
      <c r="M193" s="24"/>
    </row>
    <row r="194" spans="13:13">
      <c r="M194" s="24"/>
    </row>
    <row r="195" spans="13:13">
      <c r="M195" s="24"/>
    </row>
    <row r="196" spans="13:13">
      <c r="M196" s="24"/>
    </row>
    <row r="197" spans="13:13">
      <c r="M197" s="24"/>
    </row>
    <row r="198" spans="13:13">
      <c r="M198" s="24"/>
    </row>
    <row r="199" spans="13:13">
      <c r="M199" s="24"/>
    </row>
    <row r="200" spans="13:13">
      <c r="M200" s="24"/>
    </row>
    <row r="201" spans="13:13">
      <c r="M201" s="24"/>
    </row>
    <row r="202" spans="13:13">
      <c r="M202" s="24"/>
    </row>
    <row r="203" spans="13:13">
      <c r="M203" s="24"/>
    </row>
    <row r="204" spans="13:13">
      <c r="M204" s="24"/>
    </row>
    <row r="205" spans="13:13">
      <c r="M205" s="24"/>
    </row>
    <row r="206" spans="13:13">
      <c r="M206" s="24"/>
    </row>
    <row r="207" spans="13:13">
      <c r="M207" s="24"/>
    </row>
    <row r="208" spans="13:13">
      <c r="M208" s="24"/>
    </row>
    <row r="209" spans="13:13">
      <c r="M209" s="24"/>
    </row>
    <row r="210" spans="13:13">
      <c r="M210" s="24"/>
    </row>
    <row r="211" spans="13:13">
      <c r="M211" s="24"/>
    </row>
    <row r="212" spans="13:13">
      <c r="M212" s="24"/>
    </row>
    <row r="213" spans="13:13">
      <c r="M213" s="24"/>
    </row>
    <row r="214" spans="13:13">
      <c r="M214" s="24"/>
    </row>
    <row r="215" spans="13:13">
      <c r="M215" s="24"/>
    </row>
    <row r="216" spans="13:13">
      <c r="M216" s="24"/>
    </row>
    <row r="217" spans="13:13">
      <c r="M217" s="24"/>
    </row>
    <row r="218" spans="13:13">
      <c r="M218" s="24"/>
    </row>
    <row r="219" spans="13:13">
      <c r="M219" s="24"/>
    </row>
    <row r="220" spans="13:13">
      <c r="M220" s="24"/>
    </row>
    <row r="221" spans="13:13">
      <c r="M221" s="24"/>
    </row>
    <row r="222" spans="13:13">
      <c r="M222" s="24"/>
    </row>
    <row r="223" spans="13:13">
      <c r="M223" s="24"/>
    </row>
    <row r="224" spans="13:13">
      <c r="M224" s="24"/>
    </row>
    <row r="225" spans="13:13">
      <c r="M225" s="24"/>
    </row>
    <row r="226" spans="13:13">
      <c r="M226" s="24"/>
    </row>
    <row r="227" spans="13:13">
      <c r="M227" s="24"/>
    </row>
    <row r="228" spans="13:13">
      <c r="M228" s="24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E2E2E2"/>
  </sheetPr>
  <dimension ref="A1:AE5"/>
  <sheetViews>
    <sheetView zoomScaleNormal="100" workbookViewId="0">
      <selection activeCell="A4" sqref="A4"/>
    </sheetView>
  </sheetViews>
  <sheetFormatPr defaultColWidth="11.5703125" defaultRowHeight="12.75"/>
  <cols>
    <col min="1" max="2" width="11.42578125" customWidth="1"/>
    <col min="3" max="3" width="13.140625" customWidth="1"/>
    <col min="4" max="6" width="21.85546875" customWidth="1"/>
    <col min="7" max="11" width="21.85546875" style="5" customWidth="1"/>
    <col min="12" max="12" width="8.28515625" customWidth="1"/>
    <col min="25" max="25" width="17.28515625" customWidth="1"/>
    <col min="26" max="26" width="13.7109375" customWidth="1"/>
    <col min="27" max="27" width="16" customWidth="1"/>
    <col min="28" max="28" width="15.85546875" customWidth="1"/>
    <col min="29" max="29" width="20.140625" customWidth="1"/>
    <col min="30" max="30" width="21.140625" customWidth="1"/>
  </cols>
  <sheetData>
    <row r="1" spans="1:31" ht="13.9">
      <c r="A1" s="59" t="s">
        <v>156</v>
      </c>
      <c r="B1" s="14"/>
      <c r="V1" s="16"/>
    </row>
    <row r="3" spans="1:31" ht="35.1">
      <c r="A3" s="42" t="s">
        <v>67</v>
      </c>
      <c r="B3" s="42" t="s">
        <v>68</v>
      </c>
      <c r="C3" s="42" t="s">
        <v>69</v>
      </c>
      <c r="D3" s="42" t="s">
        <v>70</v>
      </c>
      <c r="E3" s="42" t="s">
        <v>71</v>
      </c>
      <c r="F3" s="42" t="s">
        <v>163</v>
      </c>
      <c r="G3" s="42" t="s">
        <v>74</v>
      </c>
      <c r="H3" s="42" t="s">
        <v>159</v>
      </c>
      <c r="I3" s="42" t="s">
        <v>76</v>
      </c>
      <c r="J3" s="42" t="s">
        <v>77</v>
      </c>
      <c r="K3" s="42" t="s">
        <v>78</v>
      </c>
      <c r="L3" s="23"/>
      <c r="U3" s="58"/>
      <c r="V3" s="54"/>
      <c r="W3" s="54"/>
      <c r="X3" s="54"/>
      <c r="Y3" s="54"/>
      <c r="Z3" s="54"/>
      <c r="AA3" s="54"/>
      <c r="AB3" s="54"/>
      <c r="AC3" s="54"/>
      <c r="AD3" s="54"/>
      <c r="AE3" s="60"/>
    </row>
    <row r="4" spans="1:31" ht="29.1" customHeight="1">
      <c r="A4" s="61" t="s">
        <v>86</v>
      </c>
      <c r="B4" s="61" t="s">
        <v>86</v>
      </c>
      <c r="C4" s="61" t="s">
        <v>86</v>
      </c>
      <c r="D4" s="61" t="s">
        <v>86</v>
      </c>
      <c r="E4" s="61" t="s">
        <v>86</v>
      </c>
      <c r="F4" s="61" t="s">
        <v>86</v>
      </c>
      <c r="G4" s="61" t="s">
        <v>86</v>
      </c>
      <c r="H4" s="61" t="s">
        <v>86</v>
      </c>
      <c r="I4" s="61" t="s">
        <v>86</v>
      </c>
      <c r="J4" s="61" t="s">
        <v>86</v>
      </c>
      <c r="K4" s="61" t="s">
        <v>86</v>
      </c>
      <c r="L4" s="120"/>
    </row>
    <row r="5" spans="1:31" ht="29.1" customHeight="1">
      <c r="A5" s="30"/>
      <c r="B5" s="31"/>
      <c r="C5" s="31"/>
      <c r="D5" s="31"/>
      <c r="E5" s="31"/>
      <c r="F5" s="31"/>
      <c r="G5" s="31"/>
      <c r="H5" s="31"/>
      <c r="I5" s="31"/>
      <c r="J5" s="32"/>
      <c r="K5" s="32"/>
      <c r="L5" s="120"/>
    </row>
  </sheetData>
  <mergeCells count="1">
    <mergeCell ref="L4:L5"/>
  </mergeCells>
  <hyperlinks>
    <hyperlink ref="A1" location="Início!A1" display="Início" xr:uid="{00000000-0004-0000-0F00-000000000000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E2E2E2"/>
  </sheetPr>
  <dimension ref="A1:W70"/>
  <sheetViews>
    <sheetView zoomScaleNormal="100" workbookViewId="0">
      <selection activeCell="D33" sqref="D33"/>
    </sheetView>
  </sheetViews>
  <sheetFormatPr defaultColWidth="11.5703125" defaultRowHeight="12.75"/>
  <cols>
    <col min="1" max="1" width="22.140625" customWidth="1"/>
    <col min="2" max="2" width="12.42578125" style="5" customWidth="1"/>
    <col min="3" max="3" width="12" style="5" customWidth="1"/>
    <col min="4" max="4" width="23.5703125" style="5" customWidth="1"/>
    <col min="5" max="5" width="22.42578125" style="5" customWidth="1"/>
    <col min="6" max="7" width="27.5703125" style="5" customWidth="1"/>
    <col min="8" max="8" width="24" style="5" customWidth="1"/>
    <col min="9" max="9" width="23.42578125" style="5" customWidth="1"/>
    <col min="10" max="10" width="22.7109375" style="5" customWidth="1"/>
    <col min="11" max="11" width="25.140625" style="5" customWidth="1"/>
    <col min="12" max="12" width="27.42578125" style="24" customWidth="1"/>
    <col min="13" max="13" width="19.5703125" style="5" customWidth="1"/>
    <col min="20" max="20" width="21.140625" customWidth="1"/>
    <col min="21" max="21" width="15.7109375" customWidth="1"/>
  </cols>
  <sheetData>
    <row r="1" spans="1:23" ht="13.9">
      <c r="A1" s="59" t="s">
        <v>156</v>
      </c>
      <c r="B1" s="62"/>
      <c r="C1" s="19"/>
      <c r="D1" s="19"/>
      <c r="E1" s="19"/>
      <c r="F1" s="19"/>
      <c r="G1" s="19"/>
      <c r="H1" s="19"/>
      <c r="I1" s="19"/>
      <c r="J1" s="19"/>
      <c r="K1" s="19"/>
      <c r="L1" s="25"/>
    </row>
    <row r="2" spans="1:23">
      <c r="A2" s="18"/>
      <c r="B2" s="19"/>
      <c r="C2" s="19"/>
      <c r="D2" s="19"/>
      <c r="E2" s="19"/>
      <c r="F2" s="19"/>
      <c r="G2" s="19"/>
      <c r="H2" s="19"/>
      <c r="I2" s="19"/>
      <c r="J2" s="19"/>
      <c r="K2" s="19"/>
      <c r="L2" s="121"/>
      <c r="M2" s="121"/>
      <c r="N2" s="121"/>
      <c r="O2" s="121"/>
      <c r="P2" s="121"/>
      <c r="Q2" s="121"/>
      <c r="R2" s="121"/>
      <c r="S2" s="121"/>
      <c r="T2" s="121"/>
      <c r="U2" s="121"/>
      <c r="V2" s="121"/>
      <c r="W2" s="121"/>
    </row>
    <row r="3" spans="1:23" ht="39.950000000000003" customHeight="1">
      <c r="A3" s="42" t="s">
        <v>67</v>
      </c>
      <c r="B3" s="42" t="s">
        <v>68</v>
      </c>
      <c r="C3" s="42" t="s">
        <v>69</v>
      </c>
      <c r="D3" s="42" t="s">
        <v>70</v>
      </c>
      <c r="E3" s="42" t="s">
        <v>71</v>
      </c>
      <c r="F3" s="42" t="s">
        <v>163</v>
      </c>
      <c r="G3" s="42" t="s">
        <v>74</v>
      </c>
      <c r="H3" s="42" t="s">
        <v>75</v>
      </c>
      <c r="I3" s="42" t="s">
        <v>76</v>
      </c>
      <c r="J3" s="42" t="s">
        <v>77</v>
      </c>
      <c r="K3" s="42" t="s">
        <v>78</v>
      </c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</row>
    <row r="4" spans="1:23" ht="41.85" customHeight="1">
      <c r="A4" s="7" t="s">
        <v>86</v>
      </c>
      <c r="B4" s="7" t="s">
        <v>86</v>
      </c>
      <c r="C4" s="7" t="s">
        <v>86</v>
      </c>
      <c r="D4" s="7" t="s">
        <v>86</v>
      </c>
      <c r="E4" s="7" t="s">
        <v>86</v>
      </c>
      <c r="F4" s="7" t="s">
        <v>86</v>
      </c>
      <c r="G4" s="7" t="s">
        <v>86</v>
      </c>
      <c r="H4" s="7" t="s">
        <v>86</v>
      </c>
      <c r="I4" s="7" t="s">
        <v>86</v>
      </c>
      <c r="J4" s="7" t="s">
        <v>86</v>
      </c>
      <c r="K4" s="7" t="s">
        <v>86</v>
      </c>
      <c r="L4" s="17"/>
      <c r="M4" s="17"/>
      <c r="N4" s="17"/>
      <c r="O4" s="17"/>
      <c r="P4" s="17"/>
      <c r="Q4" s="17"/>
      <c r="R4" s="17"/>
      <c r="S4" s="17"/>
      <c r="T4" s="63"/>
      <c r="U4" s="53"/>
      <c r="V4" s="18"/>
      <c r="W4" s="18"/>
    </row>
    <row r="5" spans="1:23">
      <c r="L5" s="12"/>
    </row>
    <row r="6" spans="1:23">
      <c r="L6" s="25"/>
    </row>
    <row r="7" spans="1:23">
      <c r="L7" s="25"/>
    </row>
    <row r="8" spans="1:23">
      <c r="L8" s="25"/>
    </row>
    <row r="9" spans="1:23">
      <c r="L9" s="25"/>
    </row>
    <row r="10" spans="1:23">
      <c r="L10" s="25"/>
    </row>
    <row r="11" spans="1:23">
      <c r="L11" s="25"/>
    </row>
    <row r="12" spans="1:23">
      <c r="L12" s="25"/>
    </row>
    <row r="13" spans="1:23">
      <c r="L13" s="25"/>
    </row>
    <row r="14" spans="1:23">
      <c r="L14" s="25"/>
    </row>
    <row r="15" spans="1:23">
      <c r="L15" s="25"/>
    </row>
    <row r="16" spans="1:23">
      <c r="L16" s="25"/>
    </row>
    <row r="17" spans="12:12">
      <c r="L17" s="25"/>
    </row>
    <row r="18" spans="12:12">
      <c r="L18" s="25"/>
    </row>
    <row r="19" spans="12:12">
      <c r="L19" s="25"/>
    </row>
    <row r="20" spans="12:12">
      <c r="L20" s="25"/>
    </row>
    <row r="21" spans="12:12">
      <c r="L21" s="25"/>
    </row>
    <row r="22" spans="12:12">
      <c r="L22" s="25"/>
    </row>
    <row r="23" spans="12:12">
      <c r="L23" s="25"/>
    </row>
    <row r="24" spans="12:12">
      <c r="L24" s="25"/>
    </row>
    <row r="25" spans="12:12">
      <c r="L25" s="25"/>
    </row>
    <row r="26" spans="12:12">
      <c r="L26" s="25"/>
    </row>
    <row r="27" spans="12:12">
      <c r="L27" s="25"/>
    </row>
    <row r="28" spans="12:12">
      <c r="L28" s="25"/>
    </row>
    <row r="29" spans="12:12">
      <c r="L29" s="25"/>
    </row>
    <row r="30" spans="12:12">
      <c r="L30" s="25"/>
    </row>
    <row r="31" spans="12:12">
      <c r="L31" s="25"/>
    </row>
    <row r="32" spans="12:12">
      <c r="L32" s="25"/>
    </row>
    <row r="33" spans="12:12">
      <c r="L33" s="25"/>
    </row>
    <row r="34" spans="12:12">
      <c r="L34" s="25"/>
    </row>
    <row r="35" spans="12:12">
      <c r="L35" s="25"/>
    </row>
    <row r="36" spans="12:12">
      <c r="L36" s="25"/>
    </row>
    <row r="37" spans="12:12">
      <c r="L37" s="25"/>
    </row>
    <row r="38" spans="12:12">
      <c r="L38" s="25"/>
    </row>
    <row r="39" spans="12:12">
      <c r="L39" s="25"/>
    </row>
    <row r="40" spans="12:12">
      <c r="L40" s="25"/>
    </row>
    <row r="41" spans="12:12">
      <c r="L41" s="25"/>
    </row>
    <row r="42" spans="12:12">
      <c r="L42" s="25"/>
    </row>
    <row r="43" spans="12:12">
      <c r="L43" s="25"/>
    </row>
    <row r="44" spans="12:12">
      <c r="L44" s="25"/>
    </row>
    <row r="45" spans="12:12">
      <c r="L45" s="25"/>
    </row>
    <row r="46" spans="12:12">
      <c r="L46" s="25"/>
    </row>
    <row r="47" spans="12:12">
      <c r="L47" s="25"/>
    </row>
    <row r="48" spans="12:12">
      <c r="L48" s="25"/>
    </row>
    <row r="49" spans="12:12">
      <c r="L49" s="25"/>
    </row>
    <row r="50" spans="12:12">
      <c r="L50" s="25"/>
    </row>
    <row r="51" spans="12:12">
      <c r="L51" s="25"/>
    </row>
    <row r="52" spans="12:12">
      <c r="L52" s="25"/>
    </row>
    <row r="53" spans="12:12">
      <c r="L53" s="25"/>
    </row>
    <row r="54" spans="12:12">
      <c r="L54" s="25"/>
    </row>
    <row r="55" spans="12:12">
      <c r="L55" s="25"/>
    </row>
    <row r="56" spans="12:12">
      <c r="L56" s="25"/>
    </row>
    <row r="57" spans="12:12">
      <c r="L57" s="25"/>
    </row>
    <row r="58" spans="12:12">
      <c r="L58" s="25"/>
    </row>
    <row r="59" spans="12:12">
      <c r="L59" s="25"/>
    </row>
    <row r="60" spans="12:12">
      <c r="L60" s="25"/>
    </row>
    <row r="61" spans="12:12">
      <c r="L61" s="25"/>
    </row>
    <row r="62" spans="12:12">
      <c r="L62" s="25"/>
    </row>
    <row r="63" spans="12:12">
      <c r="L63" s="25"/>
    </row>
    <row r="64" spans="12:12">
      <c r="L64" s="25"/>
    </row>
    <row r="65" spans="12:12">
      <c r="L65" s="25"/>
    </row>
    <row r="66" spans="12:12">
      <c r="L66" s="25"/>
    </row>
    <row r="67" spans="12:12">
      <c r="L67" s="25"/>
    </row>
    <row r="68" spans="12:12">
      <c r="L68" s="25"/>
    </row>
    <row r="69" spans="12:12">
      <c r="L69" s="25"/>
    </row>
    <row r="70" spans="12:12">
      <c r="L70" s="25"/>
    </row>
  </sheetData>
  <mergeCells count="1">
    <mergeCell ref="L2:W2"/>
  </mergeCells>
  <hyperlinks>
    <hyperlink ref="A1" location="Início!A1" display="Início" xr:uid="{00000000-0004-0000-1000-000000000000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B7A4C7"/>
  </sheetPr>
  <dimension ref="A1:M134"/>
  <sheetViews>
    <sheetView zoomScaleNormal="100" workbookViewId="0">
      <selection activeCell="K17" sqref="K17"/>
    </sheetView>
  </sheetViews>
  <sheetFormatPr defaultColWidth="11.5703125" defaultRowHeight="12.75"/>
  <cols>
    <col min="1" max="1" width="24.28515625" customWidth="1"/>
    <col min="2" max="2" width="13" customWidth="1"/>
    <col min="3" max="3" width="15.5703125" customWidth="1"/>
    <col min="4" max="4" width="22.5703125" customWidth="1"/>
    <col min="5" max="5" width="22.7109375" customWidth="1"/>
    <col min="6" max="6" width="41.85546875" customWidth="1"/>
    <col min="7" max="8" width="18" customWidth="1"/>
    <col min="9" max="9" width="16.85546875" customWidth="1"/>
    <col min="10" max="10" width="19.28515625" customWidth="1"/>
    <col min="11" max="11" width="25.85546875" customWidth="1"/>
    <col min="12" max="12" width="24.28515625" customWidth="1"/>
  </cols>
  <sheetData>
    <row r="1" spans="1:13" ht="36">
      <c r="A1" s="6" t="s">
        <v>67</v>
      </c>
      <c r="B1" s="6" t="s">
        <v>68</v>
      </c>
      <c r="C1" s="6" t="s">
        <v>69</v>
      </c>
      <c r="D1" s="6" t="s">
        <v>70</v>
      </c>
      <c r="E1" s="6" t="s">
        <v>71</v>
      </c>
      <c r="F1" s="6" t="s">
        <v>72</v>
      </c>
      <c r="G1" s="6" t="s">
        <v>73</v>
      </c>
      <c r="H1" s="6" t="s">
        <v>74</v>
      </c>
      <c r="I1" s="6" t="s">
        <v>75</v>
      </c>
      <c r="J1" s="6" t="s">
        <v>76</v>
      </c>
      <c r="K1" s="6" t="s">
        <v>77</v>
      </c>
      <c r="L1" s="6" t="s">
        <v>78</v>
      </c>
      <c r="M1" s="93" t="s">
        <v>79</v>
      </c>
    </row>
    <row r="2" spans="1:13" ht="56.65" customHeight="1">
      <c r="A2" s="7" t="s">
        <v>199</v>
      </c>
      <c r="B2" s="10" t="s">
        <v>9</v>
      </c>
      <c r="C2" s="10" t="s">
        <v>11</v>
      </c>
      <c r="D2" s="10" t="s">
        <v>200</v>
      </c>
      <c r="E2" s="10" t="s">
        <v>201</v>
      </c>
      <c r="F2" s="10" t="s">
        <v>202</v>
      </c>
      <c r="G2" s="10" t="s">
        <v>203</v>
      </c>
      <c r="H2" s="10" t="s">
        <v>12</v>
      </c>
      <c r="I2" s="10">
        <v>12</v>
      </c>
      <c r="J2" s="10">
        <v>200</v>
      </c>
      <c r="K2" s="47">
        <v>12</v>
      </c>
      <c r="L2" s="11" t="s">
        <v>86</v>
      </c>
      <c r="M2" s="112">
        <f>I2</f>
        <v>12</v>
      </c>
    </row>
    <row r="3" spans="1:13">
      <c r="M3" s="102"/>
    </row>
    <row r="4" spans="1:13">
      <c r="M4" s="108"/>
    </row>
    <row r="5" spans="1:13">
      <c r="M5" s="108"/>
    </row>
    <row r="6" spans="1:13">
      <c r="M6" s="108"/>
    </row>
    <row r="7" spans="1:13">
      <c r="M7" s="108"/>
    </row>
    <row r="8" spans="1:13">
      <c r="M8" s="108"/>
    </row>
    <row r="9" spans="1:13">
      <c r="M9" s="109"/>
    </row>
    <row r="10" spans="1:13">
      <c r="M10" s="25"/>
    </row>
    <row r="11" spans="1:13">
      <c r="M11" s="25"/>
    </row>
    <row r="12" spans="1:13">
      <c r="M12" s="25"/>
    </row>
    <row r="13" spans="1:13">
      <c r="M13" s="25"/>
    </row>
    <row r="14" spans="1:13">
      <c r="M14" s="25"/>
    </row>
    <row r="15" spans="1:13">
      <c r="M15" s="25"/>
    </row>
    <row r="16" spans="1:13">
      <c r="M16" s="25"/>
    </row>
    <row r="17" spans="13:13">
      <c r="M17" s="25"/>
    </row>
    <row r="18" spans="13:13">
      <c r="M18" s="25"/>
    </row>
    <row r="19" spans="13:13">
      <c r="M19" s="25"/>
    </row>
    <row r="20" spans="13:13">
      <c r="M20" s="25"/>
    </row>
    <row r="21" spans="13:13">
      <c r="M21" s="25"/>
    </row>
    <row r="22" spans="13:13">
      <c r="M22" s="25"/>
    </row>
    <row r="23" spans="13:13">
      <c r="M23" s="25"/>
    </row>
    <row r="24" spans="13:13">
      <c r="M24" s="25"/>
    </row>
    <row r="25" spans="13:13">
      <c r="M25" s="25"/>
    </row>
    <row r="26" spans="13:13">
      <c r="M26" s="25"/>
    </row>
    <row r="27" spans="13:13">
      <c r="M27" s="25"/>
    </row>
    <row r="28" spans="13:13">
      <c r="M28" s="25"/>
    </row>
    <row r="29" spans="13:13">
      <c r="M29" s="25"/>
    </row>
    <row r="30" spans="13:13">
      <c r="M30" s="25"/>
    </row>
    <row r="31" spans="13:13">
      <c r="M31" s="25"/>
    </row>
    <row r="32" spans="13:13">
      <c r="M32" s="25"/>
    </row>
    <row r="33" spans="13:13">
      <c r="M33" s="25"/>
    </row>
    <row r="34" spans="13:13">
      <c r="M34" s="25"/>
    </row>
    <row r="35" spans="13:13">
      <c r="M35" s="25"/>
    </row>
    <row r="36" spans="13:13">
      <c r="M36" s="25"/>
    </row>
    <row r="37" spans="13:13">
      <c r="M37" s="25"/>
    </row>
    <row r="38" spans="13:13">
      <c r="M38" s="25"/>
    </row>
    <row r="39" spans="13:13">
      <c r="M39" s="25"/>
    </row>
    <row r="40" spans="13:13">
      <c r="M40" s="25"/>
    </row>
    <row r="41" spans="13:13">
      <c r="M41" s="25"/>
    </row>
    <row r="42" spans="13:13">
      <c r="M42" s="25"/>
    </row>
    <row r="43" spans="13:13">
      <c r="M43" s="25"/>
    </row>
    <row r="44" spans="13:13">
      <c r="M44" s="25"/>
    </row>
    <row r="45" spans="13:13">
      <c r="M45" s="25"/>
    </row>
    <row r="46" spans="13:13">
      <c r="M46" s="25"/>
    </row>
    <row r="47" spans="13:13">
      <c r="M47" s="25"/>
    </row>
    <row r="48" spans="13:13">
      <c r="M48" s="25"/>
    </row>
    <row r="49" spans="13:13">
      <c r="M49" s="25"/>
    </row>
    <row r="50" spans="13:13">
      <c r="M50" s="25"/>
    </row>
    <row r="51" spans="13:13">
      <c r="M51" s="25"/>
    </row>
    <row r="52" spans="13:13">
      <c r="M52" s="25"/>
    </row>
    <row r="53" spans="13:13">
      <c r="M53" s="25"/>
    </row>
    <row r="54" spans="13:13">
      <c r="M54" s="25"/>
    </row>
    <row r="55" spans="13:13">
      <c r="M55" s="25"/>
    </row>
    <row r="56" spans="13:13">
      <c r="M56" s="25"/>
    </row>
    <row r="57" spans="13:13">
      <c r="M57" s="25"/>
    </row>
    <row r="58" spans="13:13">
      <c r="M58" s="25"/>
    </row>
    <row r="59" spans="13:13">
      <c r="M59" s="25"/>
    </row>
    <row r="60" spans="13:13">
      <c r="M60" s="25"/>
    </row>
    <row r="61" spans="13:13">
      <c r="M61" s="25"/>
    </row>
    <row r="62" spans="13:13">
      <c r="M62" s="25"/>
    </row>
    <row r="63" spans="13:13">
      <c r="M63" s="25"/>
    </row>
    <row r="64" spans="13:13">
      <c r="M64" s="25"/>
    </row>
    <row r="65" spans="13:13">
      <c r="M65" s="25"/>
    </row>
    <row r="66" spans="13:13">
      <c r="M66" s="25"/>
    </row>
    <row r="67" spans="13:13">
      <c r="M67" s="25"/>
    </row>
    <row r="68" spans="13:13">
      <c r="M68" s="25"/>
    </row>
    <row r="69" spans="13:13">
      <c r="M69" s="25"/>
    </row>
    <row r="70" spans="13:13">
      <c r="M70" s="25"/>
    </row>
    <row r="71" spans="13:13">
      <c r="M71" s="25"/>
    </row>
    <row r="72" spans="13:13">
      <c r="M72" s="25"/>
    </row>
    <row r="73" spans="13:13">
      <c r="M73" s="25"/>
    </row>
    <row r="74" spans="13:13">
      <c r="M74" s="25"/>
    </row>
    <row r="75" spans="13:13">
      <c r="M75" s="25"/>
    </row>
    <row r="76" spans="13:13">
      <c r="M76" s="25"/>
    </row>
    <row r="77" spans="13:13">
      <c r="M77" s="25"/>
    </row>
    <row r="78" spans="13:13">
      <c r="M78" s="25"/>
    </row>
    <row r="79" spans="13:13">
      <c r="M79" s="25"/>
    </row>
    <row r="80" spans="13:13">
      <c r="M80" s="25"/>
    </row>
    <row r="81" spans="13:13">
      <c r="M81" s="25"/>
    </row>
    <row r="82" spans="13:13">
      <c r="M82" s="25"/>
    </row>
    <row r="83" spans="13:13">
      <c r="M83" s="25"/>
    </row>
    <row r="84" spans="13:13">
      <c r="M84" s="25"/>
    </row>
    <row r="85" spans="13:13">
      <c r="M85" s="25"/>
    </row>
    <row r="86" spans="13:13">
      <c r="M86" s="25"/>
    </row>
    <row r="87" spans="13:13">
      <c r="M87" s="25"/>
    </row>
    <row r="88" spans="13:13">
      <c r="M88" s="25"/>
    </row>
    <row r="89" spans="13:13">
      <c r="M89" s="25"/>
    </row>
    <row r="90" spans="13:13">
      <c r="M90" s="25"/>
    </row>
    <row r="91" spans="13:13">
      <c r="M91" s="25"/>
    </row>
    <row r="92" spans="13:13">
      <c r="M92" s="25"/>
    </row>
    <row r="93" spans="13:13">
      <c r="M93" s="25"/>
    </row>
    <row r="94" spans="13:13">
      <c r="M94" s="25"/>
    </row>
    <row r="95" spans="13:13">
      <c r="M95" s="25"/>
    </row>
    <row r="96" spans="13:13">
      <c r="M96" s="25"/>
    </row>
    <row r="97" spans="13:13">
      <c r="M97" s="25"/>
    </row>
    <row r="98" spans="13:13">
      <c r="M98" s="25"/>
    </row>
    <row r="99" spans="13:13">
      <c r="M99" s="25"/>
    </row>
    <row r="100" spans="13:13">
      <c r="M100" s="25"/>
    </row>
    <row r="101" spans="13:13">
      <c r="M101" s="25"/>
    </row>
    <row r="102" spans="13:13">
      <c r="M102" s="25"/>
    </row>
    <row r="103" spans="13:13">
      <c r="M103" s="25"/>
    </row>
    <row r="104" spans="13:13">
      <c r="M104" s="25"/>
    </row>
    <row r="105" spans="13:13">
      <c r="M105" s="25"/>
    </row>
    <row r="106" spans="13:13">
      <c r="M106" s="25"/>
    </row>
    <row r="107" spans="13:13">
      <c r="M107" s="25"/>
    </row>
    <row r="108" spans="13:13">
      <c r="M108" s="25"/>
    </row>
    <row r="109" spans="13:13">
      <c r="M109" s="25"/>
    </row>
    <row r="110" spans="13:13">
      <c r="M110" s="25"/>
    </row>
    <row r="111" spans="13:13">
      <c r="M111" s="25"/>
    </row>
    <row r="112" spans="13:13">
      <c r="M112" s="25"/>
    </row>
    <row r="113" spans="13:13">
      <c r="M113" s="25"/>
    </row>
    <row r="114" spans="13:13">
      <c r="M114" s="25"/>
    </row>
    <row r="115" spans="13:13">
      <c r="M115" s="25"/>
    </row>
    <row r="116" spans="13:13">
      <c r="M116" s="25"/>
    </row>
    <row r="117" spans="13:13">
      <c r="M117" s="25"/>
    </row>
    <row r="118" spans="13:13">
      <c r="M118" s="25"/>
    </row>
    <row r="119" spans="13:13">
      <c r="M119" s="25"/>
    </row>
    <row r="120" spans="13:13">
      <c r="M120" s="25"/>
    </row>
    <row r="121" spans="13:13">
      <c r="M121" s="25"/>
    </row>
    <row r="122" spans="13:13">
      <c r="M122" s="25"/>
    </row>
    <row r="123" spans="13:13">
      <c r="M123" s="25"/>
    </row>
    <row r="124" spans="13:13">
      <c r="M124" s="25"/>
    </row>
    <row r="125" spans="13:13">
      <c r="M125" s="25"/>
    </row>
    <row r="126" spans="13:13">
      <c r="M126" s="25"/>
    </row>
    <row r="127" spans="13:13">
      <c r="M127" s="25"/>
    </row>
    <row r="128" spans="13:13">
      <c r="M128" s="25"/>
    </row>
    <row r="129" spans="13:13">
      <c r="M129" s="25"/>
    </row>
    <row r="130" spans="13:13">
      <c r="M130" s="25"/>
    </row>
    <row r="131" spans="13:13">
      <c r="M131" s="25"/>
    </row>
    <row r="132" spans="13:13">
      <c r="M132" s="25"/>
    </row>
    <row r="133" spans="13:13">
      <c r="M133" s="25"/>
    </row>
    <row r="134" spans="13:13">
      <c r="M134" s="25"/>
    </row>
  </sheetData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Miguel Otavio Conrado Trindade</cp:lastModifiedBy>
  <cp:revision>44</cp:revision>
  <dcterms:created xsi:type="dcterms:W3CDTF">2026-02-11T13:41:44Z</dcterms:created>
  <dcterms:modified xsi:type="dcterms:W3CDTF">2026-04-24T14:20:03Z</dcterms:modified>
  <cp:category/>
  <cp:contentStatus/>
</cp:coreProperties>
</file>