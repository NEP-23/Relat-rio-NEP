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working\waccache\CP1PEPF0001C945\EXCELCNV\46a660b1-36be-47ce-851f-f999c3906333\"/>
    </mc:Choice>
  </mc:AlternateContent>
  <xr:revisionPtr revIDLastSave="8" documentId="8_{FFE642D7-8632-4020-A4F8-A34954CC831E}" xr6:coauthVersionLast="47" xr6:coauthVersionMax="47" xr10:uidLastSave="{328C949D-C8B4-4898-9CE4-3A6133C8F161}"/>
  <bookViews>
    <workbookView xWindow="-60" yWindow="-60" windowWidth="15480" windowHeight="11640" firstSheet="1" activeTab="1" xr2:uid="{00000000-000D-0000-FFFF-FFFF00000000}"/>
  </bookViews>
  <sheets>
    <sheet name="PLANILHA PESQ 2024" sheetId="1" r:id="rId1"/>
    <sheet name="RESUMO TEMPO DE TRAMITAÇÃO 2024" sheetId="2" r:id="rId2"/>
    <sheet name="GRAFICOS 2024" sheetId="3" r:id="rId3"/>
    <sheet name="ORGANIZAÇÃO DOS DADOS PARA CONS" sheetId="4" r:id="rId4"/>
    <sheet name="PROJETOS EXTERNOS 2024" sheetId="5" r:id="rId5"/>
    <sheet name="CONTROLE COLABORADORES COLETA D" sheetId="6" r:id="rId6"/>
    <sheet name="RELATÓRIO TRIMESTRAL 2023" sheetId="7" r:id="rId7"/>
    <sheet name="Cópia de RELATÓRIO SEMESTRAL 20" sheetId="8" r:id="rId8"/>
    <sheet name="Cópia de RELATÓRIO ANUAL 2023" sheetId="9" r:id="rId9"/>
    <sheet name="Página23" sheetId="10" r:id="rId10"/>
    <sheet name="Página24" sheetId="11" r:id="rId11"/>
    <sheet name="Página25" sheetId="12" r:id="rId12"/>
    <sheet name="2024 Cópia de Cópia de RELATÓRI" sheetId="13" r:id="rId13"/>
    <sheet name="Página22" sheetId="14" r:id="rId14"/>
  </sheets>
  <externalReferences>
    <externalReference r:id="rId15"/>
  </externalReferences>
  <definedNames>
    <definedName name="_xlnm._FilterDatabase" localSheetId="0" hidden="1">'PLANILHA PESQ 2024'!$A$1:$AC$115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oAo1e4Vf8I+sTfvn8lQyeDZvHpr6HHCZXjNhY2QrxoY="/>
    </ext>
  </extLst>
</workbook>
</file>

<file path=xl/calcChain.xml><?xml version="1.0" encoding="utf-8"?>
<calcChain xmlns="http://schemas.openxmlformats.org/spreadsheetml/2006/main">
  <c r="A2" i="3" l="1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K110" i="2"/>
  <c r="J110" i="2"/>
  <c r="I110" i="2"/>
  <c r="K109" i="2"/>
  <c r="J109" i="2"/>
  <c r="I109" i="2"/>
  <c r="J108" i="2"/>
  <c r="I108" i="2"/>
  <c r="J107" i="2"/>
  <c r="I107" i="2"/>
  <c r="K106" i="2"/>
  <c r="J106" i="2"/>
  <c r="I106" i="2"/>
  <c r="K105" i="2"/>
  <c r="J105" i="2"/>
  <c r="I105" i="2"/>
  <c r="K104" i="2"/>
  <c r="J103" i="2"/>
  <c r="I103" i="2"/>
  <c r="J102" i="2"/>
  <c r="I102" i="2"/>
  <c r="J101" i="2"/>
  <c r="I101" i="2"/>
  <c r="K100" i="2"/>
  <c r="J100" i="2"/>
  <c r="I100" i="2"/>
  <c r="J99" i="2"/>
  <c r="I99" i="2"/>
  <c r="K98" i="2"/>
  <c r="J98" i="2"/>
  <c r="I98" i="2"/>
  <c r="K97" i="2"/>
  <c r="I97" i="2"/>
  <c r="K96" i="2"/>
  <c r="J96" i="2"/>
  <c r="I96" i="2"/>
  <c r="I95" i="2"/>
  <c r="K94" i="2"/>
  <c r="J94" i="2"/>
  <c r="I94" i="2"/>
  <c r="K93" i="2"/>
  <c r="J93" i="2"/>
  <c r="I93" i="2"/>
  <c r="J92" i="2"/>
  <c r="I92" i="2"/>
  <c r="J91" i="2"/>
  <c r="I91" i="2"/>
  <c r="J90" i="2"/>
  <c r="I90" i="2"/>
  <c r="K89" i="2"/>
  <c r="J89" i="2"/>
  <c r="I89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J82" i="2"/>
  <c r="I82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J76" i="2"/>
  <c r="I76" i="2"/>
  <c r="K75" i="2"/>
  <c r="J75" i="2"/>
  <c r="I75" i="2"/>
  <c r="K74" i="2"/>
  <c r="J74" i="2"/>
  <c r="I74" i="2"/>
  <c r="K73" i="2"/>
  <c r="J73" i="2"/>
  <c r="I73" i="2"/>
  <c r="I72" i="2"/>
  <c r="K71" i="2"/>
  <c r="J71" i="2"/>
  <c r="I71" i="2"/>
  <c r="K70" i="2"/>
  <c r="J70" i="2"/>
  <c r="I70" i="2"/>
  <c r="J68" i="2"/>
  <c r="I68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I58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I51" i="2"/>
  <c r="K50" i="2"/>
  <c r="J50" i="2"/>
  <c r="I50" i="2"/>
  <c r="K49" i="2"/>
  <c r="J49" i="2"/>
  <c r="K48" i="2"/>
  <c r="J48" i="2"/>
  <c r="I48" i="2"/>
  <c r="K47" i="2"/>
  <c r="J47" i="2"/>
  <c r="I47" i="2"/>
  <c r="K46" i="2"/>
  <c r="J46" i="2"/>
  <c r="I46" i="2"/>
  <c r="J45" i="2"/>
  <c r="I45" i="2"/>
  <c r="K44" i="2"/>
  <c r="J44" i="2"/>
  <c r="I44" i="2"/>
  <c r="K43" i="2"/>
  <c r="J43" i="2"/>
  <c r="I43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J36" i="2"/>
  <c r="I36" i="2"/>
  <c r="K35" i="2"/>
  <c r="J35" i="2"/>
  <c r="I35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J11" i="2"/>
  <c r="I11" i="2"/>
  <c r="K10" i="2"/>
  <c r="J10" i="2"/>
  <c r="I10" i="2"/>
  <c r="J9" i="2"/>
  <c r="I9" i="2"/>
  <c r="J8" i="2"/>
  <c r="I8" i="2"/>
  <c r="K7" i="2"/>
  <c r="J7" i="2"/>
  <c r="I7" i="2"/>
  <c r="J6" i="2"/>
  <c r="I6" i="2"/>
  <c r="K5" i="2"/>
  <c r="J5" i="2"/>
  <c r="I5" i="2"/>
  <c r="K4" i="2"/>
  <c r="J4" i="2"/>
  <c r="I4" i="2"/>
  <c r="K3" i="2"/>
  <c r="J3" i="2"/>
  <c r="I3" i="2"/>
  <c r="K2" i="2"/>
  <c r="R114" i="1"/>
  <c r="R113" i="1"/>
  <c r="R112" i="1"/>
  <c r="R111" i="1"/>
  <c r="Q111" i="1"/>
  <c r="R110" i="1"/>
  <c r="R109" i="1"/>
  <c r="R108" i="1"/>
  <c r="R107" i="1"/>
  <c r="Q107" i="1"/>
  <c r="R106" i="1"/>
  <c r="Q106" i="1"/>
  <c r="R105" i="1"/>
  <c r="Q105" i="1"/>
  <c r="R104" i="1"/>
  <c r="R103" i="1"/>
  <c r="Q103" i="1"/>
  <c r="R102" i="1"/>
  <c r="Q102" i="1"/>
  <c r="R101" i="1"/>
  <c r="Q101" i="1"/>
  <c r="R100" i="1"/>
  <c r="Q100" i="1"/>
  <c r="R99" i="1"/>
  <c r="R98" i="1"/>
  <c r="R97" i="1"/>
  <c r="R96" i="1"/>
  <c r="R95" i="1"/>
  <c r="Q95" i="1"/>
  <c r="R94" i="1"/>
  <c r="R93" i="1"/>
  <c r="R92" i="1"/>
  <c r="R91" i="1"/>
  <c r="Q91" i="1"/>
  <c r="R90" i="1"/>
  <c r="R89" i="1"/>
  <c r="R88" i="1"/>
  <c r="Q88" i="1"/>
  <c r="R87" i="1"/>
  <c r="R86" i="1"/>
  <c r="R85" i="1"/>
  <c r="R84" i="1"/>
  <c r="R83" i="1"/>
  <c r="Q83" i="1"/>
  <c r="R82" i="1"/>
  <c r="R81" i="1"/>
  <c r="R80" i="1"/>
  <c r="R79" i="1"/>
  <c r="R78" i="1"/>
  <c r="R77" i="1"/>
  <c r="R76" i="1"/>
  <c r="R75" i="1"/>
  <c r="Q75" i="1"/>
  <c r="R74" i="1"/>
  <c r="Q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1" i="1"/>
  <c r="Q72" i="1"/>
  <c r="Q73" i="1"/>
  <c r="Q86" i="1"/>
  <c r="Q104" i="1"/>
  <c r="Q1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ID#AAABNu9hBvw
Magdaline Ladeira    (2024-05-17 13:40:40)
DATA QUE O MEMORANDO FOI CRIADO E ASSINADO PELO RESPONSAVEL PELA TRAMITAÇÃO NO SEI
------
ID#AAABTTK55jg
chu.pesquisa    (2024-08-06 14:48:49)
DATA DA CRIAÇÃO E ASS MEMORANDO PELO RESP PESQUISA</t>
        </r>
      </text>
    </comment>
    <comment ref="V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ID#AAABX5VwPTw
Magdaline Ladeira    (2024-10-30 15:19:38)
INSERIR SETOR (UTI/EMER.../UTQ) OU SERVIÇO(TOXICO/BUCO)</t>
        </r>
      </text>
    </comment>
    <comment ref="Y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ID#AAABX5VwPTs
Magdaline Ladeira    (2024-10-30 15:18:04)
DATA QUE O DIRETOR ASSINOU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uSuZ1rHvMNPkA8N4EDhIkRBTq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7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ID#AAAB6beAuTo
Miguel Trindade    (2026-05-13 10:39:30)
INÍCIO CORREÇÃO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WDm2yrFOzWtyL1OyIwYQI0sfEA=="/>
    </ext>
  </extLst>
</comments>
</file>

<file path=xl/sharedStrings.xml><?xml version="1.0" encoding="utf-8"?>
<sst xmlns="http://schemas.openxmlformats.org/spreadsheetml/2006/main" count="2834" uniqueCount="814">
  <si>
    <t>Processo de submissão da Pesquisa</t>
  </si>
  <si>
    <t>ANO/NÚMERO BLOCO INTERNO''</t>
  </si>
  <si>
    <t>Linha de pesquisa/Grupo de pesquisa</t>
  </si>
  <si>
    <t>Título do projeto de pesquisa</t>
  </si>
  <si>
    <t>Nº do processo no SEI</t>
  </si>
  <si>
    <t>Data de entrada no SEI</t>
  </si>
  <si>
    <t>Pesquisador principal</t>
  </si>
  <si>
    <t>Classificação do Pesquisador Principal NA PLATAFORMA  BRASIL(FHEMIG)</t>
  </si>
  <si>
    <t>Instituição Proponente</t>
  </si>
  <si>
    <t>Unidade de entrada</t>
  </si>
  <si>
    <t>FInalidade da pesquisa</t>
  </si>
  <si>
    <t>Parecer da CIP</t>
  </si>
  <si>
    <r>
      <rPr>
        <b/>
        <sz val="9"/>
        <color theme="1"/>
        <rFont val="Calibri"/>
      </rPr>
      <t xml:space="preserve">Data de </t>
    </r>
    <r>
      <rPr>
        <b/>
        <sz val="10"/>
        <color rgb="FFFF0000"/>
        <rFont val="Calibri"/>
      </rPr>
      <t>recebimento</t>
    </r>
    <r>
      <rPr>
        <b/>
        <sz val="9"/>
        <color theme="1"/>
        <rFont val="Calibri"/>
      </rPr>
      <t xml:space="preserve"> da FR assinada no SEI  OU</t>
    </r>
    <r>
      <rPr>
        <b/>
        <sz val="9"/>
        <color rgb="FF38761D"/>
        <rFont val="Calibri"/>
      </rPr>
      <t xml:space="preserve"> </t>
    </r>
    <r>
      <rPr>
        <b/>
        <sz val="9"/>
        <color rgb="FFCC0000"/>
        <rFont val="Calibri"/>
      </rPr>
      <t>Termo de Anuência</t>
    </r>
  </si>
  <si>
    <r>
      <rPr>
        <b/>
        <sz val="9"/>
        <color theme="1"/>
        <rFont val="Calibri"/>
      </rPr>
      <t xml:space="preserve">Data de envio da FOlHA ROSTO, PTECNICO ou </t>
    </r>
    <r>
      <rPr>
        <b/>
        <sz val="9"/>
        <color rgb="FF6AA84F"/>
        <rFont val="Calibri"/>
      </rPr>
      <t>TerANUN</t>
    </r>
    <r>
      <rPr>
        <b/>
        <sz val="9"/>
        <color theme="1"/>
        <rFont val="Calibri"/>
      </rPr>
      <t xml:space="preserve"> p/ pesquisador</t>
    </r>
  </si>
  <si>
    <r>
      <rPr>
        <b/>
        <sz val="9"/>
        <color theme="1"/>
        <rFont val="Calibri"/>
      </rPr>
      <t xml:space="preserve"> PROJETOS EXTERNOS </t>
    </r>
    <r>
      <rPr>
        <b/>
        <sz val="9"/>
        <color rgb="FFFF0000"/>
        <rFont val="Calibri"/>
      </rPr>
      <t>DATA  reenvio Parecer CEP Proponente e FR assinada para CIP</t>
    </r>
  </si>
  <si>
    <t xml:space="preserve"> DATA DE aprovação do CEP FHEMIG</t>
  </si>
  <si>
    <t>Tempo Aprovação CEP após envio Termo de anuência / Folha de rosto</t>
  </si>
  <si>
    <t>TEMPO DE TRAMITAÇÃO DO PROJETO(DATA DE INSERÇÃO NO SEI E DATA DE APROV CEP FHEMIG)</t>
  </si>
  <si>
    <t>Há necesidade de liberação de acesso aos dados internos OU ACESSO AO HOSPITAL?</t>
  </si>
  <si>
    <t>E-mail do pesquisador principal</t>
  </si>
  <si>
    <t>Desenho de pesquisa</t>
  </si>
  <si>
    <t>SETOR  E/OU AMOSTRA</t>
  </si>
  <si>
    <t xml:space="preserve">PERÍODO QUE AS VARIÁVEIS SERÃO COLETADAS </t>
  </si>
  <si>
    <t>Pesquisador referência da instituição (caso seja o pesquisador principal, escrever NA ( NÃO SE APLICA)</t>
  </si>
  <si>
    <t>Data da assinatura DIRETORIA</t>
  </si>
  <si>
    <t>Data de envio  CIP</t>
  </si>
  <si>
    <r>
      <rPr>
        <b/>
        <sz val="9"/>
        <color rgb="FFFF0000"/>
        <rFont val="Calibri"/>
      </rPr>
      <t xml:space="preserve">DATA DO RECEBIMENTO </t>
    </r>
    <r>
      <rPr>
        <b/>
        <sz val="9"/>
        <color theme="1"/>
        <rFont val="Calibri"/>
      </rPr>
      <t xml:space="preserve">do Parecer Técnico da CIP APROVADO </t>
    </r>
  </si>
  <si>
    <t>O ESTUDO FOI PUBLICADO?</t>
  </si>
  <si>
    <t>DATA DE PUBLICAÇÃO</t>
  </si>
  <si>
    <t>DADOS COLETADOS</t>
  </si>
  <si>
    <t>2024/</t>
  </si>
  <si>
    <t>O perfil dos pacientes vítimas de acidente crotálico na Unidade de Toxicologia do
Hospital João XXIII- CIAT-BH.Uma reflexão sobre os atendimentos em Belo Horizonte</t>
  </si>
  <si>
    <t>2270.01.0028306/2024-17</t>
  </si>
  <si>
    <t>Luciana Reis da Silveira</t>
  </si>
  <si>
    <t>SERVIDOR</t>
  </si>
  <si>
    <t>FHEMIG</t>
  </si>
  <si>
    <t>HJXIII</t>
  </si>
  <si>
    <t>EMENDA PROJ EXTERNO</t>
  </si>
  <si>
    <t>NÃO SE APLICA</t>
  </si>
  <si>
    <t>NA</t>
  </si>
  <si>
    <t xml:space="preserve">NÃO </t>
  </si>
  <si>
    <t>mestrado crotálico 2022@gmail.com</t>
  </si>
  <si>
    <t>Observacional prospectivo</t>
  </si>
  <si>
    <t>TOXICOLOGIA</t>
  </si>
  <si>
    <t>DADOS DE 2002-2021</t>
  </si>
  <si>
    <t>NSA</t>
  </si>
  <si>
    <t>EM COLETA DE DADOS</t>
  </si>
  <si>
    <r>
      <rPr>
        <b/>
        <sz val="12"/>
        <color theme="1"/>
        <rFont val="Calibri"/>
      </rPr>
      <t xml:space="preserve">2024/                      </t>
    </r>
    <r>
      <rPr>
        <b/>
        <sz val="12"/>
        <color theme="1"/>
        <rFont val="Calibri"/>
      </rPr>
      <t>45</t>
    </r>
  </si>
  <si>
    <t>tramitação demorada por atraso no CEP Propon Einstein</t>
  </si>
  <si>
    <t>Estudo epidemiológico da síndrome do desconforto respiratório
agudo pediátrico (PARDIE-BR)</t>
  </si>
  <si>
    <t xml:space="preserve"> 2270.01.0068756/2023-90</t>
  </si>
  <si>
    <t>Veronica Ferreira Cury</t>
  </si>
  <si>
    <t>EINSTEIN</t>
  </si>
  <si>
    <t>HIJPII</t>
  </si>
  <si>
    <t>Publicação de artigos</t>
  </si>
  <si>
    <t>Aprovado no 2 PT</t>
  </si>
  <si>
    <t>NAO SE APLICA</t>
  </si>
  <si>
    <t>veronica.cury@fhemig.mg.gov.br</t>
  </si>
  <si>
    <t>Multicêntrico observacional prospectivo</t>
  </si>
  <si>
    <t>UTI PEDIÁTRICA HIJPII/// HJXXIII?</t>
  </si>
  <si>
    <t xml:space="preserve">coleta de dados de 6 semanas a partir de Janeiro de 2025 </t>
  </si>
  <si>
    <r>
      <rPr>
        <b/>
        <sz val="12"/>
        <color theme="1"/>
        <rFont val="Calibri"/>
      </rPr>
      <t xml:space="preserve">2024/                  </t>
    </r>
    <r>
      <rPr>
        <b/>
        <sz val="12"/>
        <color theme="1"/>
        <rFont val="Calibri"/>
      </rPr>
      <t xml:space="preserve"> 2</t>
    </r>
  </si>
  <si>
    <t>DOS MECANISMOS AOS BIOMARCADORES PARA O ENVENENAMENTO POR ANIMAIS PEÇONHENTOS: UM ESTUDO MULTICÊNTRICO PARA O DESENVOLVIMENTO DE NOVAS ESTRATÉGIAS DE DIAGNÓSTICO E MONITORAMENTO</t>
  </si>
  <si>
    <t>2270.01.0069725/2023-20</t>
  </si>
  <si>
    <t>Joeliton</t>
  </si>
  <si>
    <t>PESQ EXTERNO</t>
  </si>
  <si>
    <t>UI PAULSTA BOTUCATU</t>
  </si>
  <si>
    <t>DOUTORADO</t>
  </si>
  <si>
    <t>Aprovado no 4 PT</t>
  </si>
  <si>
    <t>SIM</t>
  </si>
  <si>
    <t xml:space="preserve">
joeliton.cavalcante@unesp.br</t>
  </si>
  <si>
    <t>FEV -DEZ 2024</t>
  </si>
  <si>
    <t>Adebal de Andrade Filho</t>
  </si>
  <si>
    <t>CHECAR PUBLICAÇÃO</t>
  </si>
  <si>
    <t xml:space="preserve"> Eu autorizo: a deliberação familiar sobre a doação de órgãos e tecidos em um hospital de Belo Horizonte/MG</t>
  </si>
  <si>
    <t>2270.01.0008199/2024-94</t>
  </si>
  <si>
    <t>FABIANA THALIA PEREIRA DE OLIVEIRA</t>
  </si>
  <si>
    <t>UFMG</t>
  </si>
  <si>
    <t>CONGRESSO/DIVULGAÇÃO/PUBLICAÇÃO</t>
  </si>
  <si>
    <t>Qualitativa obser/entrevista</t>
  </si>
  <si>
    <t>DOAÇÃO DE ÓRGAOS</t>
  </si>
  <si>
    <t>FAMILIAS DE DOADORES E NÃO ODADORES DE ORGAOS EM 2002</t>
  </si>
  <si>
    <t>VANESSA VEIGA DE OLIVEIRA/FABIANA THALIA PEREIRA DE OLIVEIRA</t>
  </si>
  <si>
    <t>EM TRAMIT CEP FHEMIG</t>
  </si>
  <si>
    <t>Relato de caso “Tuberculose peritoneal: apresentação rara da doença na infância</t>
  </si>
  <si>
    <t>2270.01.0009833/2024-14</t>
  </si>
  <si>
    <t>Lilian Martins Oliveira Diniz</t>
  </si>
  <si>
    <t xml:space="preserve"> </t>
  </si>
  <si>
    <t>NÃO SE APLICA( RELATOS DE CASO PRONTOS)</t>
  </si>
  <si>
    <t>Relato de caso</t>
  </si>
  <si>
    <t>INFECTOLOGIA PEDIÁTRICA</t>
  </si>
  <si>
    <t>Infecções invasivas por Streptococcus pyogenes em crianças brasileiras: uma série de casos</t>
  </si>
  <si>
    <t>2270.01.0009063/2024-46</t>
  </si>
  <si>
    <t>Série de casos</t>
  </si>
  <si>
    <t xml:space="preserve">ESTRESSE OCUPACIONAL EM PROFISSIONAIS DE ENFERMAGEM: Uma análise da vivência da enfermagem no enfrentamento do estresse ocupacional no ambiente de trabalho - Izabella Christyne Rodrigues de Almeida </t>
  </si>
  <si>
    <t>2270.01.0005335/2024-16</t>
  </si>
  <si>
    <t>Izabella Christyne Rodrigues de Almeida</t>
  </si>
  <si>
    <t>CIENCIAS MÉDICAS</t>
  </si>
  <si>
    <t>TCC</t>
  </si>
  <si>
    <t>Aprovado no 3 PT</t>
  </si>
  <si>
    <t>ENFERMAGEM</t>
  </si>
  <si>
    <t>Juliana Alves dos Reis</t>
  </si>
  <si>
    <t>RELATO DE CASO: Manifestação neurológica grave da SIM-P em criança com refratariedade ao tratamento</t>
  </si>
  <si>
    <t>2270.01.0009847/2024-24</t>
  </si>
  <si>
    <t>SÉRIE DE CASOS : Meningite pelo herpes vírus tipo 7 em crianças</t>
  </si>
  <si>
    <t>2270.01.0009086/2024-07</t>
  </si>
  <si>
    <t>Encefalite pós vacinação para febre amarela em paciente com Imunodeficiência Combinada Grave - Relato de Caso</t>
  </si>
  <si>
    <t>2270.01.0009824/2024-63</t>
  </si>
  <si>
    <t>Aprovado no 1 PT</t>
  </si>
  <si>
    <t>PERFIL DE SUSCEPTIBILIDADE ANTIMICROBIANA DE PACIENTES ADULTOS COM PNEUMONIA ASSOCIADA À VENTILAÇÃO MECÂNICA DE UMA UTI EM UM HOSPITAL PÚBLICO DE URGÊNCIA E EMERGÊNCIA - Suzana Gabrielly Rocha de Mélo</t>
  </si>
  <si>
    <t>2270.01.0009879/2024-33</t>
  </si>
  <si>
    <t>Suzana Gabrielly Rocha de Mélo</t>
  </si>
  <si>
    <t>RESIDENTE MULTI</t>
  </si>
  <si>
    <t>TCR</t>
  </si>
  <si>
    <t>Observ Retrospec</t>
  </si>
  <si>
    <t>UTI TÉRREO</t>
  </si>
  <si>
    <t>JAN- DEZ 2023</t>
  </si>
  <si>
    <t>EM APRECIACAO CEP PROP</t>
  </si>
  <si>
    <t>"EuroCARE) - Coortes Europeias de pacientes e escolas para resposta avançada a epidemias</t>
  </si>
  <si>
    <t>2270.01.0005309/2024-39</t>
  </si>
  <si>
    <t>Jorge Andrade Pinto/TOMAZ  FONSECA(MSTRADO)</t>
  </si>
  <si>
    <t>RESIDENTE MÉDIC</t>
  </si>
  <si>
    <t>MESTRADO</t>
  </si>
  <si>
    <t>Multicêntrico observ prospec</t>
  </si>
  <si>
    <t>Emergência/Internação</t>
  </si>
  <si>
    <t>CHECAR CEP FHEMIG</t>
  </si>
  <si>
    <t>SIM?</t>
  </si>
  <si>
    <t>Estudo latino-americano de resultados cirúrgicos em pacientes pediátricos (LASOS-Peds)</t>
  </si>
  <si>
    <t>2270.01.0016362/2024-77</t>
  </si>
  <si>
    <t>Luciana de Souza Cota// Luciana de Souza Cota</t>
  </si>
  <si>
    <t>HCFMUSP</t>
  </si>
  <si>
    <t>29/04/0204</t>
  </si>
  <si>
    <t>?</t>
  </si>
  <si>
    <t>BLOCO CIRURGICO</t>
  </si>
  <si>
    <t>Luciana de Souza Cota</t>
  </si>
  <si>
    <t>INSERI LINHA SANDRA</t>
  </si>
  <si>
    <t>CAPACIDADE PARA O TRABALHO E REAJUSTE FUNCIONAL ENTRE TRABALHADORES DE UMA REDE HOSPITALAR PÚBLICA</t>
  </si>
  <si>
    <t>2270.01.0017891/2024-19</t>
  </si>
  <si>
    <t>Ludmilla Diniz Oliveira Andrade</t>
  </si>
  <si>
    <t>Anuência FHEMIG</t>
  </si>
  <si>
    <t>CEP UFMG?</t>
  </si>
  <si>
    <t>Transversal retrospectivo</t>
  </si>
  <si>
    <t>GSST/FHEMIG</t>
  </si>
  <si>
    <t>2019-2023</t>
  </si>
  <si>
    <t>CRICKET: Eventos críticos em crianças anestesiadas submetidas a intubação traqueal. Um estudo observacional prospectivo
e multicêntrico</t>
  </si>
  <si>
    <t>2270.01.0018197/2024-02</t>
  </si>
  <si>
    <t>Vinícius Caldeira Quintão/ Luciana de Souza Cota</t>
  </si>
  <si>
    <t xml:space="preserve">BLOCO CIRURGICO </t>
  </si>
  <si>
    <t>1 trimestre de 2024</t>
  </si>
  <si>
    <t>ANÁLISE DE FRATURAS DE TORNOZELO SUBMETIDOS A TESTES INTRAOPERATÓRIOS PARA LESÕES DA SINDESMOSE: TESTE DE HOOK, ESTRESSE E TAP TEST</t>
  </si>
  <si>
    <t xml:space="preserve"> 2270.01.0022113/2024-97</t>
  </si>
  <si>
    <t>João Vitor Liboni Guimarães Rios</t>
  </si>
  <si>
    <t>HMAL</t>
  </si>
  <si>
    <t>ORTOPEDIA TORNOZELO</t>
  </si>
  <si>
    <t>MARÇO DE 2023 - JUNHO DE 2024</t>
  </si>
  <si>
    <t>Série de casos: Lúpus Eritematoso Sistêmico Pediátrico em Unidade de Terapia Intensiva - terapêutica e desfechos clínicos</t>
  </si>
  <si>
    <t>2270.01.0022930/2024-57</t>
  </si>
  <si>
    <t>Ana Luiza Garcia Cunha</t>
  </si>
  <si>
    <t>UTI Pediátrica  HIJPII</t>
  </si>
  <si>
    <t>PARECER CEP FHEMIG??</t>
  </si>
  <si>
    <t>LINHA LUCIENE</t>
  </si>
  <si>
    <t>VULNERABILIDADES CLÍNICAS, PSICOLÓGICAS E SOCIAIS ASSOCIADAS À TENTATIVA DE AUTOEXTERMÍNIO POR INGESTÃO MEDICAMENTOSA EM MULHERES: UM ESTUDO TRANSVERSAL</t>
  </si>
  <si>
    <t>2270.01.0024337/2024-92</t>
  </si>
  <si>
    <t>FLÁVIO JEAN DO ROSÁRIO /RODRIGO FALEIRO</t>
  </si>
  <si>
    <t>parecer CEP PROP?</t>
  </si>
  <si>
    <t>Transversal</t>
  </si>
  <si>
    <t>DADOS DE MULHERES DE PRONTO SOCORRO (PA) com TAE</t>
  </si>
  <si>
    <t>MULHERES ADMITIDAS EM 2020 E 2021</t>
  </si>
  <si>
    <t>RELATO DE CASO: Irmãos com Camptodactilia, artropatia, coxo-vara, pericardite com apresentação similar a artrite idiopática juvenil</t>
  </si>
  <si>
    <t>2270.01.0026246/2024-56</t>
  </si>
  <si>
    <t>ANA LUIZA GARCIA CUNHA</t>
  </si>
  <si>
    <t xml:space="preserve">SERVIÇO DE REUMATOLOGIA </t>
  </si>
  <si>
    <t xml:space="preserve"> Lesão traumática da aorta torácica: relato de caso</t>
  </si>
  <si>
    <t>2270.01.0028130/2024-16</t>
  </si>
  <si>
    <t>Paulo Roberto Lima Carreiro</t>
  </si>
  <si>
    <t>Relato de Caso</t>
  </si>
  <si>
    <t>PRONTO SOCORRO (PA)</t>
  </si>
  <si>
    <t xml:space="preserve"> Cuidado do Paciente Queimado</t>
  </si>
  <si>
    <t>EFETIVIDADE DOS SCORES DE MORBIMORTALIDADE EM QUEIMADURAS: ANÁLISE RETROSPECTIVA EM UM CENTRO DE TRATAMENTO DE QUEIMADOS</t>
  </si>
  <si>
    <t>2270.01.0022485/2024-44</t>
  </si>
  <si>
    <t>ROBERTO MENDES FEREIRA</t>
  </si>
  <si>
    <t>Observacional retrospectivo</t>
  </si>
  <si>
    <t>UTQ</t>
  </si>
  <si>
    <t>JAN2020-DEZ2023</t>
  </si>
  <si>
    <t>INCIDÊNCIA DE LESÕES POR PRESSÃO EM UMA UNIDADE DE TERAPIA INTENSIVA PEDIÁTRICA"</t>
  </si>
  <si>
    <t>2270.01.0029408/2024-42</t>
  </si>
  <si>
    <t>Paula Giuliana Rodrigues Motter</t>
  </si>
  <si>
    <t>UTI PED HIJPII</t>
  </si>
  <si>
    <t>SET - OUT 2024 (60 DIAS)</t>
  </si>
  <si>
    <t>AVULSÃO FECHADA COMBINADA DOS TENDÕES FLEXORES: RELATO DE CASO E REVISÃO DE LITERATURA</t>
  </si>
  <si>
    <t>2270.01.0028591/2024-82</t>
  </si>
  <si>
    <t>Matheus Fávero Damasceno</t>
  </si>
  <si>
    <t>CIRURGIA DE MÃO HMAL</t>
  </si>
  <si>
    <t>SEQUELAS GERADAS PÓS MENINGITE PNEUMOCÓCICA INFANTIL: UM RELATO DE CASO</t>
  </si>
  <si>
    <t>2270.01.0029390/2024-43</t>
  </si>
  <si>
    <t>Bruno Freire Braun Chaves</t>
  </si>
  <si>
    <t>PED HIJPII</t>
  </si>
  <si>
    <t>SÍNDROME DO INTESTINO CURTO: UM RELATO DE CASO REALIZADO EM UM HOSPITAL INFANTIL DE BELO HORIZONTE</t>
  </si>
  <si>
    <t>2270.01.0029571/2024-06</t>
  </si>
  <si>
    <t>Thais Regina Silveira</t>
  </si>
  <si>
    <t>SERVIÇO DE NUTRIÇÃO HIJPII</t>
  </si>
  <si>
    <t>PERFIL NUTRICIONAL DE PACIENTES INTERNADOS EM UM HOSPITAL PÚBLICO DE MINAS GERAIS TRIADOS PELO PROTOCOLO DE TRIAGEM NUTRICIONAL NUTRITIONAL RISK SCREENING 2002</t>
  </si>
  <si>
    <t>2270.01.0029049/2024-35</t>
  </si>
  <si>
    <t>Mariana Vassallo Ribeiro</t>
  </si>
  <si>
    <t>SERVIÇO DE NUTRIÇÃO HJXXIII</t>
  </si>
  <si>
    <t>AGO 2024-AGO2025</t>
  </si>
  <si>
    <t>ATUAÇÃO DO FARMACÊUTICO CLÍNICO EM UM CENTRO DE TERAPIA INTENSIVA DA UNIDADE DE TRATAMENTO DE QUEIMADOS</t>
  </si>
  <si>
    <t>2270.01.0030758/2024-64</t>
  </si>
  <si>
    <t>JUNH?</t>
  </si>
  <si>
    <t>FARMÁCIA/ CTQ</t>
  </si>
  <si>
    <t>JAN-DEZ 2023</t>
  </si>
  <si>
    <t>ANÁLISE DO PERFIL DE MEDICAMENTOS E DOS PROBLEMASRELACIONADOS AO USO DE MEDICAMENTOS NO CENTRODETERAPIAINTENSIVA DA UNIDADE DE TRATAMENTO DE QUEIMADOS</t>
  </si>
  <si>
    <t>2270.01.0030897/2024-94</t>
  </si>
  <si>
    <t>MARCELI CARVALHO FALCÃO</t>
  </si>
  <si>
    <t>OUT-DEZ 2022</t>
  </si>
  <si>
    <t>2024/73     2025/58</t>
  </si>
  <si>
    <t>DESENVOLVIMENTO DE MODELO PREDITIVO UTILIZANDO MACHINE LEARNING PARA A TOMADA DE DECISÃO NO TRAUMATISMO CRANIOENCEFÁLICO PEDIÁTRICO</t>
  </si>
  <si>
    <t>2270.01.0028522/2024-05</t>
  </si>
  <si>
    <t>LEOPOLDO MANDIC FERREIRA FURTADO</t>
  </si>
  <si>
    <t xml:space="preserve">Pendência </t>
  </si>
  <si>
    <t>lmandicster@gmail.com</t>
  </si>
  <si>
    <t xml:space="preserve">UTI PED </t>
  </si>
  <si>
    <t>???</t>
  </si>
  <si>
    <t>Possíveis fatores que levaram crianças previamente hígidas a realização de traqueostomia em um CTI de um hospital público de Minas Gerais"</t>
  </si>
  <si>
    <t>2270.01.0030286/2024-04</t>
  </si>
  <si>
    <t>Anderson de Sousa Escórcio</t>
  </si>
  <si>
    <t>pctes com tqt jan 2022 a jan 2024</t>
  </si>
  <si>
    <t xml:space="preserve"> ASPECTOS CLÍNICOS E EPIDEMIOLÓGICOS ASSOCIADOS AOS ACIDENTES COM ANIMAIS PEÇONHENTOS ATENDIDOS NO HOSPITAL JOÃO XXIII</t>
  </si>
  <si>
    <t>2270.01.0031625/2024-32</t>
  </si>
  <si>
    <t>Débora Crystina Reis// Jéssica Oliveira de Souza</t>
  </si>
  <si>
    <t>PCTES Q DERAM ENTRADA EM 2023</t>
  </si>
  <si>
    <t>RELAÇÃO ENTRE A CAPACIDADE VITAL E A FUNÇÃO DOS MEMBROS SUPERIORES DE PACIENTES COM DISTROFIA MUSCULAR DE DUCHENNE</t>
  </si>
  <si>
    <t xml:space="preserve"> 2270.01.0031662/2024-03</t>
  </si>
  <si>
    <t xml:space="preserve">BÁRBARA DE PAULA DUPIM </t>
  </si>
  <si>
    <t>AMBULAT DE DOENÇAS RARAS</t>
  </si>
  <si>
    <t>MAIO de 2023 a MAIO de 2024</t>
  </si>
  <si>
    <t xml:space="preserve"> Perfil epidemiológico de pacientes traqueostomizados em um hospital pediátrico referência em Minas Gerais</t>
  </si>
  <si>
    <t xml:space="preserve"> 2270.01.0031302/2024-23</t>
  </si>
  <si>
    <t>Bruna Santos Lima</t>
  </si>
  <si>
    <t>Serviço de assistência
integral à criança traqueostomizada (SAIT)</t>
  </si>
  <si>
    <t>JAN 2020 a  JAN 2024</t>
  </si>
  <si>
    <t>ANÁLISE DOS ERROS RELACIONADOS À ADMINISTRAÇÃO DE MEDICAMENTOS EM UM HOSPITAL DE GRANDE PORTE</t>
  </si>
  <si>
    <t>2270.01.0032214/2024-37</t>
  </si>
  <si>
    <t>Grazyelle Ferreira de Souza/Camila de Souza Gomes</t>
  </si>
  <si>
    <t>NÚCLEO DE SEGURANCA DO PCTE (NSP)</t>
  </si>
  <si>
    <t>Estudos Clínicos e Epidemiológicos em Medicina Intensiva</t>
  </si>
  <si>
    <t>Tratamento Cirúrgico do Traumatismo Raquimedular Por Arma Branca Retida em Coluna Torácica: Relato de Caso</t>
  </si>
  <si>
    <t>2270.01.0033325/2024-13</t>
  </si>
  <si>
    <t>CINTIA HORTA REZENDE</t>
  </si>
  <si>
    <t>PCT TRM NEUROC</t>
  </si>
  <si>
    <t>AGUARDANDO FR ASS</t>
  </si>
  <si>
    <t>A PERCEPÇÃO DA EQUIPE DE ENFERMAGEM SOBRE O BRINQUEDO TERAPÊUTICO NA PRÁTICA ASSISTENCIAL EM UMA UNIDADE PÚBLICA DE INTERNAÇÃO PEDIÁTRICA</t>
  </si>
  <si>
    <t>2270.01.0033293/2024-04</t>
  </si>
  <si>
    <t>Mayra Monte Barbosa Ferreira/Jacqueline Dantas</t>
  </si>
  <si>
    <t xml:space="preserve">
maay.montee@gmail.com</t>
  </si>
  <si>
    <t xml:space="preserve">INTERNAÇÃO PEDIÁTRICA EQUIPE ENFERMAG </t>
  </si>
  <si>
    <t>JULHO e AGOSTO de
2024</t>
  </si>
  <si>
    <t>PERDA AMBÍGUA EM FAMILIARES DE PACIENTES VÍTIMAS DE LESÃO CEREBRAL INTERNADOS EM UM HOSPITAL DE PRONTO SOCORRO DE BELO HORIZONTE</t>
  </si>
  <si>
    <t>2270.01.0033674/2024-96</t>
  </si>
  <si>
    <t>Rodrigo Aparecido Fernandes // Sandra das Dores Souza</t>
  </si>
  <si>
    <t>PCTES UTIA/PED/UNI CUID PROG/CLÍNICA MED E NEUROLO</t>
  </si>
  <si>
    <t xml:space="preserve"> 1 de MARÇO de 2023
até 28 de FEVEREIRO de 2025</t>
  </si>
  <si>
    <t>2270.01.0031302/2024-23</t>
  </si>
  <si>
    <t xml:space="preserve">Crianças traqueostomizadas d servoço SAIT </t>
  </si>
  <si>
    <t>Pctes marcos  Janeiro de 2020 a janeiro de 2024.</t>
  </si>
  <si>
    <t xml:space="preserve"> O IMPACTO NA ASSISTÊNCIA EM VIRTUDE DA ALTA DEMANDA EM UM HOSPITAL DE ATENDIMENTO TERCIÁRIO:  HJXXIII</t>
  </si>
  <si>
    <t>2270.01.0034010/2024-45</t>
  </si>
  <si>
    <t>Raniele Silva Borges</t>
  </si>
  <si>
    <t>PRONTO ATENDIMENTO HJXXIII</t>
  </si>
  <si>
    <t>JAN -JUN DO ANO DE 2023</t>
  </si>
  <si>
    <t>LESÃO AXONAL DIFUSA NA POPULAÇÃO PEDIÁTRICA : avaliação do perfil epidemiológico do hospital João XXIII</t>
  </si>
  <si>
    <t xml:space="preserve">2270.01.0033330/2024-72
  </t>
  </si>
  <si>
    <t>Observacional descritivo</t>
  </si>
  <si>
    <t>UTI PEDIÁTRICA  HJXIII</t>
  </si>
  <si>
    <t>PRONT DE  JAN  2022  - DEZ 2023</t>
  </si>
  <si>
    <t>DESMAME DA VENTILAÇÃO MECÂNICA EM PACIENTES COM TRAUMATISMO RAQUIMEDULAR</t>
  </si>
  <si>
    <t xml:space="preserve"> 2270.01.0033706/2024-08</t>
  </si>
  <si>
    <t>Mariana Costa Garcia/Ludimilla</t>
  </si>
  <si>
    <t>Transversal prospectivo</t>
  </si>
  <si>
    <t xml:space="preserve"> COLETA DE JUN - DEZ DE 2024</t>
  </si>
  <si>
    <t>Neurotraumatologia e Neurocirurgia de Urgência e Emergência</t>
  </si>
  <si>
    <t xml:space="preserve"> Pneumoencéfalo traumático na ausência de fratura craniana em vítima
de queimadura elétrica: um relato de caso</t>
  </si>
  <si>
    <t xml:space="preserve"> 2270.01.0034403/2024-07</t>
  </si>
  <si>
    <t>Rodigo Faleiro</t>
  </si>
  <si>
    <t>CEP?</t>
  </si>
  <si>
    <t>CTQ</t>
  </si>
  <si>
    <t>VALOR DA CAPACIDADE VITAL COMO FATOR DE RISCO PARA FALHA NA INTERRUPÇÃO DA VENTILAÇÃO MECÂNICA DE PACIENTES TETRAPLÉGICOS FLÁCIDOS</t>
  </si>
  <si>
    <t>2270.01.0034410/2024-12</t>
  </si>
  <si>
    <t>Mônica Miranda de Freitas/Isabelle Fernandes de Assis</t>
  </si>
  <si>
    <t xml:space="preserve"> UTI TÉRREO  SEMI INTENS 3 ANDAR</t>
  </si>
  <si>
    <t xml:space="preserve">  junho de 2024 a setembro de 2024</t>
  </si>
  <si>
    <t>DESFECHO FUNCIONAL DE PACIENTES COM TRAUMATISMO CRANIOENCEFÁLICO LEVE</t>
  </si>
  <si>
    <t>2270.01.0034427/2024-38</t>
  </si>
  <si>
    <t xml:space="preserve">Maira Stefanie de Castro Pereira/ LUDMILLA </t>
  </si>
  <si>
    <t>PCTE TCE LEVE COM ALTA EM DEZ 2023</t>
  </si>
  <si>
    <t>DIAGNÓSTICO IMAGIOLÓGICO DE BODY PACKERS: RELATO DE CASO</t>
  </si>
  <si>
    <t>2270.01.0035777/2024-60</t>
  </si>
  <si>
    <t>EMERGENCIA/INTERNAÇÃO</t>
  </si>
  <si>
    <t>Avaliação dos Custos Envolvidos para Atendimentos Presenciais em Reumatologia Pediátrica-</t>
  </si>
  <si>
    <t xml:space="preserve"> 2270.01.0035850/2024-29</t>
  </si>
  <si>
    <t>SERVIÇO DE REUMATOLOGIA HIJPII</t>
  </si>
  <si>
    <t>10 DE JUNH - 10 JULHO 2024</t>
  </si>
  <si>
    <t>SABERES DOS PROFISSIONAIS DE SAÚDE E O ATENDIMENTO ÀS CRIANÇAS E ADOLESCENTES TRANSGÊNERO</t>
  </si>
  <si>
    <t xml:space="preserve"> 2270.01.0037562/2024-74</t>
  </si>
  <si>
    <t>Isabela Ferreira de Castro</t>
  </si>
  <si>
    <t>FIOCRUZ</t>
  </si>
  <si>
    <t>AMBUL (UERJ) e  (HIJPII) (CGP) 
Voltados ao atendimento de adolesc trans</t>
  </si>
  <si>
    <t>A PESQ FARÁ UMA VISITA AO SETOR PARA A S ENTREVSTAS DATA NÃO DEFINIDA</t>
  </si>
  <si>
    <t>NÃO TEM</t>
  </si>
  <si>
    <t>COMUNICAÇÃO ENTRE PROFISSIONAIS EM PRONTO-SOCORRO: ESTRATÉGIAS PARA SUPERAÇÃO DE BARREIRAS SOB A PERSPECTIVA DA EQUIPE ASSISTENCIAL</t>
  </si>
  <si>
    <t>2270.01.0037631/2024-54</t>
  </si>
  <si>
    <t>LARISSA CÂNDIDA MELO</t>
  </si>
  <si>
    <t>EQUIPE MULTIP EMERGENCIA HJXXIII</t>
  </si>
  <si>
    <t>AGUARDANDO CEP PROPONENTE</t>
  </si>
  <si>
    <t>2024/72</t>
  </si>
  <si>
    <t xml:space="preserve">Protocolo Onda Vermelha no atendimento do paciente In Extremis: A experiência em um Hospital Brasileiro de Referência em Traumatologia </t>
  </si>
  <si>
    <t>2270.01.0037819/2024-22</t>
  </si>
  <si>
    <t>BOLSISTA FAPEMIG</t>
  </si>
  <si>
    <t>PT + TAnuencia</t>
  </si>
  <si>
    <t xml:space="preserve"> EMERGENCIA</t>
  </si>
  <si>
    <t>PARADA CARDÍACA INTRA-HOSPITALAR: ANÁLISE DOS ATENDIMENTOS DA EQUIPE DO CÓDIGO AZUL EM UM HOSPITAL DE GRANDE PORTE-</t>
  </si>
  <si>
    <t>2270.01.0040177/2024-85</t>
  </si>
  <si>
    <t xml:space="preserve"> Deborah Maria de Paula-Cruz</t>
  </si>
  <si>
    <t>HJXXIII/ 3°  ANDAR</t>
  </si>
  <si>
    <t>Pcts cod azul de março a setembro de 2024</t>
  </si>
  <si>
    <t>PENDENCIA CIP</t>
  </si>
  <si>
    <t>INTERVENÇÃO PRECOCE DA TERAPIA OCUPACIONAL EM QUEIMADOS</t>
  </si>
  <si>
    <t>2270.01.0040804/2024-34</t>
  </si>
  <si>
    <t xml:space="preserve"> ARIANE PATRICIA F. CORREA LOPES</t>
  </si>
  <si>
    <t>Relato de Experiência</t>
  </si>
  <si>
    <t>USO DE DEXMEDETOMIDINA EM RETALHO MICROCIRÚRGICO</t>
  </si>
  <si>
    <t>2270.01.0041209/2024-60</t>
  </si>
  <si>
    <t>Renata de Abreu Fabrini/Luciana de Souza Cota</t>
  </si>
  <si>
    <t xml:space="preserve">BLOCO CIRÚRGICO </t>
  </si>
  <si>
    <t>TDS PCTES  submetidos a cirurgia de retalho
microcirúrgico até julho de 2024</t>
  </si>
  <si>
    <t>DENGUE EM CRIANÇAS E ADOLESCENTES COM DOENÇA FALCIFORME: MANIFESTAÇÕES CLÍNICAS E COMPLICAÇÕES MAIS FREQUENTES</t>
  </si>
  <si>
    <t>2270.01.0042065/2024-34</t>
  </si>
  <si>
    <t>Clarisse Angelim Soares Cardoso/Aline Bentes</t>
  </si>
  <si>
    <t>PCTE 0-18A COM DENGUE</t>
  </si>
  <si>
    <t>DE 01 de novembro de 2023 até 30 de junho de 2024.</t>
  </si>
  <si>
    <t>PUBLICADO</t>
  </si>
  <si>
    <t>"RELATO DE CASO: HEMOFILIA A ADQUIRIDA", da pesquisadora residente</t>
  </si>
  <si>
    <t>2270.01.0042835/2024-02</t>
  </si>
  <si>
    <t xml:space="preserve"> Ana Clara Vieira Ferreira/ Tarcisio Borborema</t>
  </si>
  <si>
    <t xml:space="preserve">
anaclaravieira13@yahoo.com.br</t>
  </si>
  <si>
    <t>ADMITIDO NO PA TRATADO P/ HEMATOLOGISTA</t>
  </si>
  <si>
    <t>Hematology, Transfusion and Cell Therapy
Volume 46, Supplement 4, October 2024, Page S559</t>
  </si>
  <si>
    <t xml:space="preserve"> AVALIAÇÃO DOS FATORES ASSOCIADOS AO AUMENTO DO TEMPO DE INTERNAÇÃO HOSPITALAR EM PACIENTES COM INFECÇÃO ODONTOGÊNICA: ESTUDO ANALÍTICO TRANSVERSAL</t>
  </si>
  <si>
    <t>2270.01.0043490/2024-68</t>
  </si>
  <si>
    <t>Clarina Louis Silva Meira/ MÁRCIO</t>
  </si>
  <si>
    <t>RESIDENTE BUCO</t>
  </si>
  <si>
    <t>marciobrunoamaral@gmail.com</t>
  </si>
  <si>
    <t>BUCOMAXILO</t>
  </si>
  <si>
    <t>PACIENTES OPERADOS DE  01 de janeiro de 2018 a 31 de dezembro de 2022</t>
  </si>
  <si>
    <t>-PERFIL CLÍNICO-EPIDEMIOLÓGICO DOS PACIENTES DE UMA UNIDADE DE INTERNAÇÃO DE UM HOSPITAL REFERÊNCIA EM TRAUMA DE MINAS GERAIS</t>
  </si>
  <si>
    <t>2270.01.0043784/2024-84</t>
  </si>
  <si>
    <t xml:space="preserve"> Gabriela Pereira Correa/ PATRICIA BRITO</t>
  </si>
  <si>
    <t>CIRURGIA GERAL (4° andar)</t>
  </si>
  <si>
    <t>AMOSTRA DO ANO DE 2023</t>
  </si>
  <si>
    <t>01/08/202024</t>
  </si>
  <si>
    <t>Cuidado do Paciente Queimado</t>
  </si>
  <si>
    <t>ÚLCERA DE STRESS EM CRIANÇA :RELATO DE CASO STRESS ULCER IN BURNED CHILD</t>
  </si>
  <si>
    <t>2270.01.0044029/2024-65</t>
  </si>
  <si>
    <t>Ana Amelia Ramalho/ Anest</t>
  </si>
  <si>
    <t xml:space="preserve"> ANÁLISE DO ABSENTEÍSMO E A UTILIZAÇÃO DE HORAS EXTRAS DE UM COMPLEXO HOSPITALAR DO ESTADO DE MINAS GERAIS NO ANO DE 2023</t>
  </si>
  <si>
    <t>2270.01.0042634/2024-94</t>
  </si>
  <si>
    <t>DALILA LAGE PINTO MORAIS</t>
  </si>
  <si>
    <t>CHU</t>
  </si>
  <si>
    <t>DEPARTAMENTO DE PESSOAL CHU</t>
  </si>
  <si>
    <t>DADOS DO ANO DE 2023</t>
  </si>
  <si>
    <t>CLAUDIA BETARI/ ESCOLA DE GOVERNO JOAO PINHEIRO</t>
  </si>
  <si>
    <t>CARACTERÍSTICAS E EXPECTATIVAS DOS PACIENTES COM FRATURAS DISTAIS DO RÁDIO</t>
  </si>
  <si>
    <t>2270.01.0044243/2024-10</t>
  </si>
  <si>
    <t>ORTOPEDIA MÃO</t>
  </si>
  <si>
    <t xml:space="preserve"> Julho de 2023 a Julho de 2024</t>
  </si>
  <si>
    <t xml:space="preserve">PERFIL DE PRESCRIÇÃO DE AMICACINA E CEFTAZIDIMA-AVIBACTAM NA UNIDADE DE TERAPIA INTENSIVA DE UM HOSPITAL DE ALTA COMPLEXIDADE REFERÊNCIA EM URGÊNCIA E EMERGÊNCIA </t>
  </si>
  <si>
    <t>2270.01.0044069/2024-52</t>
  </si>
  <si>
    <t>Heloiza Cristina dos Santos / Ana Carolina</t>
  </si>
  <si>
    <t xml:space="preserve"> UTI TÉRREO</t>
  </si>
  <si>
    <t>PCTES INETRNADOS  Janeiro a Dezembro de 2023.</t>
  </si>
  <si>
    <t>RECONSTRUÇÃO MANDIBULAR COM RETALHO MICROVASCULARIZADO DE FÍBULA: UM ESTUDO MULTICÊNTRICO</t>
  </si>
  <si>
    <t>2270.01.0041839/2024-25</t>
  </si>
  <si>
    <t>CAIO FEITOSA DOS SANTOS/ ROGER LANES</t>
  </si>
  <si>
    <t>janeiro de 2018 a dezembro de 2024</t>
  </si>
  <si>
    <t>SÍNDROME DE GITELMAN: DOS SINTOMAS AO TRATAMENTO – UM RELATO DE CASO</t>
  </si>
  <si>
    <t>2270.01.0044583/2024-45</t>
  </si>
  <si>
    <t xml:space="preserve">ISABELLE F. DE LADEIRA DE MELO/PAPINI
</t>
  </si>
  <si>
    <t>CLÍNICA MÉDICA</t>
  </si>
  <si>
    <t xml:space="preserve"> AVALIAÇÃO DAS COMPLICAÇÕES E DESFECHO HOSPITALAR DOS PACIENTES VÍTIMAS DE INGESTÃO DE CÁUSTICOS ADMITIDOS NA UNIDADE DE TERAPIA INTENSIVA DO HOSPITAL JOÃO XXIII</t>
  </si>
  <si>
    <t>2270.01.0044810/2024-27</t>
  </si>
  <si>
    <t>"Lucas Viana Pereira Maciel/ BRUZZI  E ADEBAL</t>
  </si>
  <si>
    <t xml:space="preserve"> DADOS de junho de 2024 e janeiro de 2025</t>
  </si>
  <si>
    <t xml:space="preserve"> Crianças com condições crônicas complexas: uma análise comparativa de custos da internação hospitalar e domiciliar em um hospital público de referência na cidade de Belo Horizonte.- UFMG</t>
  </si>
  <si>
    <t xml:space="preserve"> 2270.01.0028167/2024-84</t>
  </si>
  <si>
    <t>Natália de Souza Pires/ kênia e Márcia Alemão</t>
  </si>
  <si>
    <t>: (31) 99339-8255
 oliveiransp@gmail.com// Dra Kênia Lara da Silva
31) 99621-0111
kenialara17@gmail.com</t>
  </si>
  <si>
    <t>crianças cronicas no HIJPII</t>
  </si>
  <si>
    <t>Serão coletados de 2019 a 2023.</t>
  </si>
  <si>
    <t>MARCIA ALEMÃO?</t>
  </si>
  <si>
    <t>NAO</t>
  </si>
  <si>
    <t>INFECÇÃO GONOCÓCICA DISSEMINADA: UM RELATO DE CASO</t>
  </si>
  <si>
    <t>2270.01.0044879/2024-07</t>
  </si>
  <si>
    <t>Letícia Ferreira Coelho/Juliana Mattos Tavares</t>
  </si>
  <si>
    <t>Fatores prognósticos no tratamento das lesões traumáticas das artérias subclávia e axilar</t>
  </si>
  <si>
    <t>2270.01.0044059/2024-31</t>
  </si>
  <si>
    <t>Gustavo Henrique Dumont Kleinsorge</t>
  </si>
  <si>
    <t>PCT submetidos a  TTO cirúrgico das lesões das artérias subcl e axilar</t>
  </si>
  <si>
    <t>PCTS entre JAN de 2013 e JAN de 2024</t>
  </si>
  <si>
    <t>FATORES RELACIONADOS À INTOLERÂNCIA AO EXERCÍCIO EM PACIENTES COM FIBROSE CÍSTICA: UMA ANÁLISE LONGITUDINAL</t>
  </si>
  <si>
    <t xml:space="preserve"> 2270.01.0045737/2024-24</t>
  </si>
  <si>
    <t>Maria Ariane Almeida Lima /Evanirso Aquino</t>
  </si>
  <si>
    <t>AMB FICROSE CISTICA</t>
  </si>
  <si>
    <t xml:space="preserve"> JUN 2024 - JAN 2025</t>
  </si>
  <si>
    <t>ANÁLISE DESCRITIVA DO PERFIL DE PACIENTES ATENDIDOS NO AMBULATÓRIO DE ACOMPANHAMENTO DA TERAPIA PRESSÓRICA DO HIJPII</t>
  </si>
  <si>
    <t>2270.01.0047452/2024-85</t>
  </si>
  <si>
    <r>
      <rPr>
        <sz val="9"/>
        <color theme="1"/>
        <rFont val="Calibri"/>
      </rPr>
      <t xml:space="preserve"> ÁLANA SFATH/</t>
    </r>
    <r>
      <rPr>
        <sz val="9"/>
        <color rgb="FF0000FF"/>
        <rFont val="Calibri"/>
      </rPr>
      <t xml:space="preserve"> Evanirso Aquino</t>
    </r>
  </si>
  <si>
    <t>AMBULAT DO SONO</t>
  </si>
  <si>
    <t>JAN 2018- AGOSTO 2024</t>
  </si>
  <si>
    <t>29/08/205/24</t>
  </si>
  <si>
    <t>APROVADO CEP FHEMIG</t>
  </si>
  <si>
    <t>PATROCINADOR EISNTEIN</t>
  </si>
  <si>
    <r>
      <rPr>
        <sz val="10"/>
        <color theme="1"/>
        <rFont val="Calibri"/>
      </rPr>
      <t xml:space="preserve"> Projeto Genomas Raros: aplicação da genômica para o diagnóstico de doenças raras e do risco hereditário de câncer no Brasil em serviços públicos de saúde.</t>
    </r>
    <r>
      <rPr>
        <b/>
        <sz val="10"/>
        <color theme="1"/>
        <rFont val="Calibri"/>
      </rPr>
      <t xml:space="preserve"> VERSÃO 9 2024</t>
    </r>
  </si>
  <si>
    <t>2270.01.0040821/2024-60</t>
  </si>
  <si>
    <t>EMENDA/NÃO SE APLICA</t>
  </si>
  <si>
    <t>DOENÇAS RARAS</t>
  </si>
  <si>
    <t>AGOSTO 2024-2026</t>
  </si>
  <si>
    <t xml:space="preserve"> Lesões das artérias carótidas: apresentação e resultados do tratamento</t>
  </si>
  <si>
    <t>2270.01.0047634/2024-21</t>
  </si>
  <si>
    <t>PCT submetidos a TTO cirúrgico das
lesões das artérias carótidas</t>
  </si>
  <si>
    <t>PCTS entre JAN de 2014 e JAN de 2024</t>
  </si>
  <si>
    <t>- Relato de caso: Escorpionismo prévio como uma provável causa de falha de raquianestesia</t>
  </si>
  <si>
    <t>2270.01.0049114/2024-25</t>
  </si>
  <si>
    <t xml:space="preserve"> Luciana de Souza Cota/TALES J. CORREA DE ALMEIDA </t>
  </si>
  <si>
    <t>lulucota@gmail.com</t>
  </si>
  <si>
    <t>REPROVADO</t>
  </si>
  <si>
    <t xml:space="preserve">COMPARAÇÃO ENTRE AS TÉCNICAS DE OSTEOTOMIA SAGITAL
CONVENCIONAL E ANGULADA EM CIRURGIA ORTOGNÁTICA:
 ENSAIO CLÍNICO CONTROLADO E RANDOMIZADO
</t>
  </si>
  <si>
    <t>2270.01.0048228/2024-85</t>
  </si>
  <si>
    <t>Eduarda Pires Carvalho/Marcio Bruno</t>
  </si>
  <si>
    <t>Reprovado</t>
  </si>
  <si>
    <t>00/00/2000</t>
  </si>
  <si>
    <t>ECCR</t>
  </si>
  <si>
    <t xml:space="preserve">BUCO PCT c/ deformidades maxilofaciais c/ indicação para cirurgia
ortognática </t>
  </si>
  <si>
    <t>AGOSTO 2024 - JAN 2025</t>
  </si>
  <si>
    <t xml:space="preserve">ABORDAGEM DE ESTADO CONFUSIONAL AGUDO APÓS TCE EM PACIENTE COM SÍNDROME DEMENCIAL: UM RELATO DE CASO SOBRE DIAGNÓSTICOS DIFERENCIAIS E HIPERPARATIREOIDISMO PRIMÁRIO </t>
  </si>
  <si>
    <t xml:space="preserve"> 2270.01.0050447/2024-21</t>
  </si>
  <si>
    <t>GUILHERME AUGUSTO BARROSO</t>
  </si>
  <si>
    <t>guilhermebarroso.coluna@gmail.com</t>
  </si>
  <si>
    <t>RESIDENTE</t>
  </si>
  <si>
    <t xml:space="preserve"> Autoinflamação Brasil-França: Imersão translacional nas bases imunológicas e genéticas da inflamação</t>
  </si>
  <si>
    <t>2270.01.0059419/2024-83</t>
  </si>
  <si>
    <r>
      <rPr>
        <sz val="10"/>
        <color theme="1"/>
        <rFont val="Calibri"/>
      </rPr>
      <t xml:space="preserve"> </t>
    </r>
    <r>
      <rPr>
        <sz val="10"/>
        <color rgb="FFFF0000"/>
        <rFont val="Calibri"/>
      </rPr>
      <t>Observacional prospectivo</t>
    </r>
  </si>
  <si>
    <t>Indivíduos com diagnóstico de doença
autoinflamatória/imunodesregulatória</t>
  </si>
  <si>
    <t>2025-2030</t>
  </si>
  <si>
    <t>"Diagnóstico incidental de Mieloma Múltiplo após trauma: Um Relato de Caso</t>
  </si>
  <si>
    <t xml:space="preserve">2270.01.0050472/2024-25
</t>
  </si>
  <si>
    <t>N/A</t>
  </si>
  <si>
    <t>OSTEOMIELITE CRANIANA SECUNDÁRIA À MIÍASE: RELATO DE CASO</t>
  </si>
  <si>
    <t>2270.01.0051789/2024-65</t>
  </si>
  <si>
    <t>AVALIAÇÃO DO PERFIL EPIDEMIOLÓGICO DE PACIENTES INTERNADOS COM CETOACIDOSE DIABÉTICA: UM ESTUDO DE TRÊS ANOS EM UM HOSPITAL PEDIÁTRICO</t>
  </si>
  <si>
    <t xml:space="preserve"> 2270.01.0052104/2024-96</t>
  </si>
  <si>
    <t>IZABELLA DA SILVA MENDES/ Cristiano Túlio Albuquerque</t>
  </si>
  <si>
    <t>#ERROR!</t>
  </si>
  <si>
    <t>RESID ENDOCRINOL PEDIATRICA</t>
  </si>
  <si>
    <t>Junho de 2021 a Junho de 2024</t>
  </si>
  <si>
    <t xml:space="preserve"> SÍNDROME DE MILLER FISHER: UM RELATO DE CASO EM UM PRONTO ATENDIMENTO DA CIDADE DE BELO HORIZONTE</t>
  </si>
  <si>
    <t xml:space="preserve">  2270.01.0052079/2024-92</t>
  </si>
  <si>
    <t>RESIDENTE?</t>
  </si>
  <si>
    <t>Adenoma hepático secundário ao uso de anabolizante como diagnóstico
diferencial de dor abdominal em pronto atendimento</t>
  </si>
  <si>
    <t>2270.01.0051712/2024-10</t>
  </si>
  <si>
    <t xml:space="preserve">SOPHIA AVELA FREITAS/ GUILHERME DONINI </t>
  </si>
  <si>
    <t>EM APRECIACAO CIP</t>
  </si>
  <si>
    <t>AVALIAÇÃO DO ESTRESSE OXIDATIVO EM GRANDES QUEIMADOS E SUA RELAÇÃO COM O FENÔMENO BURN WOUND CONVERSION</t>
  </si>
  <si>
    <t>2270.01.0052175/2024-22</t>
  </si>
  <si>
    <t>ROBERTO MENDES FEREIRA/</t>
  </si>
  <si>
    <r>
      <rPr>
        <sz val="10"/>
        <color rgb="FF000000"/>
        <rFont val="Calibri"/>
      </rPr>
      <t>ANÁLISE DE FERRAMENTAS ESTATÍSTICAS DE PREVISÃO DE DEMANDA APLICADAS À PROGRAMAÇÃO DE COMPRAS DE MEDICAMENTOS DA FARMÁCIA DO HJXXIII</t>
    </r>
  </si>
  <si>
    <t>2270.01.0052407/2024-63</t>
  </si>
  <si>
    <t>ARTHUR ZAIAN SILVA CAMPOS</t>
  </si>
  <si>
    <t>FARMÁCIA</t>
  </si>
  <si>
    <t>análise retroativa com dados de 2019 e 2020</t>
  </si>
  <si>
    <t xml:space="preserve"> Estudando as bibliotecas e bibliotecários da Rede FHEMIG</t>
  </si>
  <si>
    <t>2270.01.0069149/2024-49</t>
  </si>
  <si>
    <t>DÉBORA Crystina Reis</t>
  </si>
  <si>
    <t>na</t>
  </si>
  <si>
    <t>BIBLIOTECAS FHEMIG</t>
  </si>
  <si>
    <t>JAN - MARÇO DE 2025</t>
  </si>
  <si>
    <t xml:space="preserve"> FRATURA DE FÊMUR PROXIMAL EM HOSPITAL DE REFERÊNCIA DE TRAUMA DE MG</t>
  </si>
  <si>
    <t xml:space="preserve"> 2270.01.0053704/2024-61</t>
  </si>
  <si>
    <t xml:space="preserve"> Pedro Rabelo Dutra</t>
  </si>
  <si>
    <t>PCTS &gt;65ANOS COM FRATURA DE FEMUR INETRN NO JOAO</t>
  </si>
  <si>
    <t xml:space="preserve"> pacientes atendidos entre 01/01/2021 a 31/05/2024</t>
  </si>
  <si>
    <t xml:space="preserve"> PERCEPÇÃO DOS TÉCNICOS DE ENFERMAGEM ACERCA DO PACIENTE COM TRANSTORNO PSIQUIÁTRICO GRAVE EM UM HOSPITAL DE URGÊNCIA E EMERGÊNCIA</t>
  </si>
  <si>
    <t>2270.01.0055561/2024-71</t>
  </si>
  <si>
    <t>Regimara Silveira Chaves Oliveira/Amanda Dourado Curcio</t>
  </si>
  <si>
    <t>TÉCNICOS ENFERM diurno alocados no
setores: a enfermaria P/pctes atendidos pela cirurgia plástica/ortopedia e na
enfermaria voltada a pctes na clínica da cirurgia geral</t>
  </si>
  <si>
    <t>OUTUB A NOV DE 2024 PODENDO SER ESTENDIDA</t>
  </si>
  <si>
    <t>2024/44</t>
  </si>
  <si>
    <t xml:space="preserve"> Reação leucemoide e síndrome de ativação macrofágica em pré-escolar com doença de Kawasaki refratária ao tratamento</t>
  </si>
  <si>
    <t>2270.01.0066295/2024-89</t>
  </si>
  <si>
    <t>PCTE SEXO FEM COM 2A6MESES COM DOENÇA DE KAWASAKI</t>
  </si>
  <si>
    <t xml:space="preserve"> Registro Brasileiro sobre a púrpura trombocitopênica trombótica hereditária </t>
  </si>
  <si>
    <t xml:space="preserve"> 2270.01.0075085/2024-21</t>
  </si>
  <si>
    <t>Tarcísio Silva Borborema</t>
  </si>
  <si>
    <t>INSTITUTO DO CANCER INFANTIL E PEDITARIA ESPECIALIZADA (ICIPE)</t>
  </si>
  <si>
    <t xml:space="preserve"> Observacional prospectivo</t>
  </si>
  <si>
    <t>Pacientes com púrpura trombocitopênica hereditária tratados em centros brasileiros</t>
  </si>
  <si>
    <t>2025-2029</t>
  </si>
  <si>
    <t>ANÁLISE COMPARATIVA DOS IMPACTOS EM MORBIMORTALIDADE NO ATENDIMENTO AO PACIENTE GRANDE QUEIMADO EM SERVIÇO COM E SEM UNIDADE DE TERAPIA DE QUEIMADOS</t>
  </si>
  <si>
    <t xml:space="preserve"> 2270.01.0068320/2024-25</t>
  </si>
  <si>
    <t>IZABELLA  Alves Almeida Machado</t>
  </si>
  <si>
    <t>FUNDAÇÃO GERALDO CORREA</t>
  </si>
  <si>
    <t>PCTES GRANDES QUEIMADOS HJXXIII e COMPLEXO SÃO JOAO DE DEUS (DIVINOP)</t>
  </si>
  <si>
    <t xml:space="preserve">Pctes internados de janeiro de 2015 até o dia 31 de julho de 2025 </t>
  </si>
  <si>
    <t>Não</t>
  </si>
  <si>
    <t xml:space="preserve">Avaliação Clínica e Etiológica de Doenças
Infecciosas em Pacientes Pediátricos Atendidos
no Complexo Hospitalar de Urgência da Rede
FHEMIG </t>
  </si>
  <si>
    <t>2270.01.0050751/2024-58</t>
  </si>
  <si>
    <t>ALINE BENTES</t>
  </si>
  <si>
    <t>UTI PEDS CHU</t>
  </si>
  <si>
    <t>?????</t>
  </si>
  <si>
    <t>AVALIAÇÃO DE COMPLICAÇÕES APÓS A ALTA HOSPITALAR EM PACIENTES DIAGNOSTICADOS COM MENINGITE BACTERIANA ATENDIDOS EM UM HOSPITAL PEDIÁTRICO DE REFERÊNCIA NA CIDADE DE BELO HORIZONTE - MG</t>
  </si>
  <si>
    <t>2270.01.0063517/2024-17</t>
  </si>
  <si>
    <t xml:space="preserve">Lilian Martins Oliveira Diniz
</t>
  </si>
  <si>
    <t>Pacientes que tiveram
meningite bacteriana entre 2010 e 2025, provenientes do Hospital Infantil João Paulo II</t>
  </si>
  <si>
    <t>Avaliação de um aplicativo em saúde: NotiVIVA”</t>
  </si>
  <si>
    <t xml:space="preserve"> 2270.01.0052581/2024-21</t>
  </si>
  <si>
    <t>Deborah Carvalho Malta</t>
  </si>
  <si>
    <t>HJK</t>
  </si>
  <si>
    <t>servidores que usarao o notivivia</t>
  </si>
  <si>
    <t>01/25-10/2025</t>
  </si>
  <si>
    <t>ASSINAT DIRETOR?</t>
  </si>
  <si>
    <t>CLORETO DE DIALQUILCARBAMOÍLA COMO ALTERNATIVA TERAPÊUTICA EM QUEIMADURAS: UM ESTUDO DE CASO</t>
  </si>
  <si>
    <t>2270.01.0075808/2024-94</t>
  </si>
  <si>
    <t xml:space="preserve"> Isadora de Freitas Marcatto/"Natália Santiago Cerqueira Lima</t>
  </si>
  <si>
    <t>COAGULAÇÃO INTRAVASCULAR DISSEMINADA COMO CONSEQUÊNCIA DE NEOPLASIA - UM RELATO DE CASO</t>
  </si>
  <si>
    <t>2270.01.0065346/2024-07</t>
  </si>
  <si>
    <t>Roberta Campos Paschoalin// Catarina Marinho Omena Toledo</t>
  </si>
  <si>
    <t xml:space="preserve">PCTE COM NEOPLASIA  E </t>
  </si>
  <si>
    <t>2° PROJETO</t>
  </si>
  <si>
    <t>COMPARAÇÃO ENTRE AS TÉCNICAS DE OSTEOTOMIA SAGITAL CONVENCIONAL E ANGULADA EM ORTOGNÁTICA : ESTUDO OBSERVACIONAL</t>
  </si>
  <si>
    <t>2270.01.0056790/2024-62</t>
  </si>
  <si>
    <r>
      <rPr>
        <sz val="9"/>
        <color theme="1"/>
        <rFont val="Calibri"/>
      </rPr>
      <t xml:space="preserve"> PCTES subm a cirurgia ortognática de </t>
    </r>
    <r>
      <rPr>
        <b/>
        <sz val="9"/>
        <color theme="1"/>
        <rFont val="Calibri"/>
      </rPr>
      <t>OUTUB de
2024 a JAN de 2025</t>
    </r>
    <r>
      <rPr>
        <sz val="9"/>
        <color theme="1"/>
        <rFont val="Calibri"/>
      </rPr>
      <t xml:space="preserve"> que serão acompanhados pelo período de </t>
    </r>
    <r>
      <rPr>
        <b/>
        <sz val="9"/>
        <color theme="1"/>
        <rFont val="Calibri"/>
      </rPr>
      <t>1 ano DE</t>
    </r>
    <r>
      <rPr>
        <sz val="9"/>
        <color theme="1"/>
        <rFont val="Calibri"/>
      </rPr>
      <t xml:space="preserve">
</t>
    </r>
    <r>
      <rPr>
        <b/>
        <sz val="9"/>
        <color theme="1"/>
        <rFont val="Calibri"/>
      </rPr>
      <t>pós-operatório</t>
    </r>
  </si>
  <si>
    <t>OUT 2024- JAN de 2026</t>
  </si>
  <si>
    <t>2024/71</t>
  </si>
  <si>
    <t>EFETIVIDADE DA IMPLEMENTAÇÃO DO CÓDIGO AZUL NA REDUÇÃO DA MORTALIDADE E MELHORA DOS DESFECHOS APÓS A O ATENDIMENTO DA PARADA CARDIORRESPIRATÓRIA</t>
  </si>
  <si>
    <t>2270.01.0063947/2024-47</t>
  </si>
  <si>
    <t>Rogério Barbosa/Bruno Almeida Rezende</t>
  </si>
  <si>
    <t>FELUMA</t>
  </si>
  <si>
    <t>rogerioebarbosa@outlook.com</t>
  </si>
  <si>
    <t>(4º, 5º, 6º, 7º e 8º andar)</t>
  </si>
  <si>
    <t>Fevereiro de 2023 a Janeiro de 2025</t>
  </si>
  <si>
    <t>PROJETO SUSPENSO PELO PESQU</t>
  </si>
  <si>
    <t>2025/18</t>
  </si>
  <si>
    <t>EFICÁCIA E SEGURANÇA DA HEMOSTASIA DA DERME PROFUNDA COM
FIBRINA RICA EM PLAQUETAS EM FERIDAS CAUSADAS POR
DESBRIDAMENTO TANGENCIAL DE QUEIMADURAS DE 2º GRAU PROFUNDO</t>
  </si>
  <si>
    <t>2270.01.0075448/2024-17</t>
  </si>
  <si>
    <t>Natália Santiago Cerqueira Lima/Rodrigo Pimenta Sizenando</t>
  </si>
  <si>
    <t>NÃO</t>
  </si>
  <si>
    <t>Estudo Observacional Brasileiro em crianças com AME 5q (SOBRE5): efetividade, segurança e análise econômica do uso do onasemnogene abeparvoveque (Zolgensma®) com dados de mundo real</t>
  </si>
  <si>
    <t>2270.01.0064174/2024-29</t>
  </si>
  <si>
    <r>
      <rPr>
        <sz val="9"/>
        <color theme="1"/>
        <rFont val="Calibri"/>
      </rPr>
      <t>Ney Boa Sorte/</t>
    </r>
    <r>
      <rPr>
        <sz val="9"/>
        <color theme="1"/>
        <rFont val="Calibri"/>
      </rPr>
      <t>Bruna Ribeiro Torres</t>
    </r>
  </si>
  <si>
    <t>HUPES/UFBA/EBSERH</t>
  </si>
  <si>
    <t>Observacional prospectivo Coorte</t>
  </si>
  <si>
    <t>2024/67</t>
  </si>
  <si>
    <r>
      <rPr>
        <sz val="10"/>
        <color theme="1"/>
        <rFont val="Calibri"/>
      </rPr>
      <t xml:space="preserve">ESTUDO: PRÁTICA DE VENTILAÇÃO EM PACIENTES PEDIÁTRICOS CRITICAMENTE ENFERMOS </t>
    </r>
    <r>
      <rPr>
        <b/>
        <sz val="10"/>
        <color rgb="FF0000FF"/>
        <rFont val="Calibri"/>
      </rPr>
      <t>(PROVENT PED)</t>
    </r>
    <r>
      <rPr>
        <sz val="10"/>
        <color theme="1"/>
        <rFont val="Calibri"/>
      </rPr>
      <t xml:space="preserve">: UM ESTUDO OBSERVACIONAL, MULTICÊNTRICO, INTERNACIONAL </t>
    </r>
  </si>
  <si>
    <t>2270.01.0066251/2024-16</t>
  </si>
  <si>
    <t xml:space="preserve">
Veronica Ferreira Cury</t>
  </si>
  <si>
    <t>DESEMVOL PESQUISA CLÍNICA???</t>
  </si>
  <si>
    <t>PCTES PEDIÁTRICOS EM VM P/ MAIS DE 12H</t>
  </si>
  <si>
    <t>Hematoma Extradural pós Reconstrução de Defeito de Couro Cabeludo com Retalho Livre: Relato de Caso- HJXXIII</t>
  </si>
  <si>
    <t xml:space="preserve"> 2270.01.0053108/2024-51</t>
  </si>
  <si>
    <t>Jailson Matos Facundo /Vivian</t>
  </si>
  <si>
    <t>HEMORRAGIA DIGESTIVA ALTA POR VARIZES DUODENAIS: UM RELATO DE CASO</t>
  </si>
  <si>
    <t>2270.01.0071586/2024-16</t>
  </si>
  <si>
    <t>Ana Carolina Andrade S. Rodrigues /MEGALE</t>
  </si>
  <si>
    <t>Pcte masc internado no Hospital Felício Rocho</t>
  </si>
  <si>
    <t>NOVA VERSÃO?</t>
  </si>
  <si>
    <t xml:space="preserve">Incidência de eventos adversos em pacientes submetidos à
contenção mecânica em um hospital público de referência para
urgências e emergências em Minas Gerais
</t>
  </si>
  <si>
    <t xml:space="preserve"> 2270.01.0053739/2024-86</t>
  </si>
  <si>
    <t>Gisele de Lacerda Chaves Vieira/PAULA RODRIGUES DE CASTILHO// SABRINA BRUM DINIZ</t>
  </si>
  <si>
    <t>pacientes internados em unidades de internação e
terapia intensiva</t>
  </si>
  <si>
    <t>SET-DEZ 2024</t>
  </si>
  <si>
    <r>
      <rPr>
        <sz val="9"/>
        <color rgb="FF000000"/>
        <rFont val="Calibri"/>
      </rPr>
      <t>Gisele de Lacerda Chaves Vieira</t>
    </r>
  </si>
  <si>
    <r>
      <rPr>
        <sz val="10"/>
        <color theme="1"/>
        <rFont val="Calibri"/>
      </rPr>
      <t>Ingestão intencional de</t>
    </r>
    <r>
      <rPr>
        <b/>
        <sz val="10"/>
        <color theme="1"/>
        <rFont val="Calibri"/>
      </rPr>
      <t xml:space="preserve"> Arsênio</t>
    </r>
  </si>
  <si>
    <t>2270.01.0067318/2024-16</t>
  </si>
  <si>
    <t>JULIANA SARTORELO/ADEBAL</t>
  </si>
  <si>
    <r>
      <rPr>
        <sz val="10"/>
        <color theme="1"/>
        <rFont val="Calibri"/>
      </rPr>
      <t>Metemoglobinemia decorrente de tentativa de suicídio com</t>
    </r>
    <r>
      <rPr>
        <b/>
        <sz val="10"/>
        <color theme="1"/>
        <rFont val="Calibri"/>
      </rPr>
      <t xml:space="preserve"> fenazopiridina</t>
    </r>
    <r>
      <rPr>
        <sz val="10"/>
        <color theme="1"/>
        <rFont val="Calibri"/>
      </rPr>
      <t xml:space="preserve"> ( 2 CASOS)</t>
    </r>
  </si>
  <si>
    <t>2270.01.0067340/2024-04</t>
  </si>
  <si>
    <t>MIELOMA MÚLTIPLO (MM) SEM HIPERCALCEMIA: UM RELATO DE CASO</t>
  </si>
  <si>
    <t>2270.01.0066876/2024-19</t>
  </si>
  <si>
    <t>ÁLVARO BERTOLINI CORDEIRO/ ROBERTA PASCHOALIN</t>
  </si>
  <si>
    <t>CLÍNICA MÉDICA     Mieloma multiplo</t>
  </si>
  <si>
    <t>MOBILIZAÇÃO PRECOCE EM PACIENTES INTERNADOS EM UMA UNIDADE DE
TERAPIA INTENSIVA DE QUEIMADOS DE UM HOSPITAL REFERÊNCIA EM MINAS
GERAIS</t>
  </si>
  <si>
    <t>2270.01.0053092-2024 -95</t>
  </si>
  <si>
    <t>PATRICIA BRITO/ROSILENE/ RESID FST JESSICA M. C FERREIRA</t>
  </si>
  <si>
    <t>EMENDA TCR</t>
  </si>
  <si>
    <t>JULHO DE 2023  A JULHO DE 2024</t>
  </si>
  <si>
    <t>2024/70</t>
  </si>
  <si>
    <t xml:space="preserve">Noradrenalina e Vasopressina para resgate versus Vasopressina precoce para sepse dependente de vasopressor: Um ensaio clínico aberto, multicêntrico, controlado e randomizado. Estudo NoVa </t>
  </si>
  <si>
    <t xml:space="preserve"> 2270.01.0069263/2024-75</t>
  </si>
  <si>
    <t>Frederico Bruzzi</t>
  </si>
  <si>
    <t>HCOR</t>
  </si>
  <si>
    <t>UTI TÉRREO/ PCTE SEPTICO DEPENDENTE DE VASSOPRESSOR</t>
  </si>
  <si>
    <t>????</t>
  </si>
  <si>
    <t>PERCEPÇÕES E EXPERIÊNCIAS SOBRE ATIVIDADES PROFISSIONAIS CONFIÁVEIS (APCS) EM UMA RESIDÊNCIA MÉDICA DE PEDIATRIA: UMA ABORDAGEM QUALITATIVA</t>
  </si>
  <si>
    <t>2270.01.0071073/2024-93</t>
  </si>
  <si>
    <t>Marina Milagres Mendes Machado/ Aline Bruna Martins Vaz</t>
  </si>
  <si>
    <t>UNIV PROF ED ANT VEL UNIFENAS</t>
  </si>
  <si>
    <t>Médicos residentes do 1, 2 e 3 ano de pediatria do HIJPII e médicos preceptores do curso</t>
  </si>
  <si>
    <t>01/03/2025 a 30/04/2025</t>
  </si>
  <si>
    <t>Relato de caso: Craniotomia descompressiva para tratamento do traumatismo crânio encefálico por arma branca-HJXXIII</t>
  </si>
  <si>
    <t>2270.01.0052705/2024-68</t>
  </si>
  <si>
    <r>
      <rPr>
        <sz val="8"/>
        <color rgb="FF000000"/>
        <rFont val="Calibri"/>
      </rPr>
      <t>CINTIA HORTA DE REZENDE</t>
    </r>
  </si>
  <si>
    <t>NEUROCIRURGIA</t>
  </si>
  <si>
    <r>
      <rPr>
        <sz val="10"/>
        <color theme="1"/>
        <rFont val="Calibri"/>
      </rPr>
      <t xml:space="preserve">Relato de caso: Intoxicação aguda por </t>
    </r>
    <r>
      <rPr>
        <b/>
        <sz val="10"/>
        <color theme="1"/>
        <rFont val="Calibri"/>
      </rPr>
      <t>creolina</t>
    </r>
    <r>
      <rPr>
        <sz val="10"/>
        <color theme="1"/>
        <rFont val="Calibri"/>
      </rPr>
      <t xml:space="preserve"> e suas repercussões sistêmicas</t>
    </r>
  </si>
  <si>
    <t>2270.01.0066908/2024-28</t>
  </si>
  <si>
    <t>RETALHO PLANTAR MEDIAL MICROCIRÚRGICO PARA RECONSTRUÇÃO DE LESÃO TRAUMÁTICA DE REGIÃO PALMAR'</t>
  </si>
  <si>
    <t xml:space="preserve"> 2270.01.0062792/2024-95</t>
  </si>
  <si>
    <t>Laryssa Fernanda Feitosa Furtado e Vivian Pacheco de Lemos</t>
  </si>
  <si>
    <t>CENTRO DE QUEIMADURAS JOAO XXIII</t>
  </si>
  <si>
    <t>VIVIAN UTQ</t>
  </si>
  <si>
    <t xml:space="preserve"> Estudos Clínicos e Epidemiológicos em Medicina Intensiva</t>
  </si>
  <si>
    <t>Verificação das melhores práticas de solicitação de exames laboratoriais em diversas regiões do Brasil e realização de protocolo para solicitação de exames laboratoriais de forma rotineira</t>
  </si>
  <si>
    <t xml:space="preserve"> 2270.01.0065145/2024-02</t>
  </si>
  <si>
    <t>Frederico Bruzzi/Carla Grazielli Soares de Almeida</t>
  </si>
  <si>
    <t>Médicos que atuam Centros de Terapia Intensiva</t>
  </si>
  <si>
    <t>setembro de 2024 a dezembro de 2024</t>
  </si>
  <si>
    <t>Data de recebimento do Parecer Técnico da CIP  APROVADO( DATA DA ASSINATURA DO PT)</t>
  </si>
  <si>
    <t>Data de recebimento da FR assinada no SEI  OU Termo de Anuência</t>
  </si>
  <si>
    <t>Data de envio da FR ou Termo de anuência para pesquisador</t>
  </si>
  <si>
    <t>Data de aprovação CEP FHEMIG (DATA DO PARECER CEP)</t>
  </si>
  <si>
    <t>Tempo entre entrada SEI e envio CIP</t>
  </si>
  <si>
    <t>Tempo entre PT e Assin da FR</t>
  </si>
  <si>
    <t>Tempo total de tramitação ATÉ APROVAÇÃO CEP</t>
  </si>
  <si>
    <t>NÃO SE APLCA</t>
  </si>
  <si>
    <t>2270.01.0033330/2024-72</t>
  </si>
  <si>
    <t>PT/PENDENCIA</t>
  </si>
  <si>
    <t>SEM RESPOSTA</t>
  </si>
  <si>
    <t>SEM REPOSTA</t>
  </si>
  <si>
    <t>2270.01.0053092-2024-95</t>
  </si>
  <si>
    <t>CONSOLIDADO DAS COLUNAS ABAIXO</t>
  </si>
  <si>
    <t>COLUNA H</t>
  </si>
  <si>
    <t>COLUNA I</t>
  </si>
  <si>
    <t>COLUNA J</t>
  </si>
  <si>
    <t>COLUNA K</t>
  </si>
  <si>
    <t>COLUNA L</t>
  </si>
  <si>
    <t>PESQUISADOR EXTERNO</t>
  </si>
  <si>
    <t>ISNTITUIÇÃO PROPONENTE</t>
  </si>
  <si>
    <t>UNIDADE DE ENTRADA</t>
  </si>
  <si>
    <t>FINALIDADE DA PESQUISA</t>
  </si>
  <si>
    <t>DESENHO DE PESQUISA</t>
  </si>
  <si>
    <t>HJXXIII</t>
  </si>
  <si>
    <t>REVISÃO  INTEGRATIVA</t>
  </si>
  <si>
    <t>REVISÃO SISTÉMÁTICA</t>
  </si>
  <si>
    <t>RESIDENTE MÉDICO</t>
  </si>
  <si>
    <t>CIÊNCIAS MÉDICAS/FELUMA</t>
  </si>
  <si>
    <t xml:space="preserve">MESTRADO </t>
  </si>
  <si>
    <t>RELATO DE CASO</t>
  </si>
  <si>
    <t>SERIES DE CASOS</t>
  </si>
  <si>
    <t>PUBLICAÇÃO</t>
  </si>
  <si>
    <t>ESTUDO CASO -CONTROLE</t>
  </si>
  <si>
    <t>OBSERV TRANSVERSAL</t>
  </si>
  <si>
    <t>OBSERVACIONAL COORTE</t>
  </si>
  <si>
    <t>ECCR ABERTO</t>
  </si>
  <si>
    <t>ECCR CEGO</t>
  </si>
  <si>
    <t>deixar espaços em branco para novas</t>
  </si>
  <si>
    <t>QUALITAT/FENOMENOLOGIA</t>
  </si>
  <si>
    <t>QUALITAT/TEORIA FUND NOS DADOS</t>
  </si>
  <si>
    <t>QUALITAT/ETNOGRAFIA</t>
  </si>
  <si>
    <t>QUALIT/ INESTIGAÇÃO NARRATIVA</t>
  </si>
  <si>
    <t>Observacionais</t>
  </si>
  <si>
    <t>Experimentais.</t>
  </si>
  <si>
    <t>(Intervenção)</t>
  </si>
  <si>
    <t>Analíticos.</t>
  </si>
  <si>
    <t>Descritivos.</t>
  </si>
  <si>
    <t>Pesquisador Principal (de acordo com a Plataforma Brasil)</t>
  </si>
  <si>
    <t>Classificação do Pesquisador Principal ou INSTITUCIONAL (FHEMIG)</t>
  </si>
  <si>
    <t xml:space="preserve">PERÍODO QUE OS DADOS SERÃO COLETADOS </t>
  </si>
  <si>
    <t>NECESSITA DE DADOS DO SAME?</t>
  </si>
  <si>
    <t xml:space="preserve">NECESSITA DE AUTORIZAÇÃO PARA ENTRADA NO HOSPITAL </t>
  </si>
  <si>
    <t>Pesquisador referência da instituição (caso seja o pesquisador principal, escrever NSA)</t>
  </si>
  <si>
    <t>Previsão de início da pesquisa (COLETA DE DADOS APÓS APROVAÇÃO CEP)</t>
  </si>
  <si>
    <t>Previsão de término da pesquisa (CHECAR DATA PU CALCULADO APÓS APROVAÇÃO CEP)</t>
  </si>
  <si>
    <t>Data de envio de email padrão do término da pesquisa</t>
  </si>
  <si>
    <t>Tipo de publicação gerada (clique aqui e preencha o formulário para indexação da publicação)</t>
  </si>
  <si>
    <t>Data de recebimento da publicação</t>
  </si>
  <si>
    <t>Data de divulgação da publicação</t>
  </si>
  <si>
    <t>Marcar se término de seguimento SEM publicação</t>
  </si>
  <si>
    <t>Data de término de seguimento SEM publicação</t>
  </si>
  <si>
    <t>coleta de dados de 6 semanas</t>
  </si>
  <si>
    <t xml:space="preserve">SIM </t>
  </si>
  <si>
    <t>Jorge Andrade Pinto</t>
  </si>
  <si>
    <t>DADOS DE MULHERES DE PRONTO SOCORRO (PA)</t>
  </si>
  <si>
    <t>ENTREVISTA ESTUTURADA NO SETOR DE ATUAÇÃO DOS SERVIDORES</t>
  </si>
  <si>
    <t>TALVEZ</t>
  </si>
  <si>
    <t>NOME DO PROJETO</t>
  </si>
  <si>
    <t>PESQUISADOR PRINCIPAL/ RESPONS INTICUCIONAL</t>
  </si>
  <si>
    <t>INSTITUIÇÃO PROPONENTE</t>
  </si>
  <si>
    <t>UNIDADE FHEMIG</t>
  </si>
  <si>
    <t>OBJETIVO RESUMIDO</t>
  </si>
  <si>
    <t>LOCAL DE COLETA  DE DADOS</t>
  </si>
  <si>
    <t>ONDE OS COLABOR ESTAO ACESSANDO OS DADOS?</t>
  </si>
  <si>
    <t>DATA DA AUTORIZAÇÃO DE ACESSO AO CHU</t>
  </si>
  <si>
    <t>N° DE COLABORADORES</t>
  </si>
  <si>
    <t>NOME DOS COLABORADORES</t>
  </si>
  <si>
    <t xml:space="preserve">INICIO E TÉRMINO COLETA </t>
  </si>
  <si>
    <t>OBS.:</t>
  </si>
  <si>
    <t>Incidência e fatores de risco para septicemia em pacientes queimados em instituição de referência no Brasil</t>
  </si>
  <si>
    <t>MIGUIR</t>
  </si>
  <si>
    <t>PERFIL E INCID DE SEPSES PCTE QUEIM</t>
  </si>
  <si>
    <t>BIBLIOTECA HJXXIII/ SAME</t>
  </si>
  <si>
    <t>TENTATIVAS DE SUICÍDIO DURANTE A PANDEMIA COVID-19 - HJXXIII</t>
  </si>
  <si>
    <t>LUCIENE</t>
  </si>
  <si>
    <t>TOXICOL/PSICOL</t>
  </si>
  <si>
    <t>Perfil dos pacientes vítimas de traumatismo cranioencefálico atendidos no
Hospital João XXIII e análise dos fatores que determinam sua mortalidade</t>
  </si>
  <si>
    <t>FALEIRO/Antonio Lucio Teixeira JunioR</t>
  </si>
  <si>
    <t>UFMG ( EEMENDA NA PBRASIL)</t>
  </si>
  <si>
    <t>5° ANDAR/NEUROL</t>
  </si>
  <si>
    <t>5 ANDAR</t>
  </si>
  <si>
    <t>2023- 2027</t>
  </si>
  <si>
    <t>JOELITON</t>
  </si>
  <si>
    <t>FAC MEDICINA DE  BOTUCATU</t>
  </si>
  <si>
    <t>PROPRIO</t>
  </si>
  <si>
    <t>2024-2025</t>
  </si>
  <si>
    <t>VALIAÇÃO DOS ESQUEMAS TERAPÊUTICOS ANTIMICROBIANOS ASSOCIADOS À SOBREVIDA EM PACIENTES INTERNADOS EM UNIDADE DE TERAPIA INTENSIVA COM INFECÇÃO CONFIRMADA EM HEMOCULTURA POR ENTEROBACTERALES</t>
  </si>
  <si>
    <t>LAURA BORBA</t>
  </si>
  <si>
    <t>SCIH</t>
  </si>
  <si>
    <t>1(PROPRIA)</t>
  </si>
  <si>
    <t>QUALIDADE DO SONO, NÍVEL DE ATIVIDADE FÍSICA E EXACERBAÇÕES PULMONARES EM PACIENTES DIAGNOSTICADOS COM FIBROSE CÍSTICA</t>
  </si>
  <si>
    <t>Evanirso(SERVIDOR)</t>
  </si>
  <si>
    <t>PUC-MG</t>
  </si>
  <si>
    <t>AMB DOENÇAS RARAS FIBROSE CISTICA</t>
  </si>
  <si>
    <t>pp// ambulatório Fibrose cistica</t>
  </si>
  <si>
    <t xml:space="preserve">Leo, Karen, ALICE E EMANUELLE </t>
  </si>
  <si>
    <t>SET/2024- JULHO 2025</t>
  </si>
  <si>
    <t>DIEGO FINALIOZU A COLETA</t>
  </si>
  <si>
    <t>Crianças com COVID 19: ANÁLISE POLIMORFISMOS DE GENES DE RESPOSTA IMUNE</t>
  </si>
  <si>
    <t>FIO CRUZ</t>
  </si>
  <si>
    <t>Eu autorizo: a deliberação familiar sobre a doação de órgãos e tecidos em um hospital de Belo Horizonte/MG</t>
  </si>
  <si>
    <t xml:space="preserve">acompanhamentoc conversa com familiares em processo de doação </t>
  </si>
  <si>
    <t>MG Transplantes /hjxxiii</t>
  </si>
  <si>
    <t>Por meio de entrevistas</t>
  </si>
  <si>
    <t>1 Propria</t>
  </si>
  <si>
    <t>Própria</t>
  </si>
  <si>
    <t>20/07/-30/08</t>
  </si>
  <si>
    <t>PROJETO ELSA</t>
  </si>
  <si>
    <t>HJXXII/HAMAL</t>
  </si>
  <si>
    <t>avaliação  de prontuários</t>
  </si>
  <si>
    <t>SAME</t>
  </si>
  <si>
    <t>Crianças com condições crônicas complexas: uma análise comparativa de custos da internação hospitalar e domiciliar em um hospital público de referência na cidade de Belo Horizonte" no HIJPII".</t>
  </si>
  <si>
    <t>Natália de Souza Pires Oliveira</t>
  </si>
  <si>
    <t>"Crianças com condições crônicas complexas: uma análise comparativa de custos da internação hospitalar e domiciliar em um hospital público de referência na cidade de Belo Horizonte"</t>
  </si>
  <si>
    <t>Unidade de internação do CUIDAR (3º andar) e Atenção domiciliar CUIDAR</t>
  </si>
  <si>
    <t>Setembro a Dezembro de 2024</t>
  </si>
  <si>
    <t xml:space="preserve">PESQUISADORA </t>
  </si>
  <si>
    <t>ATÉ JULHO 24</t>
  </si>
  <si>
    <t>TOTAL PROJETOS</t>
  </si>
  <si>
    <t xml:space="preserve">Perfil do Pesquisador </t>
  </si>
  <si>
    <t>PROJETOS 2023</t>
  </si>
  <si>
    <t>EMENDAS 2024</t>
  </si>
  <si>
    <t>EXTERNO</t>
  </si>
  <si>
    <t>PROJETOS 2024</t>
  </si>
  <si>
    <t xml:space="preserve">Instituições Proponentes </t>
  </si>
  <si>
    <t>RENE RACHOU</t>
  </si>
  <si>
    <t>CIÊNCIAS MÉDICAS</t>
  </si>
  <si>
    <t>UNIV FED FLUM</t>
  </si>
  <si>
    <t>Universidade Europea</t>
  </si>
  <si>
    <t>MOINHOS DE VENTO</t>
  </si>
  <si>
    <t>Propósito</t>
  </si>
  <si>
    <t xml:space="preserve">             PROJETOS  DE PESQUISA</t>
  </si>
  <si>
    <t xml:space="preserve"> 61         SERVIDORES ENVOLVIDOS </t>
  </si>
  <si>
    <t>Iniciação Científica</t>
  </si>
  <si>
    <t>Mestrado</t>
  </si>
  <si>
    <t>Doutorado</t>
  </si>
  <si>
    <t>Publicação</t>
  </si>
  <si>
    <t>Nº PROJETOS  APROVADOS</t>
  </si>
  <si>
    <t>Nº PROJETOS</t>
  </si>
  <si>
    <t>1 PT</t>
  </si>
  <si>
    <t>APROVADOS</t>
  </si>
  <si>
    <t>2 PT</t>
  </si>
  <si>
    <t>3 PT</t>
  </si>
  <si>
    <t>PENDÊNCIAS</t>
  </si>
  <si>
    <t>4 PT</t>
  </si>
  <si>
    <t>REPROVADOS</t>
  </si>
  <si>
    <t>PROJETOS</t>
  </si>
  <si>
    <t>EMENDAS 2023</t>
  </si>
  <si>
    <t>PROJETOS 2022</t>
  </si>
  <si>
    <t>PROJ PENDENC DOC</t>
  </si>
  <si>
    <t xml:space="preserve"> 1 Trimestre</t>
  </si>
  <si>
    <t>2 Trimestre</t>
  </si>
  <si>
    <t>3 Trimestre</t>
  </si>
  <si>
    <t>4 Trimestre</t>
  </si>
  <si>
    <t>Projetos tramitados</t>
  </si>
  <si>
    <t>BOTUCATU</t>
  </si>
  <si>
    <t>PUCMINAS</t>
  </si>
  <si>
    <t>NATIONWIDE CHILF H</t>
  </si>
  <si>
    <t xml:space="preserve">              PROJETOS  DE PESQUISA</t>
  </si>
  <si>
    <t>92,5% TEM SERVIDORES ENVOLVIDOS</t>
  </si>
  <si>
    <t>servidorES</t>
  </si>
  <si>
    <t>EVAN /CINTIA</t>
  </si>
  <si>
    <t>( 1 servidor)</t>
  </si>
  <si>
    <t>todos orientados por servidores</t>
  </si>
  <si>
    <t>( 3 são servidoras)</t>
  </si>
  <si>
    <t>servidoras</t>
  </si>
  <si>
    <t>servidores</t>
  </si>
  <si>
    <t>Aprovados CIP</t>
  </si>
  <si>
    <t>Pendências</t>
  </si>
  <si>
    <t>Reprovados</t>
  </si>
  <si>
    <t>Não se Aplica</t>
  </si>
  <si>
    <t>Pend Doc NEP</t>
  </si>
  <si>
    <t>Projetos</t>
  </si>
  <si>
    <t>Aprovados pela CEP</t>
  </si>
  <si>
    <t xml:space="preserve">Parecer CEP entregue CEP </t>
  </si>
  <si>
    <t>Em apreciação</t>
  </si>
  <si>
    <t>Não entregaram parecer</t>
  </si>
  <si>
    <t>87-11</t>
  </si>
  <si>
    <t xml:space="preserve"> ÁLANA SFATH/ Evanirso Aquino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</si>
</sst>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R$ -416]#,##0.00"/>
    <numFmt numFmtId="165" formatCode="dd/mm/yyyy"/>
    <numFmt numFmtId="166" formatCode="d/m/yyyy"/>
    <numFmt numFmtId="167" formatCode="dd&quot;/&quot;mm&quot;/&quot;yyyy"/>
    <numFmt numFmtId="168" formatCode="mmm/yyyy"/>
    <numFmt numFmtId="169" formatCode="mmm\ yyyy"/>
    <numFmt numFmtId="170" formatCode="0.0%"/>
  </numFmts>
  <fonts count="49">
    <font>
      <sz val="10"/>
      <color rgb="FF000000"/>
      <name val="Arial"/>
      <scheme val="minor"/>
    </font>
    <font>
      <b/>
      <i/>
      <sz val="9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9"/>
      <color rgb="FFFF0000"/>
      <name val="Calibri"/>
    </font>
    <font>
      <b/>
      <sz val="9"/>
      <color rgb="FF0000FF"/>
      <name val="Calibri"/>
    </font>
    <font>
      <b/>
      <sz val="12"/>
      <color theme="1"/>
      <name val="Calibri"/>
    </font>
    <font>
      <sz val="10"/>
      <color rgb="FFFF0000"/>
      <name val="Calibri"/>
    </font>
    <font>
      <sz val="9"/>
      <color rgb="FFFF0000"/>
      <name val="Calibri"/>
    </font>
    <font>
      <sz val="9"/>
      <color rgb="FF000000"/>
      <name val="Calibri"/>
    </font>
    <font>
      <b/>
      <sz val="9"/>
      <color theme="5"/>
      <name val="Calibri"/>
    </font>
    <font>
      <sz val="7"/>
      <color rgb="FF000000"/>
      <name val="Docs-Calibri"/>
    </font>
    <font>
      <sz val="9"/>
      <color rgb="FF0000FF"/>
      <name val="Calibri"/>
    </font>
    <font>
      <sz val="9"/>
      <color rgb="FF000000"/>
      <name val="Docs-Calibri"/>
    </font>
    <font>
      <b/>
      <sz val="9"/>
      <color rgb="FFEA4335"/>
      <name val="Calibri"/>
    </font>
    <font>
      <sz val="9"/>
      <color rgb="FF1155CC"/>
      <name val="Calibri"/>
    </font>
    <font>
      <sz val="9"/>
      <color rgb="FF0000EE"/>
      <name val="Calibri"/>
    </font>
    <font>
      <sz val="10"/>
      <color rgb="FFFF0000"/>
      <name val="Arial"/>
      <scheme val="minor"/>
    </font>
    <font>
      <sz val="11"/>
      <color rgb="FFFF0000"/>
      <name val="Calibri"/>
    </font>
    <font>
      <sz val="10"/>
      <color rgb="FF000000"/>
      <name val="Calibri"/>
    </font>
    <font>
      <sz val="10"/>
      <color theme="1"/>
      <name val="Arial"/>
    </font>
    <font>
      <sz val="8"/>
      <color rgb="FF000000"/>
      <name val="Calibri"/>
    </font>
    <font>
      <u/>
      <sz val="9"/>
      <color theme="1"/>
      <name val="Calibri"/>
    </font>
    <font>
      <b/>
      <sz val="13"/>
      <color theme="1"/>
      <name val="Calibri"/>
    </font>
    <font>
      <sz val="10"/>
      <color theme="1"/>
      <name val="Arial"/>
      <scheme val="minor"/>
    </font>
    <font>
      <sz val="12"/>
      <color rgb="FF000000"/>
      <name val="Arial"/>
    </font>
    <font>
      <sz val="8"/>
      <color theme="1"/>
      <name val="Calibri"/>
    </font>
    <font>
      <sz val="9"/>
      <color theme="1"/>
      <name val="Arial"/>
      <scheme val="minor"/>
    </font>
    <font>
      <b/>
      <sz val="12"/>
      <color rgb="FFFF0000"/>
      <name val="Calibri"/>
    </font>
    <font>
      <b/>
      <sz val="12"/>
      <color rgb="FFFF0000"/>
      <name val="Arial"/>
    </font>
    <font>
      <b/>
      <sz val="10"/>
      <color rgb="FFFF00FF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sz val="12"/>
      <color rgb="FF1F1F1F"/>
      <name val="&quot;Google Sans&quot;"/>
    </font>
    <font>
      <b/>
      <u/>
      <sz val="9"/>
      <color rgb="FF1155CC"/>
      <name val="Calibri"/>
    </font>
    <font>
      <sz val="11"/>
      <color rgb="FF000000"/>
      <name val="Arial"/>
    </font>
    <font>
      <sz val="10"/>
      <color theme="1"/>
      <name val="&quot;Times New Roman&quot;"/>
    </font>
    <font>
      <sz val="9"/>
      <color theme="1"/>
      <name val="Arial"/>
    </font>
    <font>
      <b/>
      <sz val="9"/>
      <color rgb="FF38761D"/>
      <name val="Calibri"/>
    </font>
    <font>
      <b/>
      <sz val="9"/>
      <color rgb="FFCC0000"/>
      <name val="Calibri"/>
    </font>
    <font>
      <b/>
      <sz val="9"/>
      <color rgb="FF6AA84F"/>
      <name val="Calibri"/>
    </font>
    <font>
      <b/>
      <sz val="10"/>
      <color rgb="FF0000FF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AF1DD"/>
        <bgColor rgb="FFEAF1DD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2F283"/>
        <bgColor rgb="FFF2F28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10" fillId="12" borderId="1" xfId="0" applyNumberFormat="1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165" fontId="13" fillId="14" borderId="1" xfId="0" applyNumberFormat="1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4" fontId="10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165" fontId="12" fillId="10" borderId="1" xfId="0" applyNumberFormat="1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165" fontId="17" fillId="14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165" fontId="13" fillId="11" borderId="1" xfId="0" applyNumberFormat="1" applyFont="1" applyFill="1" applyBorder="1" applyAlignment="1">
      <alignment horizontal="center" vertical="center" wrapText="1"/>
    </xf>
    <xf numFmtId="165" fontId="12" fillId="11" borderId="1" xfId="0" applyNumberFormat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65" fontId="12" fillId="8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2" fillId="17" borderId="0" xfId="0" applyFont="1" applyFill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65" fontId="23" fillId="0" borderId="1" xfId="0" applyNumberFormat="1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164" fontId="10" fillId="18" borderId="1" xfId="0" applyNumberFormat="1" applyFont="1" applyFill="1" applyBorder="1" applyAlignment="1">
      <alignment horizontal="center" vertical="center" wrapText="1"/>
    </xf>
    <xf numFmtId="165" fontId="12" fillId="18" borderId="1" xfId="0" applyNumberFormat="1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165" fontId="6" fillId="18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164" fontId="10" fillId="19" borderId="1" xfId="0" applyNumberFormat="1" applyFont="1" applyFill="1" applyBorder="1" applyAlignment="1">
      <alignment horizontal="center" vertical="center" wrapText="1"/>
    </xf>
    <xf numFmtId="165" fontId="6" fillId="19" borderId="1" xfId="0" applyNumberFormat="1" applyFont="1" applyFill="1" applyBorder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8" fillId="7" borderId="0" xfId="0" applyFont="1" applyFill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164" fontId="10" fillId="15" borderId="1" xfId="0" applyNumberFormat="1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165" fontId="6" fillId="15" borderId="1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165" fontId="3" fillId="15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28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65" fontId="9" fillId="10" borderId="1" xfId="0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165" fontId="9" fillId="19" borderId="1" xfId="0" applyNumberFormat="1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21" borderId="1" xfId="0" applyNumberFormat="1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 wrapText="1"/>
    </xf>
    <xf numFmtId="164" fontId="33" fillId="16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165" fontId="34" fillId="10" borderId="1" xfId="0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165" fontId="34" fillId="21" borderId="1" xfId="0" applyNumberFormat="1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35" fillId="20" borderId="1" xfId="0" applyFont="1" applyFill="1" applyBorder="1" applyAlignment="1">
      <alignment horizontal="center" vertical="center" wrapText="1"/>
    </xf>
    <xf numFmtId="166" fontId="34" fillId="20" borderId="1" xfId="0" applyNumberFormat="1" applyFont="1" applyFill="1" applyBorder="1" applyAlignment="1">
      <alignment horizontal="center" vertical="center"/>
    </xf>
    <xf numFmtId="165" fontId="34" fillId="19" borderId="1" xfId="0" applyNumberFormat="1" applyFont="1" applyFill="1" applyBorder="1" applyAlignment="1">
      <alignment horizontal="center" vertical="center" wrapText="1"/>
    </xf>
    <xf numFmtId="165" fontId="34" fillId="9" borderId="1" xfId="0" applyNumberFormat="1" applyFont="1" applyFill="1" applyBorder="1" applyAlignment="1">
      <alignment horizontal="center" vertical="center" wrapText="1"/>
    </xf>
    <xf numFmtId="165" fontId="34" fillId="20" borderId="1" xfId="0" applyNumberFormat="1" applyFont="1" applyFill="1" applyBorder="1" applyAlignment="1">
      <alignment horizontal="center" vertical="center"/>
    </xf>
    <xf numFmtId="165" fontId="34" fillId="20" borderId="1" xfId="0" applyNumberFormat="1" applyFont="1" applyFill="1" applyBorder="1" applyAlignment="1">
      <alignment horizontal="center" vertical="center" wrapText="1"/>
    </xf>
    <xf numFmtId="0" fontId="34" fillId="21" borderId="1" xfId="0" applyFont="1" applyFill="1" applyBorder="1" applyAlignment="1">
      <alignment horizontal="center" vertical="center" wrapText="1"/>
    </xf>
    <xf numFmtId="164" fontId="33" fillId="16" borderId="0" xfId="0" applyNumberFormat="1" applyFont="1" applyFill="1" applyAlignment="1">
      <alignment horizontal="center" vertical="center" wrapText="1"/>
    </xf>
    <xf numFmtId="165" fontId="36" fillId="10" borderId="1" xfId="0" applyNumberFormat="1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34" fillId="21" borderId="1" xfId="0" applyFont="1" applyFill="1" applyBorder="1" applyAlignment="1">
      <alignment horizontal="center" vertical="center"/>
    </xf>
    <xf numFmtId="0" fontId="23" fillId="10" borderId="0" xfId="0" applyFont="1" applyFill="1"/>
    <xf numFmtId="166" fontId="34" fillId="10" borderId="1" xfId="0" applyNumberFormat="1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165" fontId="6" fillId="10" borderId="0" xfId="0" applyNumberFormat="1" applyFont="1" applyFill="1" applyAlignment="1">
      <alignment horizontal="center" vertical="center" wrapText="1"/>
    </xf>
    <xf numFmtId="165" fontId="6" fillId="10" borderId="0" xfId="0" applyNumberFormat="1" applyFont="1" applyFill="1" applyAlignment="1">
      <alignment horizontal="center" vertical="center"/>
    </xf>
    <xf numFmtId="0" fontId="37" fillId="10" borderId="0" xfId="0" applyFont="1" applyFill="1" applyAlignment="1">
      <alignment vertical="center"/>
    </xf>
    <xf numFmtId="165" fontId="12" fillId="10" borderId="0" xfId="0" applyNumberFormat="1" applyFont="1" applyFill="1" applyAlignment="1">
      <alignment horizontal="center" vertical="center" wrapText="1"/>
    </xf>
    <xf numFmtId="165" fontId="12" fillId="10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left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/>
    </xf>
    <xf numFmtId="0" fontId="27" fillId="17" borderId="1" xfId="0" applyFont="1" applyFill="1" applyBorder="1" applyAlignment="1">
      <alignment horizontal="center" vertical="center" wrapText="1"/>
    </xf>
    <xf numFmtId="0" fontId="38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38" fillId="0" borderId="0" xfId="0" applyFont="1"/>
    <xf numFmtId="0" fontId="38" fillId="0" borderId="0" xfId="0" applyFont="1" applyAlignment="1">
      <alignment horizontal="left" vertical="center" wrapText="1"/>
    </xf>
    <xf numFmtId="0" fontId="40" fillId="10" borderId="0" xfId="0" applyFont="1" applyFill="1"/>
    <xf numFmtId="165" fontId="7" fillId="2" borderId="1" xfId="0" applyNumberFormat="1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165" fontId="11" fillId="12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67" fontId="6" fillId="10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8" fillId="22" borderId="1" xfId="0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68" fontId="39" fillId="0" borderId="1" xfId="0" applyNumberFormat="1" applyFont="1" applyBorder="1" applyAlignment="1">
      <alignment horizontal="center" vertical="center" wrapText="1"/>
    </xf>
    <xf numFmtId="0" fontId="42" fillId="24" borderId="1" xfId="0" applyFont="1" applyFill="1" applyBorder="1" applyAlignment="1">
      <alignment horizontal="center" vertical="center" wrapText="1"/>
    </xf>
    <xf numFmtId="0" fontId="42" fillId="11" borderId="1" xfId="0" applyFont="1" applyFill="1" applyBorder="1" applyAlignment="1">
      <alignment horizontal="center" vertical="center" wrapText="1"/>
    </xf>
    <xf numFmtId="165" fontId="39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/>
    <xf numFmtId="0" fontId="43" fillId="0" borderId="0" xfId="0" applyFont="1" applyAlignment="1">
      <alignment horizontal="center" vertical="center" wrapText="1"/>
    </xf>
    <xf numFmtId="169" fontId="27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0" fontId="44" fillId="0" borderId="1" xfId="0" applyFont="1" applyBorder="1"/>
    <xf numFmtId="0" fontId="34" fillId="0" borderId="0" xfId="0" applyFont="1"/>
    <xf numFmtId="10" fontId="34" fillId="0" borderId="0" xfId="0" applyNumberFormat="1" applyFont="1"/>
    <xf numFmtId="170" fontId="34" fillId="0" borderId="0" xfId="0" applyNumberFormat="1" applyFont="1"/>
    <xf numFmtId="9" fontId="34" fillId="0" borderId="0" xfId="0" applyNumberFormat="1" applyFont="1"/>
    <xf numFmtId="0" fontId="44" fillId="0" borderId="0" xfId="0" applyFont="1"/>
    <xf numFmtId="0" fontId="23" fillId="0" borderId="0" xfId="0" applyFont="1"/>
    <xf numFmtId="0" fontId="35" fillId="0" borderId="0" xfId="0" applyFont="1"/>
    <xf numFmtId="0" fontId="35" fillId="10" borderId="0" xfId="0" applyFont="1" applyFill="1" applyAlignment="1">
      <alignment horizontal="center" vertical="center" wrapText="1"/>
    </xf>
    <xf numFmtId="0" fontId="35" fillId="10" borderId="0" xfId="0" applyFont="1" applyFill="1"/>
    <xf numFmtId="165" fontId="23" fillId="10" borderId="0" xfId="0" applyNumberFormat="1" applyFont="1" applyFill="1" applyAlignment="1">
      <alignment horizontal="center" vertical="center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/>
    <xf numFmtId="0" fontId="23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/>
    <xf numFmtId="0" fontId="23" fillId="0" borderId="0" xfId="0" applyFont="1" applyAlignment="1">
      <alignment vertical="center" wrapText="1"/>
    </xf>
    <xf numFmtId="0" fontId="23" fillId="0" borderId="2" xfId="0" applyFont="1" applyBorder="1"/>
    <xf numFmtId="0" fontId="23" fillId="0" borderId="3" xfId="0" applyFont="1" applyBorder="1"/>
    <xf numFmtId="0" fontId="23" fillId="0" borderId="4" xfId="0" applyFont="1" applyBorder="1"/>
    <xf numFmtId="0" fontId="23" fillId="0" borderId="5" xfId="0" applyFont="1" applyBorder="1"/>
    <xf numFmtId="0" fontId="23" fillId="0" borderId="6" xfId="0" applyFont="1" applyBorder="1"/>
    <xf numFmtId="0" fontId="23" fillId="0" borderId="7" xfId="0" applyFont="1" applyBorder="1"/>
  </cellXfs>
  <cellStyles count="1">
    <cellStyle name="Normal" xfId="0" builtinId="0"/>
  </cellStyles>
  <dxfs count="9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de pesquisa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65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40E-4C83-8F48-4960D71D994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40E-4C83-8F48-4960D71D994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40E-4C83-8F48-4960D71D99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TRIMESTRAL 2023'!$B$2:$B$4</c:f>
              <c:strCache>
                <c:ptCount val="3"/>
                <c:pt idx="0">
                  <c:v>PROJETOS 2023</c:v>
                </c:pt>
                <c:pt idx="1">
                  <c:v>EMENDAS 2024</c:v>
                </c:pt>
                <c:pt idx="2">
                  <c:v>PROJETOS 2024</c:v>
                </c:pt>
              </c:strCache>
            </c:strRef>
          </c:cat>
          <c:val>
            <c:numRef>
              <c:f>'RELATÓRIO TRIMESTRAL 2023'!$C$2:$C$4</c:f>
              <c:numCache>
                <c:formatCode>General</c:formatCode>
                <c:ptCount val="3"/>
                <c:pt idx="0">
                  <c:v>2</c:v>
                </c:pt>
                <c:pt idx="2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40E-4C83-8F48-4960D71D9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786145"/>
        <c:axId val="1603386317"/>
      </c:barChart>
      <c:catAx>
        <c:axId val="993786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603386317"/>
        <c:crosses val="autoZero"/>
        <c:auto val="1"/>
        <c:lblAlgn val="ctr"/>
        <c:lblOffset val="100"/>
        <c:noMultiLvlLbl val="1"/>
      </c:catAx>
      <c:valAx>
        <c:axId val="1603386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99378614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por unidade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81F-4FD7-999A-5B43F63BB1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81F-4FD7-999A-5B43F63BB1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81F-4FD7-999A-5B43F63BB12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'RELATÓRIO TRIMESTRAL 2023'!$B$6:$B$8</c:f>
              <c:strCache>
                <c:ptCount val="3"/>
                <c:pt idx="0">
                  <c:v>HJXXIII</c:v>
                </c:pt>
                <c:pt idx="1">
                  <c:v>HIJPII</c:v>
                </c:pt>
                <c:pt idx="2">
                  <c:v>HMAL</c:v>
                </c:pt>
              </c:strCache>
            </c:strRef>
          </c:cat>
          <c:val>
            <c:numRef>
              <c:f>'RELATÓRIO TRIMESTRAL 2023'!$C$6:$C$8</c:f>
              <c:numCache>
                <c:formatCode>General</c:formatCode>
                <c:ptCount val="3"/>
                <c:pt idx="0">
                  <c:v>48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F-4FD7-999A-5B43F63BB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Propósito da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C51C-437A-B443-1A3C1ADC7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C51C-437A-B443-1A3C1ADC7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C51C-437A-B443-1A3C1ADC7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C51C-437A-B443-1A3C1ADC7D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C51C-437A-B443-1A3C1ADC7D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C51C-437A-B443-1A3C1ADC7D4A}"/>
              </c:ext>
            </c:extLst>
          </c:dPt>
          <c:cat>
            <c:strRef>
              <c:f>'RELATÓRIO TRIMESTRAL 2023'!$B$22:$B$27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'RELATÓRIO TRIMESTRAL 2023'!$C$22:$C$27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35</c:v>
                </c:pt>
                <c:pt idx="3">
                  <c:v>7</c:v>
                </c:pt>
                <c:pt idx="4">
                  <c:v>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1C-437A-B443-1A3C1ADC7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TRIMESTRAL 2023'!$B$30:$B$34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'RELATÓRIO TRIMESTRAL 2023'!$C$30:$C$34</c:f>
              <c:numCache>
                <c:formatCode>General</c:formatCode>
                <c:ptCount val="5"/>
                <c:pt idx="0">
                  <c:v>53</c:v>
                </c:pt>
                <c:pt idx="1">
                  <c:v>37</c:v>
                </c:pt>
                <c:pt idx="2">
                  <c:v>14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7E-4072-84F0-232BAD6B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882407"/>
        <c:axId val="1736176395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TRIMESTRAL 2023'!$B$30:$B$34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'RELATÓRIO TRIMESTRAL 2023'!$D$30:$D$34</c:f>
              <c:numCache>
                <c:formatCode>0.00%</c:formatCode>
                <c:ptCount val="5"/>
                <c:pt idx="0">
                  <c:v>1</c:v>
                </c:pt>
                <c:pt idx="1">
                  <c:v>0.70499999999999996</c:v>
                </c:pt>
                <c:pt idx="2" formatCode="0%">
                  <c:v>0.39</c:v>
                </c:pt>
                <c:pt idx="3">
                  <c:v>7.0999999999999994E-2</c:v>
                </c:pt>
                <c:pt idx="4" formatCode="0%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E-4072-84F0-232BAD6B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882407"/>
        <c:axId val="1736176395"/>
      </c:lineChart>
      <c:catAx>
        <c:axId val="1822882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6176395"/>
        <c:crosses val="autoZero"/>
        <c:auto val="1"/>
        <c:lblAlgn val="ctr"/>
        <c:lblOffset val="100"/>
        <c:noMultiLvlLbl val="1"/>
      </c:catAx>
      <c:valAx>
        <c:axId val="1736176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288240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TRIMESTRAL 2023'!$E$30:$E$34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'RELATÓRIO TRIMESTRAL 2023'!$F$30:$F$34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4F-4F57-BD02-A5ACD31678AD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TRIMESTRAL 2023'!$E$30:$E$34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'RELATÓRIO TRIMESTRAL 2023'!$H$30:$H$34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B4F-4F57-BD02-A5ACD3167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917320"/>
        <c:axId val="470715223"/>
      </c:barChart>
      <c:catAx>
        <c:axId val="331917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0715223"/>
        <c:crosses val="autoZero"/>
        <c:auto val="1"/>
        <c:lblAlgn val="ctr"/>
        <c:lblOffset val="100"/>
        <c:noMultiLvlLbl val="1"/>
      </c:catAx>
      <c:valAx>
        <c:axId val="470715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19173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Estado de apreciação dos projetos </a:t>
            </a:r>
          </a:p>
        </c:rich>
      </c:tx>
      <c:layout>
        <c:manualLayout>
          <c:xMode val="edge"/>
          <c:yMode val="edge"/>
          <c:x val="0.14722222222222223"/>
          <c:y val="4.6296296296296294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'RELATÓRIO TRIMESTRAL 2023'!$E$30:$E$34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'RELATÓRIO TRIMESTRAL 2023'!$F$30:$F$34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10-4D9C-9544-F32909D34F10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'RELATÓRIO TRIMESTRAL 2023'!$E$30:$E$34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'RELATÓRIO TRIMESTRAL 2023'!$H$30:$H$34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10-4D9C-9544-F32909D34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3874719"/>
        <c:axId val="2042496956"/>
      </c:barChart>
      <c:catAx>
        <c:axId val="209387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496956"/>
        <c:crosses val="autoZero"/>
        <c:auto val="1"/>
        <c:lblAlgn val="ctr"/>
        <c:lblOffset val="100"/>
        <c:noMultiLvlLbl val="1"/>
      </c:catAx>
      <c:valAx>
        <c:axId val="2042496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387471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de pesquisa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'Cópia de RELATÓRIO SEMESTRAL 20'!$B$2:$B$4</c:f>
              <c:strCache>
                <c:ptCount val="3"/>
                <c:pt idx="0">
                  <c:v>PROJETOS 2023</c:v>
                </c:pt>
                <c:pt idx="1">
                  <c:v>EMENDAS 2024</c:v>
                </c:pt>
                <c:pt idx="2">
                  <c:v>PROJETOS 2024</c:v>
                </c:pt>
              </c:strCache>
            </c:strRef>
          </c:cat>
          <c:val>
            <c:numRef>
              <c:f>'Cópia de RELATÓRIO SEMESTRAL 20'!$C$2:$C$4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A9D3-4029-9B10-D77908E1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4580412"/>
        <c:axId val="866274437"/>
      </c:barChart>
      <c:catAx>
        <c:axId val="1524580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866274437"/>
        <c:crosses val="autoZero"/>
        <c:auto val="1"/>
        <c:lblAlgn val="ctr"/>
        <c:lblOffset val="100"/>
        <c:noMultiLvlLbl val="1"/>
      </c:catAx>
      <c:valAx>
        <c:axId val="866274437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52458041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por unidade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6ED1-4592-94DD-2DE7A87704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6ED1-4592-94DD-2DE7A87704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6ED1-4592-94DD-2DE7A87704C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'Cópia de RELATÓRIO SEMESTRAL 20'!$B$6:$B$8</c:f>
              <c:strCache>
                <c:ptCount val="3"/>
                <c:pt idx="0">
                  <c:v>HJXXIII</c:v>
                </c:pt>
                <c:pt idx="1">
                  <c:v>HIJPII</c:v>
                </c:pt>
                <c:pt idx="2">
                  <c:v>HMAL</c:v>
                </c:pt>
              </c:strCache>
            </c:strRef>
          </c:cat>
          <c:val>
            <c:numRef>
              <c:f>'Cópia de RELATÓRIO SEMESTRAL 20'!$C$6:$C$8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6ED1-4592-94DD-2DE7A8770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Instituições Proponentes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'Cópia de RELATÓRIO SEMESTRAL 20'!$B$11:$B$17</c:f>
              <c:strCache>
                <c:ptCount val="7"/>
                <c:pt idx="0">
                  <c:v>FHEMIG</c:v>
                </c:pt>
                <c:pt idx="1">
                  <c:v>UFMG</c:v>
                </c:pt>
                <c:pt idx="2">
                  <c:v>RENE RACHOU</c:v>
                </c:pt>
                <c:pt idx="3">
                  <c:v>CIÊNCIAS MÉDICAS</c:v>
                </c:pt>
                <c:pt idx="4">
                  <c:v>UNIV FED FLUM</c:v>
                </c:pt>
                <c:pt idx="5">
                  <c:v>Universidade Europea</c:v>
                </c:pt>
                <c:pt idx="6">
                  <c:v>MOINHOS DE VENTO</c:v>
                </c:pt>
              </c:strCache>
            </c:strRef>
          </c:cat>
          <c:val>
            <c:numRef>
              <c:f>'Cópia de RELATÓRIO SEMESTRAL 20'!$C$11:$C$17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48E2-4AE4-898D-C7949FA43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755811"/>
        <c:axId val="638759598"/>
      </c:barChart>
      <c:catAx>
        <c:axId val="498755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638759598"/>
        <c:crosses val="autoZero"/>
        <c:auto val="1"/>
        <c:lblAlgn val="ctr"/>
        <c:lblOffset val="100"/>
        <c:noMultiLvlLbl val="1"/>
      </c:catAx>
      <c:valAx>
        <c:axId val="63875959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498755811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Propósito da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9D0-4F3A-B8BC-1727F89702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39D0-4F3A-B8BC-1727F89702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39D0-4F3A-B8BC-1727F89702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39D0-4F3A-B8BC-1727F89702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39D0-4F3A-B8BC-1727F89702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39D0-4F3A-B8BC-1727F89702CE}"/>
              </c:ext>
            </c:extLst>
          </c:dPt>
          <c:cat>
            <c:strRef>
              <c:f>'Cópia de RELATÓRIO SEMESTRAL 20'!$B$22:$B$27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'Cópia de RELATÓRIO SEMESTRAL 20'!$C$22:$C$27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35</c:v>
                </c:pt>
                <c:pt idx="3">
                  <c:v>7</c:v>
                </c:pt>
                <c:pt idx="4">
                  <c:v>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D0-4F3A-B8BC-1727F897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SEMESTRAL 20'!$B$30:$B$34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'Cópia de RELATÓRIO SEMESTRAL 20'!$C$30:$C$34</c:f>
              <c:numCache>
                <c:formatCode>General</c:formatCode>
                <c:ptCount val="5"/>
                <c:pt idx="0">
                  <c:v>53</c:v>
                </c:pt>
                <c:pt idx="1">
                  <c:v>37</c:v>
                </c:pt>
                <c:pt idx="2">
                  <c:v>14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C0-4DD5-82F1-EBBFC13F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464391"/>
        <c:axId val="1592336512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SEMESTRAL 20'!$B$30:$B$34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'Cópia de RELATÓRIO SEMESTRAL 20'!$D$30:$D$34</c:f>
              <c:numCache>
                <c:formatCode>0.00%</c:formatCode>
                <c:ptCount val="5"/>
                <c:pt idx="0">
                  <c:v>1</c:v>
                </c:pt>
                <c:pt idx="1">
                  <c:v>0.70499999999999996</c:v>
                </c:pt>
                <c:pt idx="2" formatCode="0%">
                  <c:v>0.39</c:v>
                </c:pt>
                <c:pt idx="3">
                  <c:v>7.0999999999999994E-2</c:v>
                </c:pt>
                <c:pt idx="4" formatCode="0%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0-4DD5-82F1-EBBFC13F9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464391"/>
        <c:axId val="1592336512"/>
      </c:lineChart>
      <c:catAx>
        <c:axId val="123246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336512"/>
        <c:crosses val="autoZero"/>
        <c:auto val="1"/>
        <c:lblAlgn val="ctr"/>
        <c:lblOffset val="100"/>
        <c:noMultiLvlLbl val="1"/>
      </c:catAx>
      <c:valAx>
        <c:axId val="1592336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24643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SEMESTRAL 20'!$E$30:$E$34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SEMESTRAL 20'!$F$30:$F$34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29-49DA-B3E4-82AE88B51E0B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SEMESTRAL 20'!$E$30:$E$34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SEMESTRAL 20'!$H$30:$H$34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29-49DA-B3E4-82AE88B51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666829"/>
        <c:axId val="1789703492"/>
      </c:barChart>
      <c:catAx>
        <c:axId val="2048666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9703492"/>
        <c:crosses val="autoZero"/>
        <c:auto val="1"/>
        <c:lblAlgn val="ctr"/>
        <c:lblOffset val="100"/>
        <c:noMultiLvlLbl val="1"/>
      </c:catAx>
      <c:valAx>
        <c:axId val="17897034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66682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Estado de apreciação dos projetos </a:t>
            </a:r>
          </a:p>
        </c:rich>
      </c:tx>
      <c:layout>
        <c:manualLayout>
          <c:xMode val="edge"/>
          <c:yMode val="edge"/>
          <c:x val="0.14722222222222223"/>
          <c:y val="4.6296296296296294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SEMESTRAL 20'!$E$30:$E$34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SEMESTRAL 20'!$F$30:$F$34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9-4AC4-9C1A-82AE6A6ECC15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SEMESTRAL 20'!$E$30:$E$34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SEMESTRAL 20'!$H$30:$H$34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99-4AC4-9C1A-82AE6A6EC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9638144"/>
        <c:axId val="1439954149"/>
      </c:barChart>
      <c:catAx>
        <c:axId val="213963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9954149"/>
        <c:crosses val="autoZero"/>
        <c:auto val="1"/>
        <c:lblAlgn val="ctr"/>
        <c:lblOffset val="100"/>
        <c:noMultiLvlLbl val="1"/>
      </c:catAx>
      <c:valAx>
        <c:axId val="1439954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96381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de pesquisa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65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453-4E48-9989-BE2B4437082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453-4E48-9989-BE2B4437082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453-4E48-9989-BE2B443708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2023'!$B$2:$B$5</c:f>
              <c:strCache>
                <c:ptCount val="4"/>
                <c:pt idx="0">
                  <c:v>PROJETOS 2023</c:v>
                </c:pt>
                <c:pt idx="1">
                  <c:v>EMENDAS 2023</c:v>
                </c:pt>
                <c:pt idx="2">
                  <c:v>PROJETOS 2022</c:v>
                </c:pt>
                <c:pt idx="3">
                  <c:v>PROJ PENDENC DOC</c:v>
                </c:pt>
              </c:strCache>
            </c:strRef>
          </c:cat>
          <c:val>
            <c:numRef>
              <c:f>'Cópia de RELATÓRIO ANUAL 2023'!$C$2:$C$5</c:f>
              <c:numCache>
                <c:formatCode>General</c:formatCode>
                <c:ptCount val="4"/>
                <c:pt idx="0">
                  <c:v>58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D453-4E48-9989-BE2B4437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5595919"/>
        <c:axId val="243996062"/>
      </c:barChart>
      <c:catAx>
        <c:axId val="188559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243996062"/>
        <c:crosses val="autoZero"/>
        <c:auto val="1"/>
        <c:lblAlgn val="ctr"/>
        <c:lblOffset val="100"/>
        <c:noMultiLvlLbl val="1"/>
      </c:catAx>
      <c:valAx>
        <c:axId val="243996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88559591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Instituições Proponentes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2023'!$B$8:$B$18</c:f>
              <c:strCache>
                <c:ptCount val="11"/>
                <c:pt idx="0">
                  <c:v>FHEMIG</c:v>
                </c:pt>
                <c:pt idx="1">
                  <c:v>UFMG</c:v>
                </c:pt>
                <c:pt idx="2">
                  <c:v>RENE RACHOU</c:v>
                </c:pt>
                <c:pt idx="3">
                  <c:v>CIÊNCIAS MÉDICAS</c:v>
                </c:pt>
                <c:pt idx="4">
                  <c:v>UNIV FED FLUM</c:v>
                </c:pt>
                <c:pt idx="5">
                  <c:v>Universidade Europea</c:v>
                </c:pt>
                <c:pt idx="6">
                  <c:v>MOINHOS DE VENTO</c:v>
                </c:pt>
                <c:pt idx="7">
                  <c:v>BOTUCATU</c:v>
                </c:pt>
                <c:pt idx="8">
                  <c:v>PUCMINAS</c:v>
                </c:pt>
                <c:pt idx="9">
                  <c:v>EINSTEIN</c:v>
                </c:pt>
                <c:pt idx="10">
                  <c:v>NATIONWIDE CHILF H</c:v>
                </c:pt>
              </c:strCache>
            </c:strRef>
          </c:cat>
          <c:val>
            <c:numRef>
              <c:f>'Cópia de RELATÓRIO ANUAL 2023'!$C$8:$C$18</c:f>
              <c:numCache>
                <c:formatCode>General</c:formatCode>
                <c:ptCount val="11"/>
                <c:pt idx="0">
                  <c:v>68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44-49DB-AD41-30DF7C0A2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450427"/>
        <c:axId val="19416231"/>
      </c:barChart>
      <c:catAx>
        <c:axId val="450450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416231"/>
        <c:crosses val="autoZero"/>
        <c:auto val="1"/>
        <c:lblAlgn val="ctr"/>
        <c:lblOffset val="100"/>
        <c:noMultiLvlLbl val="1"/>
      </c:catAx>
      <c:valAx>
        <c:axId val="19416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450450427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Propósito da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A50-4F1D-AB39-F044D5019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0A50-4F1D-AB39-F044D5019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0A50-4F1D-AB39-F044D50192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0A50-4F1D-AB39-F044D5019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0A50-4F1D-AB39-F044D50192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0A50-4F1D-AB39-F044D50192B0}"/>
              </c:ext>
            </c:extLst>
          </c:dPt>
          <c:cat>
            <c:strRef>
              <c:f>'Cópia de RELATÓRIO ANUAL 2023'!$B$25:$B$30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'Cópia de RELATÓRIO ANUAL 2023'!$C$25:$C$30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50-4F1D-AB39-F044D501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2023'!$B$33:$B$37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'Cópia de RELATÓRIO ANUAL 2023'!$C$33:$C$37</c:f>
              <c:numCache>
                <c:formatCode>General</c:formatCode>
                <c:ptCount val="5"/>
                <c:pt idx="0">
                  <c:v>53</c:v>
                </c:pt>
                <c:pt idx="1">
                  <c:v>37</c:v>
                </c:pt>
                <c:pt idx="2">
                  <c:v>14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77-4426-863C-89CBF501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919443"/>
        <c:axId val="452176486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2023'!$B$33:$B$37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'Cópia de RELATÓRIO ANUAL 2023'!$D$33:$D$37</c:f>
              <c:numCache>
                <c:formatCode>0.00%</c:formatCode>
                <c:ptCount val="5"/>
                <c:pt idx="0">
                  <c:v>1</c:v>
                </c:pt>
                <c:pt idx="1">
                  <c:v>0.70499999999999996</c:v>
                </c:pt>
                <c:pt idx="2" formatCode="0%">
                  <c:v>0.39</c:v>
                </c:pt>
                <c:pt idx="3">
                  <c:v>7.0999999999999994E-2</c:v>
                </c:pt>
                <c:pt idx="4" formatCode="0%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7-4426-863C-89CBF501E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919443"/>
        <c:axId val="452176486"/>
      </c:lineChart>
      <c:catAx>
        <c:axId val="92391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2176486"/>
        <c:crosses val="autoZero"/>
        <c:auto val="1"/>
        <c:lblAlgn val="ctr"/>
        <c:lblOffset val="100"/>
        <c:noMultiLvlLbl val="1"/>
      </c:catAx>
      <c:valAx>
        <c:axId val="452176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391944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Estado de apreciação dos projetos </a:t>
            </a:r>
          </a:p>
        </c:rich>
      </c:tx>
      <c:layout>
        <c:manualLayout>
          <c:xMode val="edge"/>
          <c:yMode val="edge"/>
          <c:x val="0.14722222222222223"/>
          <c:y val="4.6296296296296294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ANUAL 2023'!$E$33:$E$37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ANUAL 2023'!$F$33:$F$37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AB-4727-9A54-E7CFA27940D6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ANUAL 2023'!$E$33:$E$37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'Cópia de RELATÓRIO ANUAL 2023'!$G$32:$G$36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EAB-4727-9A54-E7CFA2794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2756537"/>
        <c:axId val="1289699262"/>
      </c:barChart>
      <c:catAx>
        <c:axId val="1372756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9699262"/>
        <c:crosses val="autoZero"/>
        <c:auto val="1"/>
        <c:lblAlgn val="ctr"/>
        <c:lblOffset val="100"/>
        <c:noMultiLvlLbl val="1"/>
      </c:catAx>
      <c:valAx>
        <c:axId val="1289699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275653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9BD-453D-B797-40AB7708A3D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9BD-453D-B797-40AB7708A3D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9BD-453D-B797-40AB7708A3D3}"/>
              </c:ext>
            </c:extLst>
          </c:dPt>
          <c:cat>
            <c:strRef>
              <c:f>'Cópia de RELATÓRIO ANUAL 2023'!$B$20:$B$22</c:f>
              <c:strCache>
                <c:ptCount val="3"/>
                <c:pt idx="0">
                  <c:v>HJXXIII</c:v>
                </c:pt>
                <c:pt idx="1">
                  <c:v>HIJPII</c:v>
                </c:pt>
                <c:pt idx="2">
                  <c:v>HMAL</c:v>
                </c:pt>
              </c:strCache>
            </c:strRef>
          </c:cat>
          <c:val>
            <c:numRef>
              <c:f>'Cópia de RELATÓRIO ANUAL 2023'!$C$20:$C$22</c:f>
              <c:numCache>
                <c:formatCode>General</c:formatCode>
                <c:ptCount val="3"/>
                <c:pt idx="0">
                  <c:v>54</c:v>
                </c:pt>
                <c:pt idx="1">
                  <c:v>31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BD-453D-B797-40AB7708A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87              PROJETOS  DE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'Cópia de RELATÓRIO ANUAL 2023'!$C$24</c:f>
              <c:strCache>
                <c:ptCount val="1"/>
                <c:pt idx="0">
                  <c:v>              PROJETOS  DE PESQUISA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8A5-4CC0-AE0B-74C83A9739D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8A5-4CC0-AE0B-74C83A9739D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8A5-4CC0-AE0B-74C83A9739D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8A5-4CC0-AE0B-74C83A9739D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8A5-4CC0-AE0B-74C83A9739D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8A5-4CC0-AE0B-74C83A9739D8}"/>
              </c:ext>
            </c:extLst>
          </c:dPt>
          <c:cat>
            <c:strRef>
              <c:f>'Cópia de RELATÓRIO ANUAL 2023'!$B$25:$B$30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'Cópia de RELATÓRIO ANUAL 2023'!$C$25:$C$30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A5-4CC0-AE0B-74C83A97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DCB-474D-9A6E-6C85E858E18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DCB-474D-9A6E-6C85E858E188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DCB-474D-9A6E-6C85E858E18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DCB-474D-9A6E-6C85E858E18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DCB-474D-9A6E-6C85E858E188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DCB-474D-9A6E-6C85E858E188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DCB-474D-9A6E-6C85E858E188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DCB-474D-9A6E-6C85E858E1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2023'!$B$1:$B$5</c:f>
              <c:strCache>
                <c:ptCount val="5"/>
                <c:pt idx="0">
                  <c:v>PROJETOS</c:v>
                </c:pt>
                <c:pt idx="1">
                  <c:v>PROJETOS 2023</c:v>
                </c:pt>
                <c:pt idx="2">
                  <c:v>EMENDAS 2023</c:v>
                </c:pt>
                <c:pt idx="3">
                  <c:v>PROJETOS 2022</c:v>
                </c:pt>
                <c:pt idx="4">
                  <c:v>PROJ PENDENC DOC</c:v>
                </c:pt>
              </c:strCache>
            </c:strRef>
          </c:cat>
          <c:val>
            <c:numRef>
              <c:f>'Cópia de RELATÓRIO ANUAL 2023'!$C$1:$C$5</c:f>
              <c:numCache>
                <c:formatCode>General</c:formatCode>
                <c:ptCount val="5"/>
                <c:pt idx="0">
                  <c:v>87</c:v>
                </c:pt>
                <c:pt idx="1">
                  <c:v>58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DCB-474D-9A6E-6C85E858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606237"/>
        <c:axId val="52337113"/>
      </c:barChart>
      <c:catAx>
        <c:axId val="1973606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52337113"/>
        <c:crosses val="autoZero"/>
        <c:auto val="1"/>
        <c:lblAlgn val="ctr"/>
        <c:lblOffset val="100"/>
        <c:noMultiLvlLbl val="1"/>
      </c:catAx>
      <c:valAx>
        <c:axId val="523371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3606237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ANUAL 2023'!$B$7:$B$18</c:f>
              <c:strCache>
                <c:ptCount val="12"/>
                <c:pt idx="0">
                  <c:v>Projetos tramitados</c:v>
                </c:pt>
                <c:pt idx="1">
                  <c:v>FHEMIG</c:v>
                </c:pt>
                <c:pt idx="2">
                  <c:v>UFMG</c:v>
                </c:pt>
                <c:pt idx="3">
                  <c:v>RENE RACHOU</c:v>
                </c:pt>
                <c:pt idx="4">
                  <c:v>CIÊNCIAS MÉDICAS</c:v>
                </c:pt>
                <c:pt idx="5">
                  <c:v>UNIV FED FLUM</c:v>
                </c:pt>
                <c:pt idx="6">
                  <c:v>Universidade Europea</c:v>
                </c:pt>
                <c:pt idx="7">
                  <c:v>MOINHOS DE VENTO</c:v>
                </c:pt>
                <c:pt idx="8">
                  <c:v>BOTUCATU</c:v>
                </c:pt>
                <c:pt idx="9">
                  <c:v>PUCMINAS</c:v>
                </c:pt>
                <c:pt idx="10">
                  <c:v>EINSTEIN</c:v>
                </c:pt>
                <c:pt idx="11">
                  <c:v>NATIONWIDE CHILF H</c:v>
                </c:pt>
              </c:strCache>
            </c:strRef>
          </c:cat>
          <c:val>
            <c:numRef>
              <c:f>'Cópia de RELATÓRIO ANUAL 2023'!$C$7:$C$18</c:f>
              <c:numCache>
                <c:formatCode>General</c:formatCode>
                <c:ptCount val="12"/>
                <c:pt idx="0">
                  <c:v>87</c:v>
                </c:pt>
                <c:pt idx="1">
                  <c:v>68</c:v>
                </c:pt>
                <c:pt idx="2">
                  <c:v>10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C4-4A01-80E4-94B6786DC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875526"/>
        <c:axId val="1573657373"/>
      </c:barChart>
      <c:catAx>
        <c:axId val="99787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3657373"/>
        <c:crosses val="autoZero"/>
        <c:auto val="1"/>
        <c:lblAlgn val="ctr"/>
        <c:lblOffset val="100"/>
        <c:noMultiLvlLbl val="1"/>
      </c:catAx>
      <c:valAx>
        <c:axId val="1573657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78755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9.7916885389326316E-2"/>
          <c:y val="7.407407407407407E-2"/>
          <c:w val="0.9020831146106737"/>
          <c:h val="0.5499136045494312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'Cópia de RELATÓRIO ANUAL 2023'!$B$8:$B$18</c:f>
              <c:strCache>
                <c:ptCount val="11"/>
                <c:pt idx="0">
                  <c:v>FHEMIG</c:v>
                </c:pt>
                <c:pt idx="1">
                  <c:v>UFMG</c:v>
                </c:pt>
                <c:pt idx="2">
                  <c:v>RENE RACHOU</c:v>
                </c:pt>
                <c:pt idx="3">
                  <c:v>CIÊNCIAS MÉDICAS</c:v>
                </c:pt>
                <c:pt idx="4">
                  <c:v>UNIV FED FLUM</c:v>
                </c:pt>
                <c:pt idx="5">
                  <c:v>Universidade Europea</c:v>
                </c:pt>
                <c:pt idx="6">
                  <c:v>MOINHOS DE VENTO</c:v>
                </c:pt>
                <c:pt idx="7">
                  <c:v>BOTUCATU</c:v>
                </c:pt>
                <c:pt idx="8">
                  <c:v>PUCMINAS</c:v>
                </c:pt>
                <c:pt idx="9">
                  <c:v>EINSTEIN</c:v>
                </c:pt>
                <c:pt idx="10">
                  <c:v>NATIONWIDE CHILF H</c:v>
                </c:pt>
              </c:strCache>
            </c:strRef>
          </c:cat>
          <c:val>
            <c:numRef>
              <c:f>'Cópia de RELATÓRIO ANUAL 2023'!$C$8:$C$18</c:f>
              <c:numCache>
                <c:formatCode>General</c:formatCode>
                <c:ptCount val="11"/>
                <c:pt idx="0">
                  <c:v>68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46-4BE0-A0F5-F92D24870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6933"/>
        <c:axId val="833537979"/>
      </c:barChart>
      <c:catAx>
        <c:axId val="1670956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537979"/>
        <c:crosses val="autoZero"/>
        <c:auto val="1"/>
        <c:lblAlgn val="ctr"/>
        <c:lblOffset val="100"/>
        <c:noMultiLvlLbl val="1"/>
      </c:catAx>
      <c:valAx>
        <c:axId val="833537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095693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              PROJETOS  DE PESQUISA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'Cópia de RELATÓRIO ANUAL 2023'!$C$25:$C$30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44-424B-BCB0-CB4463D23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6765110"/>
        <c:axId val="2039310372"/>
      </c:barChart>
      <c:catAx>
        <c:axId val="1496765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2039310372"/>
        <c:crosses val="autoZero"/>
        <c:auto val="1"/>
        <c:lblAlgn val="ctr"/>
        <c:lblOffset val="100"/>
        <c:noMultiLvlLbl val="1"/>
      </c:catAx>
      <c:valAx>
        <c:axId val="20393103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6765110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'Cópia de RELATÓRIO ANUAL 2023'!$N$46:$N$50</c:f>
              <c:strCache>
                <c:ptCount val="5"/>
                <c:pt idx="0">
                  <c:v>Aprovados CIP</c:v>
                </c:pt>
                <c:pt idx="1">
                  <c:v>Pendências</c:v>
                </c:pt>
                <c:pt idx="2">
                  <c:v>Reprovados</c:v>
                </c:pt>
                <c:pt idx="3">
                  <c:v>Não se Aplica</c:v>
                </c:pt>
                <c:pt idx="4">
                  <c:v>Pend Doc NEP</c:v>
                </c:pt>
              </c:strCache>
            </c:strRef>
          </c:cat>
          <c:val>
            <c:numRef>
              <c:f>'Cópia de RELATÓRIO ANUAL 2023'!$O$46:$O$50</c:f>
              <c:numCache>
                <c:formatCode>General</c:formatCode>
                <c:ptCount val="5"/>
                <c:pt idx="0">
                  <c:v>72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9F-4386-94FE-24DB427B1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990410"/>
        <c:axId val="1577465495"/>
      </c:barChart>
      <c:catAx>
        <c:axId val="1107990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7465495"/>
        <c:crosses val="autoZero"/>
        <c:auto val="1"/>
        <c:lblAlgn val="ctr"/>
        <c:lblOffset val="100"/>
        <c:noMultiLvlLbl val="1"/>
      </c:catAx>
      <c:valAx>
        <c:axId val="1577465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79904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8F6-4168-A01D-8C5D74DB4058}"/>
              </c:ext>
            </c:extLst>
          </c:dPt>
          <c:cat>
            <c:strRef>
              <c:f>'Cópia de RELATÓRIO ANUAL 2023'!$B$1:$B$5</c:f>
              <c:strCache>
                <c:ptCount val="5"/>
                <c:pt idx="0">
                  <c:v>PROJETOS</c:v>
                </c:pt>
                <c:pt idx="1">
                  <c:v>PROJETOS 2023</c:v>
                </c:pt>
                <c:pt idx="2">
                  <c:v>EMENDAS 2023</c:v>
                </c:pt>
                <c:pt idx="3">
                  <c:v>PROJETOS 2022</c:v>
                </c:pt>
                <c:pt idx="4">
                  <c:v>PROJ PENDENC DOC</c:v>
                </c:pt>
              </c:strCache>
            </c:strRef>
          </c:cat>
          <c:val>
            <c:numRef>
              <c:f>'Cópia de RELATÓRIO ANUAL 2023'!$C$1:$C$5</c:f>
              <c:numCache>
                <c:formatCode>General</c:formatCode>
                <c:ptCount val="5"/>
                <c:pt idx="0">
                  <c:v>87</c:v>
                </c:pt>
                <c:pt idx="1">
                  <c:v>58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8F6-4168-A01D-8C5D74DB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8835767"/>
        <c:axId val="2134756940"/>
      </c:barChart>
      <c:catAx>
        <c:axId val="1988835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4756940"/>
        <c:crosses val="autoZero"/>
        <c:auto val="1"/>
        <c:lblAlgn val="ctr"/>
        <c:lblOffset val="100"/>
        <c:noMultiLvlLbl val="1"/>
      </c:catAx>
      <c:valAx>
        <c:axId val="2134756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88357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Projetos de pesquisa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65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315-41B2-961B-70BF9DAB8A2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315-41B2-961B-70BF9DAB8A20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315-41B2-961B-70BF9DAB8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RELATÓRI'!$B$2:$B$5</c:f>
              <c:strCache>
                <c:ptCount val="4"/>
                <c:pt idx="0">
                  <c:v>PROJETOS 2023</c:v>
                </c:pt>
                <c:pt idx="1">
                  <c:v>EMENDAS 2023</c:v>
                </c:pt>
                <c:pt idx="2">
                  <c:v>PROJETOS 2022</c:v>
                </c:pt>
                <c:pt idx="3">
                  <c:v>PROJ PENDENC DOC</c:v>
                </c:pt>
              </c:strCache>
            </c:strRef>
          </c:cat>
          <c:val>
            <c:numRef>
              <c:f>'2024 Cópia de Cópia de RELATÓRI'!$C$2:$C$5</c:f>
              <c:numCache>
                <c:formatCode>General</c:formatCode>
                <c:ptCount val="4"/>
                <c:pt idx="0">
                  <c:v>58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315-41B2-961B-70BF9DAB8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2915165"/>
        <c:axId val="1501749052"/>
      </c:barChart>
      <c:catAx>
        <c:axId val="1852915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501749052"/>
        <c:crosses val="autoZero"/>
        <c:auto val="1"/>
        <c:lblAlgn val="ctr"/>
        <c:lblOffset val="100"/>
        <c:noMultiLvlLbl val="1"/>
      </c:catAx>
      <c:valAx>
        <c:axId val="1501749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85291516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sz="1600" b="1" i="0">
                <a:solidFill>
                  <a:schemeClr val="lt1"/>
                </a:solidFill>
                <a:latin typeface="+mn-lt"/>
              </a:rPr>
              <a:t>Instituições Proponentes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RELATÓRI'!$B$8:$B$18</c:f>
              <c:strCache>
                <c:ptCount val="11"/>
                <c:pt idx="0">
                  <c:v>FHEMIG</c:v>
                </c:pt>
                <c:pt idx="1">
                  <c:v>UFMG</c:v>
                </c:pt>
                <c:pt idx="2">
                  <c:v>RENE RACHOU</c:v>
                </c:pt>
                <c:pt idx="3">
                  <c:v>CIÊNCIAS MÉDICAS</c:v>
                </c:pt>
                <c:pt idx="4">
                  <c:v>UNIV FED FLUM</c:v>
                </c:pt>
                <c:pt idx="5">
                  <c:v>Universidade Europea</c:v>
                </c:pt>
                <c:pt idx="6">
                  <c:v>MOINHOS DE VENTO</c:v>
                </c:pt>
                <c:pt idx="7">
                  <c:v>BOTUCATU</c:v>
                </c:pt>
                <c:pt idx="8">
                  <c:v>PUCMINAS</c:v>
                </c:pt>
                <c:pt idx="9">
                  <c:v>EINSTEIN</c:v>
                </c:pt>
                <c:pt idx="10">
                  <c:v>NATIONWIDE CHILF H</c:v>
                </c:pt>
              </c:strCache>
            </c:strRef>
          </c:cat>
          <c:val>
            <c:numRef>
              <c:f>'2024 Cópia de Cópia de RELATÓRI'!$C$8:$C$18</c:f>
              <c:numCache>
                <c:formatCode>General</c:formatCode>
                <c:ptCount val="11"/>
                <c:pt idx="0">
                  <c:v>68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3D-4EA6-A574-99DDDFB04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908640"/>
        <c:axId val="771295710"/>
      </c:barChart>
      <c:catAx>
        <c:axId val="174190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771295710"/>
        <c:crosses val="autoZero"/>
        <c:auto val="1"/>
        <c:lblAlgn val="ctr"/>
        <c:lblOffset val="100"/>
        <c:noMultiLvlLbl val="1"/>
      </c:catAx>
      <c:valAx>
        <c:axId val="77129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741908640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sz="1800" b="1" i="0">
                <a:solidFill>
                  <a:schemeClr val="dk1"/>
                </a:solidFill>
                <a:latin typeface="+mn-lt"/>
              </a:rPr>
              <a:t>Propósito da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C13-4D94-9BB2-84ABDD8DDC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C13-4D94-9BB2-84ABDD8DDC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C13-4D94-9BB2-84ABDD8DDC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C13-4D94-9BB2-84ABDD8DDC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C13-4D94-9BB2-84ABDD8DDC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C13-4D94-9BB2-84ABDD8DDC58}"/>
              </c:ext>
            </c:extLst>
          </c:dPt>
          <c:cat>
            <c:strRef>
              <c:f>'2024 Cópia de Cópia de RELATÓRI'!$B$25:$B$30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'2024 Cópia de Cópia de RELATÓRI'!$C$25:$C$30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13-4D94-9BB2-84ABDD8D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RELATÓRI'!$B$33:$B$37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'2024 Cópia de Cópia de RELATÓRI'!$C$33:$C$37</c:f>
              <c:numCache>
                <c:formatCode>General</c:formatCode>
                <c:ptCount val="5"/>
                <c:pt idx="0">
                  <c:v>53</c:v>
                </c:pt>
                <c:pt idx="1">
                  <c:v>37</c:v>
                </c:pt>
                <c:pt idx="2">
                  <c:v>14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59-40F1-8F09-485455B58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9589119"/>
        <c:axId val="515167142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RELATÓRI'!$B$33:$B$37</c:f>
              <c:strCache>
                <c:ptCount val="5"/>
                <c:pt idx="0">
                  <c:v>Nº PROJETOS  APROVADOS</c:v>
                </c:pt>
                <c:pt idx="1">
                  <c:v>1 PT</c:v>
                </c:pt>
                <c:pt idx="2">
                  <c:v>2 PT</c:v>
                </c:pt>
                <c:pt idx="3">
                  <c:v>3 PT</c:v>
                </c:pt>
                <c:pt idx="4">
                  <c:v>4 PT</c:v>
                </c:pt>
              </c:strCache>
            </c:strRef>
          </c:cat>
          <c:val>
            <c:numRef>
              <c:f>'2024 Cópia de Cópia de RELATÓRI'!$D$33:$D$37</c:f>
              <c:numCache>
                <c:formatCode>0.00%</c:formatCode>
                <c:ptCount val="5"/>
                <c:pt idx="0">
                  <c:v>1</c:v>
                </c:pt>
                <c:pt idx="1">
                  <c:v>0.70499999999999996</c:v>
                </c:pt>
                <c:pt idx="2" formatCode="0%">
                  <c:v>0.39</c:v>
                </c:pt>
                <c:pt idx="3">
                  <c:v>7.0999999999999994E-2</c:v>
                </c:pt>
                <c:pt idx="4" formatCode="0%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9-40F1-8F09-485455B58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589119"/>
        <c:axId val="515167142"/>
      </c:lineChart>
      <c:catAx>
        <c:axId val="1009589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5167142"/>
        <c:crosses val="autoZero"/>
        <c:auto val="1"/>
        <c:lblAlgn val="ctr"/>
        <c:lblOffset val="100"/>
        <c:noMultiLvlLbl val="1"/>
      </c:catAx>
      <c:valAx>
        <c:axId val="515167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958911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Estado de apreciação dos projetos </a:t>
            </a:r>
          </a:p>
        </c:rich>
      </c:tx>
      <c:layout>
        <c:manualLayout>
          <c:xMode val="edge"/>
          <c:yMode val="edge"/>
          <c:x val="0.14722222222222223"/>
          <c:y val="4.6296296296296294E-2"/>
        </c:manualLayout>
      </c:layout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'2024 Cópia de Cópia de RELATÓRI'!$E$33:$E$37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'2024 Cópia de Cópia de RELATÓRI'!$F$33:$F$37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61-420D-A3D9-B163BE24FDA5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'2024 Cópia de Cópia de RELATÓRI'!$E$33:$E$37</c:f>
              <c:strCache>
                <c:ptCount val="5"/>
                <c:pt idx="0">
                  <c:v>Nº PROJETOS</c:v>
                </c:pt>
                <c:pt idx="1">
                  <c:v>APROVADOS</c:v>
                </c:pt>
                <c:pt idx="2">
                  <c:v>NÃO SE APLICA</c:v>
                </c:pt>
                <c:pt idx="3">
                  <c:v>PENDÊNCIAS</c:v>
                </c:pt>
                <c:pt idx="4">
                  <c:v>REPROVADOS</c:v>
                </c:pt>
              </c:strCache>
            </c:strRef>
          </c:cat>
          <c:val>
            <c:numRef>
              <c:f>'2024 Cópia de Cópia de RELATÓRI'!$G$32:$G$36</c:f>
              <c:numCache>
                <c:formatCode>0.0%</c:formatCode>
                <c:ptCount val="5"/>
                <c:pt idx="0" formatCode="0.00%">
                  <c:v>1</c:v>
                </c:pt>
                <c:pt idx="1">
                  <c:v>0.81499999999999995</c:v>
                </c:pt>
                <c:pt idx="2" formatCode="0%">
                  <c:v>0.08</c:v>
                </c:pt>
                <c:pt idx="3" formatCode="0%">
                  <c:v>0.08</c:v>
                </c:pt>
                <c:pt idx="4" formatCode="0%">
                  <c:v>0.04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61-420D-A3D9-B163BE24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9590632"/>
        <c:axId val="441297962"/>
      </c:barChart>
      <c:catAx>
        <c:axId val="1859590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297962"/>
        <c:crosses val="autoZero"/>
        <c:auto val="1"/>
        <c:lblAlgn val="ctr"/>
        <c:lblOffset val="100"/>
        <c:noMultiLvlLbl val="1"/>
      </c:catAx>
      <c:valAx>
        <c:axId val="441297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959063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AA3-4066-A5E3-0C839F5C211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AA3-4066-A5E3-0C839F5C211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1AA3-4066-A5E3-0C839F5C2113}"/>
              </c:ext>
            </c:extLst>
          </c:dPt>
          <c:cat>
            <c:strRef>
              <c:f>'2024 Cópia de Cópia de RELATÓRI'!$B$20:$B$22</c:f>
              <c:strCache>
                <c:ptCount val="3"/>
                <c:pt idx="0">
                  <c:v>HJXXIII</c:v>
                </c:pt>
                <c:pt idx="1">
                  <c:v>HIJPII</c:v>
                </c:pt>
                <c:pt idx="2">
                  <c:v>HMAL</c:v>
                </c:pt>
              </c:strCache>
            </c:strRef>
          </c:cat>
          <c:val>
            <c:numRef>
              <c:f>'2024 Cópia de Cópia de RELATÓRI'!$C$20:$C$22</c:f>
              <c:numCache>
                <c:formatCode>General</c:formatCode>
                <c:ptCount val="3"/>
                <c:pt idx="0">
                  <c:v>54</c:v>
                </c:pt>
                <c:pt idx="1">
                  <c:v>31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3-4066-A5E3-0C839F5C2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87              PROJETOS  DE PESQUISA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'2024 Cópia de Cópia de RELATÓRI'!$C$24</c:f>
              <c:strCache>
                <c:ptCount val="1"/>
                <c:pt idx="0">
                  <c:v>              PROJETOS  DE PESQUISA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731-4EC8-8274-C76DD5D20B4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731-4EC8-8274-C76DD5D20B4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731-4EC8-8274-C76DD5D20B4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D731-4EC8-8274-C76DD5D20B4D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D731-4EC8-8274-C76DD5D20B4D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731-4EC8-8274-C76DD5D20B4D}"/>
              </c:ext>
            </c:extLst>
          </c:dPt>
          <c:cat>
            <c:strRef>
              <c:f>'2024 Cópia de Cópia de RELATÓRI'!$B$25:$B$30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'2024 Cópia de Cópia de RELATÓRI'!$C$25:$C$30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31-4EC8-8274-C76DD5D2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571-43BB-846B-13ABA724CE7B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3571-43BB-846B-13ABA724CE7B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571-43BB-846B-13ABA724CE7B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3571-43BB-846B-13ABA724CE7B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571-43BB-846B-13ABA724CE7B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571-43BB-846B-13ABA724CE7B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571-43BB-846B-13ABA724CE7B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900" b="1" i="0">
                      <a:solidFill>
                        <a:srgbClr val="FF0000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571-43BB-846B-13ABA724C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RELATÓRI'!$B$1:$B$5</c:f>
              <c:strCache>
                <c:ptCount val="5"/>
                <c:pt idx="0">
                  <c:v>PROJETOS</c:v>
                </c:pt>
                <c:pt idx="1">
                  <c:v>PROJETOS 2023</c:v>
                </c:pt>
                <c:pt idx="2">
                  <c:v>EMENDAS 2023</c:v>
                </c:pt>
                <c:pt idx="3">
                  <c:v>PROJETOS 2022</c:v>
                </c:pt>
                <c:pt idx="4">
                  <c:v>PROJ PENDENC DOC</c:v>
                </c:pt>
              </c:strCache>
            </c:strRef>
          </c:cat>
          <c:val>
            <c:numRef>
              <c:f>'2024 Cópia de Cópia de RELATÓRI'!$C$1:$C$5</c:f>
              <c:numCache>
                <c:formatCode>General</c:formatCode>
                <c:ptCount val="5"/>
                <c:pt idx="0">
                  <c:v>87</c:v>
                </c:pt>
                <c:pt idx="1">
                  <c:v>58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571-43BB-846B-13ABA724C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262716"/>
        <c:axId val="1523013378"/>
      </c:barChart>
      <c:catAx>
        <c:axId val="101226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523013378"/>
        <c:crosses val="autoZero"/>
        <c:auto val="1"/>
        <c:lblAlgn val="ctr"/>
        <c:lblOffset val="100"/>
        <c:noMultiLvlLbl val="1"/>
      </c:catAx>
      <c:valAx>
        <c:axId val="15230133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262716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'2024 Cópia de Cópia de RELATÓRI'!$B$7:$B$18</c:f>
              <c:strCache>
                <c:ptCount val="12"/>
                <c:pt idx="0">
                  <c:v>Projetos tramitados</c:v>
                </c:pt>
                <c:pt idx="1">
                  <c:v>FHEMIG</c:v>
                </c:pt>
                <c:pt idx="2">
                  <c:v>UFMG</c:v>
                </c:pt>
                <c:pt idx="3">
                  <c:v>RENE RACHOU</c:v>
                </c:pt>
                <c:pt idx="4">
                  <c:v>CIÊNCIAS MÉDICAS</c:v>
                </c:pt>
                <c:pt idx="5">
                  <c:v>UNIV FED FLUM</c:v>
                </c:pt>
                <c:pt idx="6">
                  <c:v>Universidade Europea</c:v>
                </c:pt>
                <c:pt idx="7">
                  <c:v>MOINHOS DE VENTO</c:v>
                </c:pt>
                <c:pt idx="8">
                  <c:v>BOTUCATU</c:v>
                </c:pt>
                <c:pt idx="9">
                  <c:v>PUCMINAS</c:v>
                </c:pt>
                <c:pt idx="10">
                  <c:v>EINSTEIN</c:v>
                </c:pt>
                <c:pt idx="11">
                  <c:v>NATIONWIDE CHILF H</c:v>
                </c:pt>
              </c:strCache>
            </c:strRef>
          </c:cat>
          <c:val>
            <c:numRef>
              <c:f>'2024 Cópia de Cópia de RELATÓRI'!$C$7:$C$18</c:f>
              <c:numCache>
                <c:formatCode>General</c:formatCode>
                <c:ptCount val="12"/>
                <c:pt idx="0">
                  <c:v>87</c:v>
                </c:pt>
                <c:pt idx="1">
                  <c:v>68</c:v>
                </c:pt>
                <c:pt idx="2">
                  <c:v>10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0E3-4065-AB1E-8715D000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43108"/>
        <c:axId val="1260339837"/>
      </c:barChart>
      <c:catAx>
        <c:axId val="69643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0339837"/>
        <c:crosses val="autoZero"/>
        <c:auto val="1"/>
        <c:lblAlgn val="ctr"/>
        <c:lblOffset val="100"/>
        <c:noMultiLvlLbl val="1"/>
      </c:catAx>
      <c:valAx>
        <c:axId val="126033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64310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9.7916885389326316E-2"/>
          <c:y val="7.407407407407407E-2"/>
          <c:w val="0.9020831146106737"/>
          <c:h val="0.54991360454943128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'2024 Cópia de Cópia de RELATÓRI'!$B$8:$B$18</c:f>
              <c:strCache>
                <c:ptCount val="11"/>
                <c:pt idx="0">
                  <c:v>FHEMIG</c:v>
                </c:pt>
                <c:pt idx="1">
                  <c:v>UFMG</c:v>
                </c:pt>
                <c:pt idx="2">
                  <c:v>RENE RACHOU</c:v>
                </c:pt>
                <c:pt idx="3">
                  <c:v>CIÊNCIAS MÉDICAS</c:v>
                </c:pt>
                <c:pt idx="4">
                  <c:v>UNIV FED FLUM</c:v>
                </c:pt>
                <c:pt idx="5">
                  <c:v>Universidade Europea</c:v>
                </c:pt>
                <c:pt idx="6">
                  <c:v>MOINHOS DE VENTO</c:v>
                </c:pt>
                <c:pt idx="7">
                  <c:v>BOTUCATU</c:v>
                </c:pt>
                <c:pt idx="8">
                  <c:v>PUCMINAS</c:v>
                </c:pt>
                <c:pt idx="9">
                  <c:v>EINSTEIN</c:v>
                </c:pt>
                <c:pt idx="10">
                  <c:v>NATIONWIDE CHILF H</c:v>
                </c:pt>
              </c:strCache>
            </c:strRef>
          </c:cat>
          <c:val>
            <c:numRef>
              <c:f>'2024 Cópia de Cópia de RELATÓRI'!$C$8:$C$18</c:f>
              <c:numCache>
                <c:formatCode>General</c:formatCode>
                <c:ptCount val="11"/>
                <c:pt idx="0">
                  <c:v>68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B9-4E95-85CD-641D27790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99715"/>
        <c:axId val="2087441638"/>
      </c:barChart>
      <c:catAx>
        <c:axId val="40099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7441638"/>
        <c:crosses val="autoZero"/>
        <c:auto val="1"/>
        <c:lblAlgn val="ctr"/>
        <c:lblOffset val="100"/>
        <c:noMultiLvlLbl val="1"/>
      </c:catAx>
      <c:valAx>
        <c:axId val="208744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09971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              PROJETOS  DE PESQUISA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1" i="0">
                    <a:solidFill>
                      <a:srgbClr val="FFFFFF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RELATÓRI'!$B$25:$B$30</c:f>
              <c:strCache>
                <c:ptCount val="6"/>
                <c:pt idx="0">
                  <c:v>Iniciação Científica</c:v>
                </c:pt>
                <c:pt idx="1">
                  <c:v>TCC</c:v>
                </c:pt>
                <c:pt idx="2">
                  <c:v>TCR</c:v>
                </c:pt>
                <c:pt idx="3">
                  <c:v>Mestrado</c:v>
                </c:pt>
                <c:pt idx="4">
                  <c:v>Doutorado</c:v>
                </c:pt>
                <c:pt idx="5">
                  <c:v>Publicação</c:v>
                </c:pt>
              </c:strCache>
            </c:strRef>
          </c:cat>
          <c:val>
            <c:numRef>
              <c:f>'2024 Cópia de Cópia de RELATÓRI'!$C$25:$C$30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37</c:v>
                </c:pt>
                <c:pt idx="3">
                  <c:v>7</c:v>
                </c:pt>
                <c:pt idx="4">
                  <c:v>2</c:v>
                </c:pt>
                <c:pt idx="5">
                  <c:v>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F4-4089-9B78-8B3E62B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598166"/>
        <c:axId val="93361931"/>
      </c:barChart>
      <c:catAx>
        <c:axId val="702598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93361931"/>
        <c:crosses val="autoZero"/>
        <c:auto val="1"/>
        <c:lblAlgn val="ctr"/>
        <c:lblOffset val="100"/>
        <c:noMultiLvlLbl val="1"/>
      </c:catAx>
      <c:valAx>
        <c:axId val="933619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2598166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Cópia de Cópia de RELATÓRI'!$N$46:$N$50</c:f>
              <c:strCache>
                <c:ptCount val="5"/>
                <c:pt idx="0">
                  <c:v>Aprovados CIP</c:v>
                </c:pt>
                <c:pt idx="1">
                  <c:v>Pendências</c:v>
                </c:pt>
                <c:pt idx="2">
                  <c:v>Reprovados</c:v>
                </c:pt>
                <c:pt idx="3">
                  <c:v>Não se Aplica</c:v>
                </c:pt>
                <c:pt idx="4">
                  <c:v>Pend Doc NEP</c:v>
                </c:pt>
              </c:strCache>
            </c:strRef>
          </c:cat>
          <c:val>
            <c:numRef>
              <c:f>'2024 Cópia de Cópia de RELATÓRI'!$O$46:$O$50</c:f>
              <c:numCache>
                <c:formatCode>General</c:formatCode>
                <c:ptCount val="5"/>
                <c:pt idx="0">
                  <c:v>72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11-4FB6-A2B4-BDEC1D3E0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5558339"/>
        <c:axId val="1618555055"/>
      </c:barChart>
      <c:catAx>
        <c:axId val="1975558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555055"/>
        <c:crosses val="autoZero"/>
        <c:auto val="1"/>
        <c:lblAlgn val="ctr"/>
        <c:lblOffset val="100"/>
        <c:noMultiLvlLbl val="1"/>
      </c:catAx>
      <c:valAx>
        <c:axId val="1618555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55583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A09-42E7-86D4-3537EA3D1ED9}"/>
              </c:ext>
            </c:extLst>
          </c:dPt>
          <c:cat>
            <c:strRef>
              <c:f>'2024 Cópia de Cópia de RELATÓRI'!$B$1:$B$5</c:f>
              <c:strCache>
                <c:ptCount val="5"/>
                <c:pt idx="0">
                  <c:v>PROJETOS</c:v>
                </c:pt>
                <c:pt idx="1">
                  <c:v>PROJETOS 2023</c:v>
                </c:pt>
                <c:pt idx="2">
                  <c:v>EMENDAS 2023</c:v>
                </c:pt>
                <c:pt idx="3">
                  <c:v>PROJETOS 2022</c:v>
                </c:pt>
                <c:pt idx="4">
                  <c:v>PROJ PENDENC DOC</c:v>
                </c:pt>
              </c:strCache>
            </c:strRef>
          </c:cat>
          <c:val>
            <c:numRef>
              <c:f>'2024 Cópia de Cópia de RELATÓRI'!$C$1:$C$5</c:f>
              <c:numCache>
                <c:formatCode>General</c:formatCode>
                <c:ptCount val="5"/>
                <c:pt idx="0">
                  <c:v>87</c:v>
                </c:pt>
                <c:pt idx="1">
                  <c:v>58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A09-42E7-86D4-3537EA3D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077045"/>
        <c:axId val="349423084"/>
      </c:barChart>
      <c:catAx>
        <c:axId val="1322077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9423084"/>
        <c:crosses val="autoZero"/>
        <c:auto val="1"/>
        <c:lblAlgn val="ctr"/>
        <c:lblOffset val="100"/>
        <c:noMultiLvlLbl val="1"/>
      </c:catAx>
      <c:valAx>
        <c:axId val="349423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20770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6.xml"/><Relationship Id="rId7" Type="http://schemas.openxmlformats.org/officeDocument/2006/relationships/image" Target="../media/image2.png"/><Relationship Id="rId12" Type="http://schemas.openxmlformats.org/officeDocument/2006/relationships/chart" Target="../charts/chart24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3.xml"/><Relationship Id="rId5" Type="http://schemas.openxmlformats.org/officeDocument/2006/relationships/chart" Target="../charts/chart18.xml"/><Relationship Id="rId10" Type="http://schemas.openxmlformats.org/officeDocument/2006/relationships/chart" Target="../charts/chart22.xml"/><Relationship Id="rId4" Type="http://schemas.openxmlformats.org/officeDocument/2006/relationships/chart" Target="../charts/chart17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13" Type="http://schemas.openxmlformats.org/officeDocument/2006/relationships/chart" Target="../charts/chart38.xml"/><Relationship Id="rId3" Type="http://schemas.openxmlformats.org/officeDocument/2006/relationships/chart" Target="../charts/chart29.xml"/><Relationship Id="rId7" Type="http://schemas.openxmlformats.org/officeDocument/2006/relationships/image" Target="../media/image2.png"/><Relationship Id="rId12" Type="http://schemas.openxmlformats.org/officeDocument/2006/relationships/chart" Target="../charts/chart37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6.xml"/><Relationship Id="rId5" Type="http://schemas.openxmlformats.org/officeDocument/2006/relationships/chart" Target="../charts/chart31.xml"/><Relationship Id="rId10" Type="http://schemas.openxmlformats.org/officeDocument/2006/relationships/chart" Target="../charts/chart35.xml"/><Relationship Id="rId4" Type="http://schemas.openxmlformats.org/officeDocument/2006/relationships/chart" Target="../charts/chart30.xml"/><Relationship Id="rId9" Type="http://schemas.openxmlformats.org/officeDocument/2006/relationships/chart" Target="../charts/chart34.xml"/><Relationship Id="rId1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100</xdr:row>
      <xdr:rowOff>171450</xdr:rowOff>
    </xdr:from>
    <xdr:ext cx="5715000" cy="3533775"/>
    <xdr:pic>
      <xdr:nvPicPr>
        <xdr:cNvPr id="744893372" name="Chart1" title="Gráfico">
          <a:extLst>
            <a:ext uri="{FF2B5EF4-FFF2-40B4-BE49-F238E27FC236}">
              <a16:creationId xmlns:a16="http://schemas.microsoft.com/office/drawing/2014/main" id="{00000000-0008-0000-0200-0000BC2B662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7</xdr:row>
      <xdr:rowOff>28575</xdr:rowOff>
    </xdr:from>
    <xdr:ext cx="5715000" cy="3533775"/>
    <xdr:graphicFrame macro="">
      <xdr:nvGraphicFramePr>
        <xdr:cNvPr id="546300949" name="Chart 2" title="Gráfico">
          <a:extLst>
            <a:ext uri="{FF2B5EF4-FFF2-40B4-BE49-F238E27FC236}">
              <a16:creationId xmlns:a16="http://schemas.microsoft.com/office/drawing/2014/main" id="{00000000-0008-0000-0600-000015E48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180975</xdr:colOff>
      <xdr:row>24</xdr:row>
      <xdr:rowOff>85725</xdr:rowOff>
    </xdr:from>
    <xdr:ext cx="4543425" cy="2914650"/>
    <xdr:graphicFrame macro="">
      <xdr:nvGraphicFramePr>
        <xdr:cNvPr id="339751510" name="Chart 3">
          <a:extLst>
            <a:ext uri="{FF2B5EF4-FFF2-40B4-BE49-F238E27FC236}">
              <a16:creationId xmlns:a16="http://schemas.microsoft.com/office/drawing/2014/main" id="{00000000-0008-0000-0600-000056324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142875</xdr:colOff>
      <xdr:row>0</xdr:row>
      <xdr:rowOff>257175</xdr:rowOff>
    </xdr:from>
    <xdr:ext cx="4543425" cy="2914650"/>
    <xdr:graphicFrame macro="">
      <xdr:nvGraphicFramePr>
        <xdr:cNvPr id="1722958771" name="Chart 4" title="Gráfico">
          <a:extLst>
            <a:ext uri="{FF2B5EF4-FFF2-40B4-BE49-F238E27FC236}">
              <a16:creationId xmlns:a16="http://schemas.microsoft.com/office/drawing/2014/main" id="{00000000-0008-0000-0600-0000B343B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295275</xdr:colOff>
      <xdr:row>44</xdr:row>
      <xdr:rowOff>123825</xdr:rowOff>
    </xdr:from>
    <xdr:ext cx="4543425" cy="2914650"/>
    <xdr:graphicFrame macro="">
      <xdr:nvGraphicFramePr>
        <xdr:cNvPr id="814909374" name="Chart 5">
          <a:extLst>
            <a:ext uri="{FF2B5EF4-FFF2-40B4-BE49-F238E27FC236}">
              <a16:creationId xmlns:a16="http://schemas.microsoft.com/office/drawing/2014/main" id="{00000000-0008-0000-0600-0000BE879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514350</xdr:colOff>
      <xdr:row>37</xdr:row>
      <xdr:rowOff>47625</xdr:rowOff>
    </xdr:from>
    <xdr:ext cx="4543425" cy="2895600"/>
    <xdr:graphicFrame macro="">
      <xdr:nvGraphicFramePr>
        <xdr:cNvPr id="55202301" name="Chart 6">
          <a:extLst>
            <a:ext uri="{FF2B5EF4-FFF2-40B4-BE49-F238E27FC236}">
              <a16:creationId xmlns:a16="http://schemas.microsoft.com/office/drawing/2014/main" id="{00000000-0008-0000-0600-0000FD514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514350</xdr:colOff>
      <xdr:row>37</xdr:row>
      <xdr:rowOff>47625</xdr:rowOff>
    </xdr:from>
    <xdr:ext cx="4543425" cy="2895600"/>
    <xdr:graphicFrame macro="">
      <xdr:nvGraphicFramePr>
        <xdr:cNvPr id="189671488" name="Chart 7">
          <a:extLst>
            <a:ext uri="{FF2B5EF4-FFF2-40B4-BE49-F238E27FC236}">
              <a16:creationId xmlns:a16="http://schemas.microsoft.com/office/drawing/2014/main" id="{00000000-0008-0000-0600-000040284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7</xdr:row>
      <xdr:rowOff>28575</xdr:rowOff>
    </xdr:from>
    <xdr:ext cx="5715000" cy="3533775"/>
    <xdr:graphicFrame macro="">
      <xdr:nvGraphicFramePr>
        <xdr:cNvPr id="795583156" name="Chart 8" title="Gráfico">
          <a:extLst>
            <a:ext uri="{FF2B5EF4-FFF2-40B4-BE49-F238E27FC236}">
              <a16:creationId xmlns:a16="http://schemas.microsoft.com/office/drawing/2014/main" id="{00000000-0008-0000-0700-0000B4A26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180975</xdr:colOff>
      <xdr:row>24</xdr:row>
      <xdr:rowOff>85725</xdr:rowOff>
    </xdr:from>
    <xdr:ext cx="4543425" cy="2914650"/>
    <xdr:graphicFrame macro="">
      <xdr:nvGraphicFramePr>
        <xdr:cNvPr id="1008813927" name="Chart 9">
          <a:extLst>
            <a:ext uri="{FF2B5EF4-FFF2-40B4-BE49-F238E27FC236}">
              <a16:creationId xmlns:a16="http://schemas.microsoft.com/office/drawing/2014/main" id="{00000000-0008-0000-0700-000067472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323850</xdr:colOff>
      <xdr:row>0</xdr:row>
      <xdr:rowOff>314325</xdr:rowOff>
    </xdr:from>
    <xdr:ext cx="4543425" cy="3162300"/>
    <xdr:graphicFrame macro="">
      <xdr:nvGraphicFramePr>
        <xdr:cNvPr id="1511027157" name="Chart 10" title="Gráfico">
          <a:extLst>
            <a:ext uri="{FF2B5EF4-FFF2-40B4-BE49-F238E27FC236}">
              <a16:creationId xmlns:a16="http://schemas.microsoft.com/office/drawing/2014/main" id="{00000000-0008-0000-0700-0000D5711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142875</xdr:colOff>
      <xdr:row>0</xdr:row>
      <xdr:rowOff>257175</xdr:rowOff>
    </xdr:from>
    <xdr:ext cx="4543425" cy="2914650"/>
    <xdr:graphicFrame macro="">
      <xdr:nvGraphicFramePr>
        <xdr:cNvPr id="502731693" name="Chart 11" title="Gráfico">
          <a:extLst>
            <a:ext uri="{FF2B5EF4-FFF2-40B4-BE49-F238E27FC236}">
              <a16:creationId xmlns:a16="http://schemas.microsoft.com/office/drawing/2014/main" id="{00000000-0008-0000-0700-0000AD13F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295275</xdr:colOff>
      <xdr:row>44</xdr:row>
      <xdr:rowOff>123825</xdr:rowOff>
    </xdr:from>
    <xdr:ext cx="4543425" cy="2914650"/>
    <xdr:graphicFrame macro="">
      <xdr:nvGraphicFramePr>
        <xdr:cNvPr id="999517759" name="Chart 12">
          <a:extLst>
            <a:ext uri="{FF2B5EF4-FFF2-40B4-BE49-F238E27FC236}">
              <a16:creationId xmlns:a16="http://schemas.microsoft.com/office/drawing/2014/main" id="{00000000-0008-0000-0700-00003F6E9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514350</xdr:colOff>
      <xdr:row>37</xdr:row>
      <xdr:rowOff>47625</xdr:rowOff>
    </xdr:from>
    <xdr:ext cx="4543425" cy="2895600"/>
    <xdr:graphicFrame macro="">
      <xdr:nvGraphicFramePr>
        <xdr:cNvPr id="462434850" name="Chart 13">
          <a:extLst>
            <a:ext uri="{FF2B5EF4-FFF2-40B4-BE49-F238E27FC236}">
              <a16:creationId xmlns:a16="http://schemas.microsoft.com/office/drawing/2014/main" id="{00000000-0008-0000-0700-000022329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</xdr:col>
      <xdr:colOff>514350</xdr:colOff>
      <xdr:row>37</xdr:row>
      <xdr:rowOff>47625</xdr:rowOff>
    </xdr:from>
    <xdr:ext cx="4543425" cy="2895600"/>
    <xdr:graphicFrame macro="">
      <xdr:nvGraphicFramePr>
        <xdr:cNvPr id="675735482" name="Chart 14">
          <a:extLst>
            <a:ext uri="{FF2B5EF4-FFF2-40B4-BE49-F238E27FC236}">
              <a16:creationId xmlns:a16="http://schemas.microsoft.com/office/drawing/2014/main" id="{00000000-0008-0000-0700-0000BAE74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619125</xdr:colOff>
      <xdr:row>23</xdr:row>
      <xdr:rowOff>142875</xdr:rowOff>
    </xdr:from>
    <xdr:ext cx="3810000" cy="2362200"/>
    <xdr:graphicFrame macro="">
      <xdr:nvGraphicFramePr>
        <xdr:cNvPr id="2098380961" name="Chart 15" title="Gráfico">
          <a:extLst>
            <a:ext uri="{FF2B5EF4-FFF2-40B4-BE49-F238E27FC236}">
              <a16:creationId xmlns:a16="http://schemas.microsoft.com/office/drawing/2014/main" id="{00000000-0008-0000-0800-0000A1C01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323850</xdr:colOff>
      <xdr:row>0</xdr:row>
      <xdr:rowOff>314325</xdr:rowOff>
    </xdr:from>
    <xdr:ext cx="4543425" cy="3162300"/>
    <xdr:graphicFrame macro="">
      <xdr:nvGraphicFramePr>
        <xdr:cNvPr id="917182455" name="Chart 16" title="Gráfico">
          <a:extLst>
            <a:ext uri="{FF2B5EF4-FFF2-40B4-BE49-F238E27FC236}">
              <a16:creationId xmlns:a16="http://schemas.microsoft.com/office/drawing/2014/main" id="{00000000-0008-0000-0800-0000F717A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361950</xdr:colOff>
      <xdr:row>33</xdr:row>
      <xdr:rowOff>133350</xdr:rowOff>
    </xdr:from>
    <xdr:ext cx="4543425" cy="2914650"/>
    <xdr:graphicFrame macro="">
      <xdr:nvGraphicFramePr>
        <xdr:cNvPr id="159724706" name="Chart 17" title="Gráfico">
          <a:extLst>
            <a:ext uri="{FF2B5EF4-FFF2-40B4-BE49-F238E27FC236}">
              <a16:creationId xmlns:a16="http://schemas.microsoft.com/office/drawing/2014/main" id="{00000000-0008-0000-0800-0000A2348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295275</xdr:colOff>
      <xdr:row>47</xdr:row>
      <xdr:rowOff>123825</xdr:rowOff>
    </xdr:from>
    <xdr:ext cx="4543425" cy="2914650"/>
    <xdr:graphicFrame macro="">
      <xdr:nvGraphicFramePr>
        <xdr:cNvPr id="1724043935" name="Chart 18">
          <a:extLst>
            <a:ext uri="{FF2B5EF4-FFF2-40B4-BE49-F238E27FC236}">
              <a16:creationId xmlns:a16="http://schemas.microsoft.com/office/drawing/2014/main" id="{00000000-0008-0000-0800-00009FD2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571500</xdr:colOff>
      <xdr:row>57</xdr:row>
      <xdr:rowOff>95250</xdr:rowOff>
    </xdr:from>
    <xdr:ext cx="4543425" cy="2895600"/>
    <xdr:graphicFrame macro="">
      <xdr:nvGraphicFramePr>
        <xdr:cNvPr id="1136920442" name="Chart 19">
          <a:extLst>
            <a:ext uri="{FF2B5EF4-FFF2-40B4-BE49-F238E27FC236}">
              <a16:creationId xmlns:a16="http://schemas.microsoft.com/office/drawing/2014/main" id="{00000000-0008-0000-0800-00007A07C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638175</xdr:colOff>
      <xdr:row>0</xdr:row>
      <xdr:rowOff>0</xdr:rowOff>
    </xdr:from>
    <xdr:ext cx="3086100" cy="1914525"/>
    <xdr:graphicFrame macro="">
      <xdr:nvGraphicFramePr>
        <xdr:cNvPr id="1715603544" name="Chart 20" title="Gráfico">
          <a:extLst>
            <a:ext uri="{FF2B5EF4-FFF2-40B4-BE49-F238E27FC236}">
              <a16:creationId xmlns:a16="http://schemas.microsoft.com/office/drawing/2014/main" id="{00000000-0008-0000-0800-00005808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11</xdr:col>
      <xdr:colOff>571500</xdr:colOff>
      <xdr:row>2</xdr:row>
      <xdr:rowOff>38100</xdr:rowOff>
    </xdr:from>
    <xdr:ext cx="5715000" cy="3533775"/>
    <xdr:pic>
      <xdr:nvPicPr>
        <xdr:cNvPr id="296485156" name="Chart21" title="Gráfico">
          <a:extLst>
            <a:ext uri="{FF2B5EF4-FFF2-40B4-BE49-F238E27FC236}">
              <a16:creationId xmlns:a16="http://schemas.microsoft.com/office/drawing/2014/main" id="{00000000-0008-0000-0800-00002401AC1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17</xdr:row>
      <xdr:rowOff>66675</xdr:rowOff>
    </xdr:from>
    <xdr:ext cx="5715000" cy="3533775"/>
    <xdr:graphicFrame macro="">
      <xdr:nvGraphicFramePr>
        <xdr:cNvPr id="1644295368" name="Chart 22" title="Gráfico">
          <a:extLst>
            <a:ext uri="{FF2B5EF4-FFF2-40B4-BE49-F238E27FC236}">
              <a16:creationId xmlns:a16="http://schemas.microsoft.com/office/drawing/2014/main" id="{00000000-0008-0000-0800-0000C8F40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371475</xdr:colOff>
      <xdr:row>35</xdr:row>
      <xdr:rowOff>133350</xdr:rowOff>
    </xdr:from>
    <xdr:ext cx="4562475" cy="2867025"/>
    <xdr:graphicFrame macro="">
      <xdr:nvGraphicFramePr>
        <xdr:cNvPr id="1449057549" name="Chart 23" title="Gráfico">
          <a:extLst>
            <a:ext uri="{FF2B5EF4-FFF2-40B4-BE49-F238E27FC236}">
              <a16:creationId xmlns:a16="http://schemas.microsoft.com/office/drawing/2014/main" id="{00000000-0008-0000-0800-00000DDD5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14</xdr:col>
      <xdr:colOff>142875</xdr:colOff>
      <xdr:row>20</xdr:row>
      <xdr:rowOff>114300</xdr:rowOff>
    </xdr:from>
    <xdr:ext cx="4552950" cy="2867025"/>
    <xdr:graphicFrame macro="">
      <xdr:nvGraphicFramePr>
        <xdr:cNvPr id="995356375" name="Chart 24">
          <a:extLst>
            <a:ext uri="{FF2B5EF4-FFF2-40B4-BE49-F238E27FC236}">
              <a16:creationId xmlns:a16="http://schemas.microsoft.com/office/drawing/2014/main" id="{00000000-0008-0000-0800-0000D7EE5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</xdr:col>
      <xdr:colOff>923925</xdr:colOff>
      <xdr:row>37</xdr:row>
      <xdr:rowOff>114300</xdr:rowOff>
    </xdr:from>
    <xdr:ext cx="4552950" cy="2857500"/>
    <xdr:graphicFrame macro="">
      <xdr:nvGraphicFramePr>
        <xdr:cNvPr id="782883922" name="Chart 25" title="Gráfico">
          <a:extLst>
            <a:ext uri="{FF2B5EF4-FFF2-40B4-BE49-F238E27FC236}">
              <a16:creationId xmlns:a16="http://schemas.microsoft.com/office/drawing/2014/main" id="{00000000-0008-0000-0800-000052DCA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0</xdr:col>
      <xdr:colOff>200025</xdr:colOff>
      <xdr:row>30</xdr:row>
      <xdr:rowOff>0</xdr:rowOff>
    </xdr:from>
    <xdr:ext cx="4562475" cy="2867025"/>
    <xdr:graphicFrame macro="">
      <xdr:nvGraphicFramePr>
        <xdr:cNvPr id="909736455" name="Chart 26" title="Gráfico">
          <a:extLst>
            <a:ext uri="{FF2B5EF4-FFF2-40B4-BE49-F238E27FC236}">
              <a16:creationId xmlns:a16="http://schemas.microsoft.com/office/drawing/2014/main" id="{00000000-0008-0000-0800-0000077A3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13</xdr:col>
      <xdr:colOff>752475</xdr:colOff>
      <xdr:row>33</xdr:row>
      <xdr:rowOff>161925</xdr:rowOff>
    </xdr:from>
    <xdr:ext cx="4810125" cy="2857500"/>
    <xdr:graphicFrame macro="">
      <xdr:nvGraphicFramePr>
        <xdr:cNvPr id="1506676356" name="Chart 27" title="Gráfico">
          <a:extLst>
            <a:ext uri="{FF2B5EF4-FFF2-40B4-BE49-F238E27FC236}">
              <a16:creationId xmlns:a16="http://schemas.microsoft.com/office/drawing/2014/main" id="{00000000-0008-0000-0800-0000840EC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8</xdr:col>
      <xdr:colOff>838200</xdr:colOff>
      <xdr:row>0</xdr:row>
      <xdr:rowOff>0</xdr:rowOff>
    </xdr:from>
    <xdr:ext cx="5715000" cy="3533775"/>
    <xdr:graphicFrame macro="">
      <xdr:nvGraphicFramePr>
        <xdr:cNvPr id="1706851796" name="Chart 28" title="Gráfico">
          <a:extLst>
            <a:ext uri="{FF2B5EF4-FFF2-40B4-BE49-F238E27FC236}">
              <a16:creationId xmlns:a16="http://schemas.microsoft.com/office/drawing/2014/main" id="{00000000-0008-0000-0800-0000D47D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285750</xdr:colOff>
      <xdr:row>13</xdr:row>
      <xdr:rowOff>123825</xdr:rowOff>
    </xdr:from>
    <xdr:ext cx="3810000" cy="2362200"/>
    <xdr:graphicFrame macro="">
      <xdr:nvGraphicFramePr>
        <xdr:cNvPr id="1977683314" name="Chart 29" title="Gráfico">
          <a:extLst>
            <a:ext uri="{FF2B5EF4-FFF2-40B4-BE49-F238E27FC236}">
              <a16:creationId xmlns:a16="http://schemas.microsoft.com/office/drawing/2014/main" id="{00000000-0008-0000-0C00-0000720DE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323850</xdr:colOff>
      <xdr:row>0</xdr:row>
      <xdr:rowOff>314325</xdr:rowOff>
    </xdr:from>
    <xdr:ext cx="4543425" cy="3162300"/>
    <xdr:graphicFrame macro="">
      <xdr:nvGraphicFramePr>
        <xdr:cNvPr id="1536726355" name="Chart 30" title="Gráfico">
          <a:extLst>
            <a:ext uri="{FF2B5EF4-FFF2-40B4-BE49-F238E27FC236}">
              <a16:creationId xmlns:a16="http://schemas.microsoft.com/office/drawing/2014/main" id="{00000000-0008-0000-0C00-000053959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838200</xdr:colOff>
      <xdr:row>19</xdr:row>
      <xdr:rowOff>171450</xdr:rowOff>
    </xdr:from>
    <xdr:ext cx="4543425" cy="2914650"/>
    <xdr:graphicFrame macro="">
      <xdr:nvGraphicFramePr>
        <xdr:cNvPr id="1121653870" name="Chart 31" title="Gráfico">
          <a:extLst>
            <a:ext uri="{FF2B5EF4-FFF2-40B4-BE49-F238E27FC236}">
              <a16:creationId xmlns:a16="http://schemas.microsoft.com/office/drawing/2014/main" id="{00000000-0008-0000-0C00-00006E14D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295275</xdr:colOff>
      <xdr:row>47</xdr:row>
      <xdr:rowOff>123825</xdr:rowOff>
    </xdr:from>
    <xdr:ext cx="4543425" cy="2914650"/>
    <xdr:graphicFrame macro="">
      <xdr:nvGraphicFramePr>
        <xdr:cNvPr id="1860023241" name="Chart 32">
          <a:extLst>
            <a:ext uri="{FF2B5EF4-FFF2-40B4-BE49-F238E27FC236}">
              <a16:creationId xmlns:a16="http://schemas.microsoft.com/office/drawing/2014/main" id="{00000000-0008-0000-0C00-0000C9B3D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571500</xdr:colOff>
      <xdr:row>57</xdr:row>
      <xdr:rowOff>95250</xdr:rowOff>
    </xdr:from>
    <xdr:ext cx="4543425" cy="2895600"/>
    <xdr:graphicFrame macro="">
      <xdr:nvGraphicFramePr>
        <xdr:cNvPr id="982086893" name="Chart 33">
          <a:extLst>
            <a:ext uri="{FF2B5EF4-FFF2-40B4-BE49-F238E27FC236}">
              <a16:creationId xmlns:a16="http://schemas.microsoft.com/office/drawing/2014/main" id="{00000000-0008-0000-0C00-0000ED748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638175</xdr:colOff>
      <xdr:row>0</xdr:row>
      <xdr:rowOff>0</xdr:rowOff>
    </xdr:from>
    <xdr:ext cx="3086100" cy="1914525"/>
    <xdr:graphicFrame macro="">
      <xdr:nvGraphicFramePr>
        <xdr:cNvPr id="1951433565" name="Chart 34" title="Gráfico">
          <a:extLst>
            <a:ext uri="{FF2B5EF4-FFF2-40B4-BE49-F238E27FC236}">
              <a16:creationId xmlns:a16="http://schemas.microsoft.com/office/drawing/2014/main" id="{00000000-0008-0000-0C00-00005D835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11</xdr:col>
      <xdr:colOff>571500</xdr:colOff>
      <xdr:row>2</xdr:row>
      <xdr:rowOff>38100</xdr:rowOff>
    </xdr:from>
    <xdr:ext cx="5715000" cy="3533775"/>
    <xdr:pic>
      <xdr:nvPicPr>
        <xdr:cNvPr id="534766242" name="Chart35" title="Gráfico">
          <a:extLst>
            <a:ext uri="{FF2B5EF4-FFF2-40B4-BE49-F238E27FC236}">
              <a16:creationId xmlns:a16="http://schemas.microsoft.com/office/drawing/2014/main" id="{00000000-0008-0000-0C00-0000A2E2DF1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7</xdr:row>
      <xdr:rowOff>152400</xdr:rowOff>
    </xdr:from>
    <xdr:ext cx="5715000" cy="3533775"/>
    <xdr:graphicFrame macro="">
      <xdr:nvGraphicFramePr>
        <xdr:cNvPr id="1119755892" name="Chart 36" title="Gráfico">
          <a:extLst>
            <a:ext uri="{FF2B5EF4-FFF2-40B4-BE49-F238E27FC236}">
              <a16:creationId xmlns:a16="http://schemas.microsoft.com/office/drawing/2014/main" id="{00000000-0008-0000-0C00-0000741EB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6</xdr:col>
      <xdr:colOff>571500</xdr:colOff>
      <xdr:row>11</xdr:row>
      <xdr:rowOff>171450</xdr:rowOff>
    </xdr:from>
    <xdr:ext cx="4562475" cy="2867025"/>
    <xdr:graphicFrame macro="">
      <xdr:nvGraphicFramePr>
        <xdr:cNvPr id="2017827360" name="Chart 37">
          <a:extLst>
            <a:ext uri="{FF2B5EF4-FFF2-40B4-BE49-F238E27FC236}">
              <a16:creationId xmlns:a16="http://schemas.microsoft.com/office/drawing/2014/main" id="{00000000-0008-0000-0C00-0000209A4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14</xdr:col>
      <xdr:colOff>142875</xdr:colOff>
      <xdr:row>20</xdr:row>
      <xdr:rowOff>114300</xdr:rowOff>
    </xdr:from>
    <xdr:ext cx="4552950" cy="2867025"/>
    <xdr:graphicFrame macro="">
      <xdr:nvGraphicFramePr>
        <xdr:cNvPr id="1454393322" name="Chart 38">
          <a:extLst>
            <a:ext uri="{FF2B5EF4-FFF2-40B4-BE49-F238E27FC236}">
              <a16:creationId xmlns:a16="http://schemas.microsoft.com/office/drawing/2014/main" id="{00000000-0008-0000-0C00-0000EA47B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4</xdr:col>
      <xdr:colOff>228600</xdr:colOff>
      <xdr:row>21</xdr:row>
      <xdr:rowOff>19050</xdr:rowOff>
    </xdr:from>
    <xdr:ext cx="4552950" cy="2857500"/>
    <xdr:graphicFrame macro="">
      <xdr:nvGraphicFramePr>
        <xdr:cNvPr id="1060278183" name="Chart 39">
          <a:extLst>
            <a:ext uri="{FF2B5EF4-FFF2-40B4-BE49-F238E27FC236}">
              <a16:creationId xmlns:a16="http://schemas.microsoft.com/office/drawing/2014/main" id="{00000000-0008-0000-0C00-0000A78F3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5</xdr:col>
      <xdr:colOff>885825</xdr:colOff>
      <xdr:row>15</xdr:row>
      <xdr:rowOff>38100</xdr:rowOff>
    </xdr:from>
    <xdr:ext cx="4562475" cy="2867025"/>
    <xdr:graphicFrame macro="">
      <xdr:nvGraphicFramePr>
        <xdr:cNvPr id="686331307" name="Chart 40" title="Gráfico">
          <a:extLst>
            <a:ext uri="{FF2B5EF4-FFF2-40B4-BE49-F238E27FC236}">
              <a16:creationId xmlns:a16="http://schemas.microsoft.com/office/drawing/2014/main" id="{00000000-0008-0000-0C00-0000AB95E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12</xdr:col>
      <xdr:colOff>142875</xdr:colOff>
      <xdr:row>20</xdr:row>
      <xdr:rowOff>0</xdr:rowOff>
    </xdr:from>
    <xdr:ext cx="4810125" cy="2857500"/>
    <xdr:graphicFrame macro="">
      <xdr:nvGraphicFramePr>
        <xdr:cNvPr id="258704497" name="Chart 41">
          <a:extLst>
            <a:ext uri="{FF2B5EF4-FFF2-40B4-BE49-F238E27FC236}">
              <a16:creationId xmlns:a16="http://schemas.microsoft.com/office/drawing/2014/main" id="{00000000-0008-0000-0C00-000071846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8</xdr:col>
      <xdr:colOff>838200</xdr:colOff>
      <xdr:row>0</xdr:row>
      <xdr:rowOff>0</xdr:rowOff>
    </xdr:from>
    <xdr:ext cx="5715000" cy="3533775"/>
    <xdr:graphicFrame macro="">
      <xdr:nvGraphicFramePr>
        <xdr:cNvPr id="776805061" name="Chart 42" title="Gráfico">
          <a:extLst>
            <a:ext uri="{FF2B5EF4-FFF2-40B4-BE49-F238E27FC236}">
              <a16:creationId xmlns:a16="http://schemas.microsoft.com/office/drawing/2014/main" id="{00000000-0008-0000-0C00-0000C51A4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s.google.com/spreadsheets/d/1p8pqfAlz7GIEkBVDGu2odf37bxFayOF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PESQ 2024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luluco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Muz1q4kGPPd6HNq68" TargetMode="External"/><Relationship Id="rId1" Type="http://schemas.openxmlformats.org/officeDocument/2006/relationships/hyperlink" Target="https://docs.google.com/document/u/0/d/1aGGXR2-9ViEndL0biBGbZCozQMK4cFGZLV_3JzYS_fY/edi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8"/>
  <sheetViews>
    <sheetView workbookViewId="0">
      <pane xSplit="11" ySplit="1" topLeftCell="L2" activePane="bottomRight" state="frozen"/>
      <selection pane="bottomRight" activeCell="L2" sqref="L2"/>
      <selection pane="bottomLeft" activeCell="A2" sqref="A2"/>
      <selection pane="topRight" activeCell="L1" sqref="L1"/>
    </sheetView>
  </sheetViews>
  <sheetFormatPr defaultColWidth="12.5703125" defaultRowHeight="15" customHeight="1"/>
  <cols>
    <col min="1" max="1" width="12.7109375" customWidth="1"/>
    <col min="2" max="2" width="9.140625" customWidth="1"/>
    <col min="3" max="3" width="9.42578125" customWidth="1"/>
    <col min="4" max="4" width="26.28515625" customWidth="1"/>
    <col min="6" max="6" width="9.42578125" customWidth="1"/>
    <col min="7" max="7" width="11.85546875" customWidth="1"/>
    <col min="8" max="8" width="12.28515625" customWidth="1"/>
    <col min="9" max="10" width="11.5703125" customWidth="1"/>
    <col min="11" max="11" width="14.5703125" customWidth="1"/>
    <col min="12" max="12" width="11.42578125" customWidth="1"/>
    <col min="13" max="13" width="10.5703125" customWidth="1"/>
    <col min="15" max="15" width="12.42578125" customWidth="1"/>
    <col min="19" max="19" width="16.42578125" customWidth="1"/>
    <col min="20" max="20" width="20.5703125" customWidth="1"/>
    <col min="21" max="21" width="15.42578125" customWidth="1"/>
    <col min="22" max="22" width="12.42578125" customWidth="1"/>
    <col min="23" max="23" width="15.42578125" customWidth="1"/>
    <col min="24" max="24" width="11.7109375" customWidth="1"/>
    <col min="27" max="27" width="15.28515625" customWidth="1"/>
    <col min="28" max="29" width="20.5703125" customWidth="1"/>
  </cols>
  <sheetData>
    <row r="1" spans="1:29" ht="95.2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7" t="s">
        <v>10</v>
      </c>
      <c r="L1" s="10" t="s">
        <v>11</v>
      </c>
      <c r="M1" s="10" t="s">
        <v>12</v>
      </c>
      <c r="N1" s="11" t="s">
        <v>13</v>
      </c>
      <c r="O1" s="10" t="s">
        <v>14</v>
      </c>
      <c r="P1" s="10" t="s">
        <v>15</v>
      </c>
      <c r="Q1" s="12" t="s">
        <v>16</v>
      </c>
      <c r="R1" s="13" t="s">
        <v>17</v>
      </c>
      <c r="S1" s="10" t="s">
        <v>18</v>
      </c>
      <c r="T1" s="14" t="s">
        <v>19</v>
      </c>
      <c r="U1" s="7" t="s">
        <v>20</v>
      </c>
      <c r="V1" s="15" t="s">
        <v>21</v>
      </c>
      <c r="W1" s="7" t="s">
        <v>22</v>
      </c>
      <c r="X1" s="10" t="s">
        <v>23</v>
      </c>
      <c r="Y1" s="16" t="s">
        <v>24</v>
      </c>
      <c r="Z1" s="16" t="s">
        <v>25</v>
      </c>
      <c r="AA1" s="10" t="s">
        <v>26</v>
      </c>
      <c r="AB1" s="17" t="s">
        <v>27</v>
      </c>
      <c r="AC1" s="17" t="s">
        <v>28</v>
      </c>
    </row>
    <row r="2" spans="1:29" ht="54" customHeight="1">
      <c r="A2" s="18" t="s">
        <v>29</v>
      </c>
      <c r="B2" s="19" t="s">
        <v>30</v>
      </c>
      <c r="C2" s="6"/>
      <c r="D2" s="20" t="s">
        <v>31</v>
      </c>
      <c r="E2" s="21" t="s">
        <v>32</v>
      </c>
      <c r="F2" s="22">
        <v>44616</v>
      </c>
      <c r="G2" s="18" t="s">
        <v>33</v>
      </c>
      <c r="H2" s="18" t="s">
        <v>34</v>
      </c>
      <c r="I2" s="23" t="s">
        <v>35</v>
      </c>
      <c r="J2" s="18" t="s">
        <v>36</v>
      </c>
      <c r="K2" s="24" t="s">
        <v>37</v>
      </c>
      <c r="L2" s="18" t="s">
        <v>38</v>
      </c>
      <c r="M2" s="18" t="s">
        <v>39</v>
      </c>
      <c r="N2" s="18" t="s">
        <v>39</v>
      </c>
      <c r="O2" s="18"/>
      <c r="P2" s="22">
        <v>45346</v>
      </c>
      <c r="Q2" s="18"/>
      <c r="R2" s="13">
        <f t="shared" ref="R2:R114" si="0">(P:P-F:F)+1</f>
        <v>731</v>
      </c>
      <c r="S2" s="18" t="s">
        <v>40</v>
      </c>
      <c r="T2" s="18" t="s">
        <v>41</v>
      </c>
      <c r="U2" s="18" t="s">
        <v>42</v>
      </c>
      <c r="V2" s="15" t="s">
        <v>43</v>
      </c>
      <c r="W2" s="18" t="s">
        <v>44</v>
      </c>
      <c r="X2" s="18" t="s">
        <v>45</v>
      </c>
      <c r="Y2" s="22" t="s">
        <v>39</v>
      </c>
      <c r="Z2" s="22" t="s">
        <v>39</v>
      </c>
      <c r="AA2" s="18" t="s">
        <v>39</v>
      </c>
      <c r="AB2" s="18"/>
      <c r="AC2" s="18"/>
    </row>
    <row r="3" spans="1:29" ht="54" customHeight="1">
      <c r="A3" s="25" t="s">
        <v>46</v>
      </c>
      <c r="B3" s="19" t="s">
        <v>47</v>
      </c>
      <c r="C3" s="26" t="s">
        <v>48</v>
      </c>
      <c r="D3" s="27" t="s">
        <v>49</v>
      </c>
      <c r="E3" s="28" t="s">
        <v>50</v>
      </c>
      <c r="F3" s="29">
        <v>45246</v>
      </c>
      <c r="G3" s="25" t="s">
        <v>51</v>
      </c>
      <c r="H3" s="30" t="s">
        <v>34</v>
      </c>
      <c r="I3" s="31" t="s">
        <v>52</v>
      </c>
      <c r="J3" s="18" t="s">
        <v>53</v>
      </c>
      <c r="K3" s="32" t="s">
        <v>54</v>
      </c>
      <c r="L3" s="30" t="s">
        <v>55</v>
      </c>
      <c r="M3" s="33">
        <v>45289</v>
      </c>
      <c r="N3" s="34">
        <v>45293</v>
      </c>
      <c r="O3" s="30" t="s">
        <v>56</v>
      </c>
      <c r="P3" s="29">
        <v>45594</v>
      </c>
      <c r="Q3" s="18"/>
      <c r="R3" s="13">
        <f t="shared" si="0"/>
        <v>349</v>
      </c>
      <c r="S3" s="18" t="s">
        <v>40</v>
      </c>
      <c r="T3" s="30" t="s">
        <v>57</v>
      </c>
      <c r="U3" s="30" t="s">
        <v>58</v>
      </c>
      <c r="V3" s="15" t="s">
        <v>59</v>
      </c>
      <c r="W3" s="25" t="s">
        <v>60</v>
      </c>
      <c r="X3" s="30" t="s">
        <v>45</v>
      </c>
      <c r="Y3" s="29">
        <v>45250</v>
      </c>
      <c r="Z3" s="29">
        <v>45246</v>
      </c>
      <c r="AA3" s="29">
        <v>45289</v>
      </c>
      <c r="AB3" s="30"/>
      <c r="AC3" s="30"/>
    </row>
    <row r="4" spans="1:29" ht="51.75" customHeight="1">
      <c r="A4" s="25" t="s">
        <v>29</v>
      </c>
      <c r="B4" s="19" t="s">
        <v>61</v>
      </c>
      <c r="C4" s="6"/>
      <c r="D4" s="27" t="s">
        <v>62</v>
      </c>
      <c r="E4" s="28" t="s">
        <v>63</v>
      </c>
      <c r="F4" s="29">
        <v>45254</v>
      </c>
      <c r="G4" s="25" t="s">
        <v>64</v>
      </c>
      <c r="H4" s="30" t="s">
        <v>65</v>
      </c>
      <c r="I4" s="31" t="s">
        <v>66</v>
      </c>
      <c r="J4" s="18" t="s">
        <v>36</v>
      </c>
      <c r="K4" s="32" t="s">
        <v>67</v>
      </c>
      <c r="L4" s="30" t="s">
        <v>68</v>
      </c>
      <c r="M4" s="33">
        <v>45308</v>
      </c>
      <c r="N4" s="34">
        <v>45309</v>
      </c>
      <c r="O4" s="30"/>
      <c r="P4" s="29">
        <v>45320</v>
      </c>
      <c r="Q4" s="18"/>
      <c r="R4" s="13">
        <f t="shared" si="0"/>
        <v>67</v>
      </c>
      <c r="S4" s="18" t="s">
        <v>69</v>
      </c>
      <c r="T4" s="30" t="s">
        <v>70</v>
      </c>
      <c r="U4" s="30" t="s">
        <v>42</v>
      </c>
      <c r="V4" s="15" t="s">
        <v>43</v>
      </c>
      <c r="W4" s="25" t="s">
        <v>71</v>
      </c>
      <c r="X4" s="30" t="s">
        <v>72</v>
      </c>
      <c r="Y4" s="29">
        <v>45271</v>
      </c>
      <c r="Z4" s="29">
        <v>45272</v>
      </c>
      <c r="AA4" s="29">
        <v>45308</v>
      </c>
      <c r="AB4" s="30"/>
      <c r="AC4" s="30"/>
    </row>
    <row r="5" spans="1:29" ht="72">
      <c r="A5" s="25" t="s">
        <v>73</v>
      </c>
      <c r="B5" s="19">
        <v>49</v>
      </c>
      <c r="C5" s="6"/>
      <c r="D5" s="27" t="s">
        <v>74</v>
      </c>
      <c r="E5" s="35" t="s">
        <v>75</v>
      </c>
      <c r="F5" s="34">
        <v>45328</v>
      </c>
      <c r="G5" s="36" t="s">
        <v>76</v>
      </c>
      <c r="H5" s="30" t="s">
        <v>65</v>
      </c>
      <c r="I5" s="31" t="s">
        <v>77</v>
      </c>
      <c r="J5" s="18" t="s">
        <v>36</v>
      </c>
      <c r="K5" s="32" t="s">
        <v>78</v>
      </c>
      <c r="L5" s="30" t="s">
        <v>55</v>
      </c>
      <c r="M5" s="33">
        <v>45364</v>
      </c>
      <c r="N5" s="37">
        <v>45364</v>
      </c>
      <c r="O5" s="38" t="s">
        <v>56</v>
      </c>
      <c r="P5" s="34">
        <v>45448</v>
      </c>
      <c r="Q5" s="18"/>
      <c r="R5" s="13">
        <f t="shared" si="0"/>
        <v>121</v>
      </c>
      <c r="S5" s="18" t="s">
        <v>69</v>
      </c>
      <c r="T5" s="39"/>
      <c r="U5" s="30" t="s">
        <v>79</v>
      </c>
      <c r="V5" s="15" t="s">
        <v>80</v>
      </c>
      <c r="W5" s="25" t="s">
        <v>81</v>
      </c>
      <c r="X5" s="25" t="s">
        <v>82</v>
      </c>
      <c r="Y5" s="37">
        <v>45330</v>
      </c>
      <c r="Z5" s="34">
        <v>45334</v>
      </c>
      <c r="AA5" s="37">
        <v>45364</v>
      </c>
      <c r="AB5" s="39"/>
      <c r="AC5" s="39"/>
    </row>
    <row r="6" spans="1:29" ht="38.25">
      <c r="A6" s="25" t="s">
        <v>83</v>
      </c>
      <c r="B6" s="19"/>
      <c r="C6" s="6"/>
      <c r="D6" s="40" t="s">
        <v>84</v>
      </c>
      <c r="E6" s="35" t="s">
        <v>85</v>
      </c>
      <c r="F6" s="34">
        <v>45337</v>
      </c>
      <c r="G6" s="25" t="s">
        <v>86</v>
      </c>
      <c r="H6" s="30" t="s">
        <v>34</v>
      </c>
      <c r="I6" s="31" t="s">
        <v>35</v>
      </c>
      <c r="J6" s="18" t="s">
        <v>53</v>
      </c>
      <c r="K6" s="32" t="s">
        <v>78</v>
      </c>
      <c r="L6" s="30" t="s">
        <v>55</v>
      </c>
      <c r="M6" s="34">
        <v>45350</v>
      </c>
      <c r="N6" s="37">
        <v>45350</v>
      </c>
      <c r="O6" s="25"/>
      <c r="P6" s="25" t="s">
        <v>87</v>
      </c>
      <c r="Q6" s="18"/>
      <c r="R6" s="13" t="e">
        <f t="shared" si="0"/>
        <v>#VALUE!</v>
      </c>
      <c r="S6" s="18" t="s">
        <v>88</v>
      </c>
      <c r="T6" s="39"/>
      <c r="U6" s="30" t="s">
        <v>89</v>
      </c>
      <c r="V6" s="15" t="s">
        <v>90</v>
      </c>
      <c r="W6" s="25" t="s">
        <v>29</v>
      </c>
      <c r="X6" s="41" t="s">
        <v>45</v>
      </c>
      <c r="Y6" s="34">
        <v>45338</v>
      </c>
      <c r="Z6" s="34">
        <v>45338</v>
      </c>
      <c r="AA6" s="37">
        <v>45343</v>
      </c>
      <c r="AB6" s="39"/>
      <c r="AC6" s="39"/>
    </row>
    <row r="7" spans="1:29" ht="51">
      <c r="A7" s="30"/>
      <c r="B7" s="19">
        <v>7</v>
      </c>
      <c r="C7" s="6"/>
      <c r="D7" s="40" t="s">
        <v>91</v>
      </c>
      <c r="E7" s="35" t="s">
        <v>92</v>
      </c>
      <c r="F7" s="34">
        <v>45330</v>
      </c>
      <c r="G7" s="25" t="s">
        <v>86</v>
      </c>
      <c r="H7" s="30" t="s">
        <v>34</v>
      </c>
      <c r="I7" s="31" t="s">
        <v>35</v>
      </c>
      <c r="J7" s="18" t="s">
        <v>53</v>
      </c>
      <c r="K7" s="32" t="s">
        <v>78</v>
      </c>
      <c r="L7" s="30" t="s">
        <v>55</v>
      </c>
      <c r="M7" s="34">
        <v>45350</v>
      </c>
      <c r="N7" s="37">
        <v>45350</v>
      </c>
      <c r="O7" s="25"/>
      <c r="P7" s="34">
        <v>45394</v>
      </c>
      <c r="Q7" s="18"/>
      <c r="R7" s="13">
        <f t="shared" si="0"/>
        <v>65</v>
      </c>
      <c r="S7" s="18" t="s">
        <v>88</v>
      </c>
      <c r="T7" s="39"/>
      <c r="U7" s="30" t="s">
        <v>93</v>
      </c>
      <c r="V7" s="42" t="s">
        <v>90</v>
      </c>
      <c r="W7" s="25" t="s">
        <v>29</v>
      </c>
      <c r="X7" s="25" t="s">
        <v>45</v>
      </c>
      <c r="Y7" s="37">
        <v>45338</v>
      </c>
      <c r="Z7" s="34">
        <v>45338</v>
      </c>
      <c r="AA7" s="37">
        <v>45343</v>
      </c>
      <c r="AB7" s="39"/>
      <c r="AC7" s="39"/>
    </row>
    <row r="8" spans="1:29" ht="102">
      <c r="A8" s="25" t="s">
        <v>73</v>
      </c>
      <c r="B8" s="19"/>
      <c r="C8" s="6"/>
      <c r="D8" s="27" t="s">
        <v>94</v>
      </c>
      <c r="E8" s="35" t="s">
        <v>95</v>
      </c>
      <c r="F8" s="34">
        <v>45331</v>
      </c>
      <c r="G8" s="36" t="s">
        <v>96</v>
      </c>
      <c r="H8" s="30" t="s">
        <v>65</v>
      </c>
      <c r="I8" s="31" t="s">
        <v>97</v>
      </c>
      <c r="J8" s="18" t="s">
        <v>36</v>
      </c>
      <c r="K8" s="32" t="s">
        <v>98</v>
      </c>
      <c r="L8" s="30" t="s">
        <v>99</v>
      </c>
      <c r="M8" s="33">
        <v>45370</v>
      </c>
      <c r="N8" s="37">
        <v>45370</v>
      </c>
      <c r="O8" s="25"/>
      <c r="P8" s="34"/>
      <c r="Q8" s="18"/>
      <c r="R8" s="13">
        <f t="shared" si="0"/>
        <v>-45330</v>
      </c>
      <c r="S8" s="18" t="s">
        <v>69</v>
      </c>
      <c r="T8" s="39"/>
      <c r="U8" s="30" t="s">
        <v>79</v>
      </c>
      <c r="V8" s="15" t="s">
        <v>100</v>
      </c>
      <c r="W8" s="25"/>
      <c r="X8" s="43" t="s">
        <v>101</v>
      </c>
      <c r="Y8" s="37">
        <v>45341</v>
      </c>
      <c r="Z8" s="34">
        <v>45341</v>
      </c>
      <c r="AA8" s="37">
        <v>45366</v>
      </c>
      <c r="AB8" s="39"/>
      <c r="AC8" s="39"/>
    </row>
    <row r="9" spans="1:29" ht="51">
      <c r="A9" s="25" t="s">
        <v>83</v>
      </c>
      <c r="B9" s="19"/>
      <c r="C9" s="6"/>
      <c r="D9" s="40" t="s">
        <v>102</v>
      </c>
      <c r="E9" s="35" t="s">
        <v>103</v>
      </c>
      <c r="F9" s="34">
        <v>45337</v>
      </c>
      <c r="G9" s="25" t="s">
        <v>86</v>
      </c>
      <c r="H9" s="30" t="s">
        <v>34</v>
      </c>
      <c r="I9" s="31" t="s">
        <v>35</v>
      </c>
      <c r="J9" s="18" t="s">
        <v>53</v>
      </c>
      <c r="K9" s="32" t="s">
        <v>78</v>
      </c>
      <c r="L9" s="30" t="s">
        <v>55</v>
      </c>
      <c r="M9" s="34">
        <v>45350</v>
      </c>
      <c r="N9" s="37">
        <v>45350</v>
      </c>
      <c r="O9" s="25"/>
      <c r="P9" s="34"/>
      <c r="Q9" s="18"/>
      <c r="R9" s="13">
        <f t="shared" si="0"/>
        <v>-45336</v>
      </c>
      <c r="S9" s="18" t="s">
        <v>88</v>
      </c>
      <c r="T9" s="39"/>
      <c r="U9" s="30" t="s">
        <v>89</v>
      </c>
      <c r="V9" s="15" t="s">
        <v>90</v>
      </c>
      <c r="W9" s="25" t="s">
        <v>29</v>
      </c>
      <c r="X9" s="25" t="s">
        <v>45</v>
      </c>
      <c r="Y9" s="34">
        <v>45338</v>
      </c>
      <c r="Z9" s="34">
        <v>45338</v>
      </c>
      <c r="AA9" s="37">
        <v>45343</v>
      </c>
      <c r="AB9" s="39"/>
      <c r="AC9" s="39"/>
    </row>
    <row r="10" spans="1:29" ht="38.25">
      <c r="A10" s="25" t="s">
        <v>73</v>
      </c>
      <c r="B10" s="19">
        <v>8</v>
      </c>
      <c r="C10" s="6"/>
      <c r="D10" s="44" t="s">
        <v>104</v>
      </c>
      <c r="E10" s="35" t="s">
        <v>105</v>
      </c>
      <c r="F10" s="34">
        <v>45337</v>
      </c>
      <c r="G10" s="25" t="s">
        <v>86</v>
      </c>
      <c r="H10" s="30" t="s">
        <v>34</v>
      </c>
      <c r="I10" s="31" t="s">
        <v>35</v>
      </c>
      <c r="J10" s="18" t="s">
        <v>53</v>
      </c>
      <c r="K10" s="32" t="s">
        <v>78</v>
      </c>
      <c r="L10" s="30" t="s">
        <v>55</v>
      </c>
      <c r="M10" s="34">
        <v>45350</v>
      </c>
      <c r="N10" s="37">
        <v>45350</v>
      </c>
      <c r="O10" s="45"/>
      <c r="P10" s="34">
        <v>45394</v>
      </c>
      <c r="Q10" s="18"/>
      <c r="R10" s="13">
        <f t="shared" si="0"/>
        <v>58</v>
      </c>
      <c r="S10" s="18" t="s">
        <v>88</v>
      </c>
      <c r="T10" s="39"/>
      <c r="U10" s="30" t="s">
        <v>93</v>
      </c>
      <c r="V10" s="15" t="s">
        <v>90</v>
      </c>
      <c r="W10" s="25" t="s">
        <v>29</v>
      </c>
      <c r="X10" s="25" t="s">
        <v>45</v>
      </c>
      <c r="Y10" s="34">
        <v>45338</v>
      </c>
      <c r="Z10" s="34">
        <v>45338</v>
      </c>
      <c r="AA10" s="37">
        <v>45343</v>
      </c>
      <c r="AB10" s="39"/>
      <c r="AC10" s="39"/>
    </row>
    <row r="11" spans="1:29" ht="42" customHeight="1">
      <c r="A11" s="25" t="s">
        <v>83</v>
      </c>
      <c r="B11" s="19"/>
      <c r="C11" s="6"/>
      <c r="D11" s="44" t="s">
        <v>106</v>
      </c>
      <c r="E11" s="35" t="s">
        <v>107</v>
      </c>
      <c r="F11" s="34">
        <v>45337</v>
      </c>
      <c r="G11" s="25" t="s">
        <v>86</v>
      </c>
      <c r="H11" s="30" t="s">
        <v>34</v>
      </c>
      <c r="I11" s="31" t="s">
        <v>35</v>
      </c>
      <c r="J11" s="18" t="s">
        <v>53</v>
      </c>
      <c r="K11" s="32" t="s">
        <v>78</v>
      </c>
      <c r="L11" s="30" t="s">
        <v>108</v>
      </c>
      <c r="M11" s="34">
        <v>45341</v>
      </c>
      <c r="N11" s="37">
        <v>45341</v>
      </c>
      <c r="O11" s="45"/>
      <c r="P11" s="34"/>
      <c r="Q11" s="18"/>
      <c r="R11" s="13">
        <f t="shared" si="0"/>
        <v>-45336</v>
      </c>
      <c r="S11" s="18" t="s">
        <v>88</v>
      </c>
      <c r="T11" s="39"/>
      <c r="U11" s="30" t="s">
        <v>89</v>
      </c>
      <c r="V11" s="15" t="s">
        <v>90</v>
      </c>
      <c r="W11" s="25" t="s">
        <v>29</v>
      </c>
      <c r="X11" s="25" t="s">
        <v>45</v>
      </c>
      <c r="Y11" s="34">
        <v>45338</v>
      </c>
      <c r="Z11" s="34">
        <v>45338</v>
      </c>
      <c r="AA11" s="37">
        <v>45341</v>
      </c>
      <c r="AB11" s="39"/>
      <c r="AC11" s="39"/>
    </row>
    <row r="12" spans="1:29" ht="51.75" customHeight="1">
      <c r="A12" s="25" t="s">
        <v>46</v>
      </c>
      <c r="B12" s="19"/>
      <c r="C12" s="6"/>
      <c r="D12" s="46" t="s">
        <v>109</v>
      </c>
      <c r="E12" s="35" t="s">
        <v>110</v>
      </c>
      <c r="F12" s="34">
        <v>45337</v>
      </c>
      <c r="G12" s="36" t="s">
        <v>111</v>
      </c>
      <c r="H12" s="30" t="s">
        <v>112</v>
      </c>
      <c r="I12" s="31" t="s">
        <v>35</v>
      </c>
      <c r="J12" s="18" t="s">
        <v>36</v>
      </c>
      <c r="K12" s="32" t="s">
        <v>113</v>
      </c>
      <c r="L12" s="30" t="s">
        <v>108</v>
      </c>
      <c r="M12" s="34">
        <v>45364</v>
      </c>
      <c r="N12" s="37">
        <v>45365</v>
      </c>
      <c r="O12" s="45"/>
      <c r="P12" s="34">
        <v>45394</v>
      </c>
      <c r="Q12" s="18"/>
      <c r="R12" s="13">
        <f t="shared" si="0"/>
        <v>58</v>
      </c>
      <c r="S12" s="18" t="s">
        <v>40</v>
      </c>
      <c r="T12" s="39"/>
      <c r="U12" s="30" t="s">
        <v>114</v>
      </c>
      <c r="V12" s="15" t="s">
        <v>115</v>
      </c>
      <c r="W12" s="47" t="s">
        <v>116</v>
      </c>
      <c r="X12" s="25" t="s">
        <v>45</v>
      </c>
      <c r="Y12" s="34">
        <v>45338</v>
      </c>
      <c r="Z12" s="34">
        <v>45338</v>
      </c>
      <c r="AA12" s="37">
        <v>45345</v>
      </c>
      <c r="AB12" s="39"/>
      <c r="AC12" s="39"/>
    </row>
    <row r="13" spans="1:29" ht="60">
      <c r="A13" s="25" t="s">
        <v>117</v>
      </c>
      <c r="B13" s="19"/>
      <c r="C13" s="6"/>
      <c r="D13" s="27" t="s">
        <v>118</v>
      </c>
      <c r="E13" s="35" t="s">
        <v>119</v>
      </c>
      <c r="F13" s="34">
        <v>45320</v>
      </c>
      <c r="G13" s="48" t="s">
        <v>120</v>
      </c>
      <c r="H13" s="30" t="s">
        <v>121</v>
      </c>
      <c r="I13" s="31" t="s">
        <v>77</v>
      </c>
      <c r="J13" s="18" t="s">
        <v>36</v>
      </c>
      <c r="K13" s="32" t="s">
        <v>122</v>
      </c>
      <c r="L13" s="30" t="s">
        <v>55</v>
      </c>
      <c r="M13" s="33">
        <v>45433</v>
      </c>
      <c r="N13" s="37">
        <v>45434</v>
      </c>
      <c r="O13" s="25"/>
      <c r="P13" s="34"/>
      <c r="Q13" s="18"/>
      <c r="R13" s="13">
        <f t="shared" si="0"/>
        <v>-45319</v>
      </c>
      <c r="S13" s="18" t="s">
        <v>69</v>
      </c>
      <c r="T13" s="39"/>
      <c r="U13" s="30" t="s">
        <v>123</v>
      </c>
      <c r="V13" s="15" t="s">
        <v>124</v>
      </c>
      <c r="W13" s="25"/>
      <c r="X13" s="36" t="s">
        <v>45</v>
      </c>
      <c r="Y13" s="34">
        <v>45394</v>
      </c>
      <c r="Z13" s="34">
        <v>45407</v>
      </c>
      <c r="AA13" s="37">
        <v>45433</v>
      </c>
      <c r="AB13" s="39"/>
      <c r="AC13" s="39"/>
    </row>
    <row r="14" spans="1:29" ht="51">
      <c r="A14" s="25" t="s">
        <v>125</v>
      </c>
      <c r="B14" s="19"/>
      <c r="C14" s="6" t="s">
        <v>126</v>
      </c>
      <c r="D14" s="27" t="s">
        <v>127</v>
      </c>
      <c r="E14" s="35" t="s">
        <v>128</v>
      </c>
      <c r="F14" s="34">
        <v>45365</v>
      </c>
      <c r="G14" s="25" t="s">
        <v>129</v>
      </c>
      <c r="H14" s="30" t="s">
        <v>34</v>
      </c>
      <c r="I14" s="31" t="s">
        <v>130</v>
      </c>
      <c r="J14" s="18" t="s">
        <v>36</v>
      </c>
      <c r="K14" s="32" t="s">
        <v>78</v>
      </c>
      <c r="L14" s="30" t="s">
        <v>108</v>
      </c>
      <c r="M14" s="49" t="s">
        <v>131</v>
      </c>
      <c r="N14" s="37">
        <v>45412</v>
      </c>
      <c r="O14" s="34">
        <v>45441</v>
      </c>
      <c r="P14" s="25" t="s">
        <v>132</v>
      </c>
      <c r="Q14" s="18"/>
      <c r="R14" s="13" t="e">
        <f t="shared" si="0"/>
        <v>#VALUE!</v>
      </c>
      <c r="S14" s="18" t="s">
        <v>40</v>
      </c>
      <c r="T14" s="39"/>
      <c r="U14" s="30" t="s">
        <v>123</v>
      </c>
      <c r="V14" s="15" t="s">
        <v>133</v>
      </c>
      <c r="W14" s="25">
        <v>2024</v>
      </c>
      <c r="X14" s="36" t="s">
        <v>134</v>
      </c>
      <c r="Y14" s="34">
        <v>45370</v>
      </c>
      <c r="Z14" s="34">
        <v>45371</v>
      </c>
      <c r="AA14" s="37">
        <v>45372</v>
      </c>
      <c r="AB14" s="39"/>
      <c r="AC14" s="39"/>
    </row>
    <row r="15" spans="1:29" ht="51">
      <c r="A15" s="25" t="s">
        <v>46</v>
      </c>
      <c r="B15" s="19"/>
      <c r="C15" s="6" t="s">
        <v>135</v>
      </c>
      <c r="D15" s="27" t="s">
        <v>136</v>
      </c>
      <c r="E15" s="35" t="s">
        <v>137</v>
      </c>
      <c r="F15" s="34">
        <v>45370</v>
      </c>
      <c r="G15" s="25" t="s">
        <v>138</v>
      </c>
      <c r="H15" s="30" t="s">
        <v>34</v>
      </c>
      <c r="I15" s="31" t="s">
        <v>77</v>
      </c>
      <c r="J15" s="18" t="s">
        <v>36</v>
      </c>
      <c r="K15" s="32" t="s">
        <v>122</v>
      </c>
      <c r="L15" s="30" t="s">
        <v>139</v>
      </c>
      <c r="M15" s="33">
        <v>45384</v>
      </c>
      <c r="N15" s="37">
        <v>45384</v>
      </c>
      <c r="O15" s="50">
        <v>45502</v>
      </c>
      <c r="P15" s="25" t="s">
        <v>140</v>
      </c>
      <c r="Q15" s="22">
        <v>45527</v>
      </c>
      <c r="R15" s="13" t="e">
        <f t="shared" si="0"/>
        <v>#VALUE!</v>
      </c>
      <c r="S15" s="18" t="s">
        <v>40</v>
      </c>
      <c r="T15" s="39"/>
      <c r="U15" s="30" t="s">
        <v>141</v>
      </c>
      <c r="V15" s="15" t="s">
        <v>142</v>
      </c>
      <c r="W15" s="25" t="s">
        <v>143</v>
      </c>
      <c r="X15" s="25" t="s">
        <v>45</v>
      </c>
      <c r="Y15" s="34">
        <v>45341</v>
      </c>
      <c r="Z15" s="34">
        <v>45341</v>
      </c>
      <c r="AA15" s="37">
        <v>45370</v>
      </c>
      <c r="AB15" s="39"/>
      <c r="AC15" s="39"/>
    </row>
    <row r="16" spans="1:29" ht="76.5">
      <c r="A16" s="25" t="s">
        <v>46</v>
      </c>
      <c r="B16" s="19"/>
      <c r="C16" s="6" t="s">
        <v>126</v>
      </c>
      <c r="D16" s="27" t="s">
        <v>144</v>
      </c>
      <c r="E16" s="35" t="s">
        <v>145</v>
      </c>
      <c r="F16" s="34">
        <v>45371</v>
      </c>
      <c r="G16" s="48" t="s">
        <v>146</v>
      </c>
      <c r="H16" s="30" t="s">
        <v>34</v>
      </c>
      <c r="I16" s="31" t="s">
        <v>130</v>
      </c>
      <c r="J16" s="18" t="s">
        <v>36</v>
      </c>
      <c r="K16" s="32" t="s">
        <v>78</v>
      </c>
      <c r="L16" s="30" t="s">
        <v>108</v>
      </c>
      <c r="M16" s="33">
        <v>45397</v>
      </c>
      <c r="N16" s="37">
        <v>45397</v>
      </c>
      <c r="O16" s="25"/>
      <c r="P16" s="34">
        <v>45421</v>
      </c>
      <c r="Q16" s="18"/>
      <c r="R16" s="13">
        <f t="shared" si="0"/>
        <v>51</v>
      </c>
      <c r="S16" s="18" t="s">
        <v>40</v>
      </c>
      <c r="T16" s="51"/>
      <c r="U16" s="30" t="s">
        <v>123</v>
      </c>
      <c r="V16" s="15" t="s">
        <v>147</v>
      </c>
      <c r="W16" s="25" t="s">
        <v>148</v>
      </c>
      <c r="X16" s="52" t="s">
        <v>134</v>
      </c>
      <c r="Y16" s="34">
        <v>45394</v>
      </c>
      <c r="Z16" s="34">
        <v>45394</v>
      </c>
      <c r="AA16" s="37">
        <v>45397</v>
      </c>
      <c r="AB16" s="51"/>
      <c r="AC16" s="51"/>
    </row>
    <row r="17" spans="1:29" ht="76.5">
      <c r="A17" s="25" t="s">
        <v>125</v>
      </c>
      <c r="B17" s="19"/>
      <c r="C17" s="6"/>
      <c r="D17" s="27" t="s">
        <v>149</v>
      </c>
      <c r="E17" s="35" t="s">
        <v>150</v>
      </c>
      <c r="F17" s="34">
        <v>45390</v>
      </c>
      <c r="G17" s="25" t="s">
        <v>151</v>
      </c>
      <c r="H17" s="30" t="s">
        <v>34</v>
      </c>
      <c r="I17" s="31" t="s">
        <v>35</v>
      </c>
      <c r="J17" s="18" t="s">
        <v>152</v>
      </c>
      <c r="K17" s="32" t="s">
        <v>78</v>
      </c>
      <c r="L17" s="30" t="s">
        <v>108</v>
      </c>
      <c r="M17" s="34">
        <v>45412</v>
      </c>
      <c r="N17" s="37">
        <v>45412</v>
      </c>
      <c r="O17" s="25"/>
      <c r="P17" s="34"/>
      <c r="Q17" s="18"/>
      <c r="R17" s="13">
        <f t="shared" si="0"/>
        <v>-45389</v>
      </c>
      <c r="S17" s="18" t="s">
        <v>40</v>
      </c>
      <c r="T17" s="51"/>
      <c r="U17" s="30" t="s">
        <v>141</v>
      </c>
      <c r="V17" s="15" t="s">
        <v>153</v>
      </c>
      <c r="W17" s="25" t="s">
        <v>154</v>
      </c>
      <c r="X17" s="25" t="s">
        <v>45</v>
      </c>
      <c r="Y17" s="34">
        <v>45394</v>
      </c>
      <c r="Z17" s="34">
        <v>45394</v>
      </c>
      <c r="AA17" s="37">
        <v>45397</v>
      </c>
      <c r="AB17" s="51"/>
      <c r="AC17" s="51"/>
    </row>
    <row r="18" spans="1:29" ht="63.75">
      <c r="A18" s="25" t="s">
        <v>29</v>
      </c>
      <c r="B18" s="19"/>
      <c r="C18" s="6"/>
      <c r="D18" s="27" t="s">
        <v>155</v>
      </c>
      <c r="E18" s="35" t="s">
        <v>156</v>
      </c>
      <c r="F18" s="34">
        <v>45393</v>
      </c>
      <c r="G18" s="25" t="s">
        <v>157</v>
      </c>
      <c r="H18" s="30" t="s">
        <v>34</v>
      </c>
      <c r="I18" s="31" t="s">
        <v>35</v>
      </c>
      <c r="J18" s="18" t="s">
        <v>53</v>
      </c>
      <c r="K18" s="32" t="s">
        <v>78</v>
      </c>
      <c r="L18" s="30" t="s">
        <v>108</v>
      </c>
      <c r="M18" s="34">
        <v>45412</v>
      </c>
      <c r="N18" s="34">
        <v>45412</v>
      </c>
      <c r="O18" s="25"/>
      <c r="P18" s="34">
        <v>45424</v>
      </c>
      <c r="Q18" s="18"/>
      <c r="R18" s="13">
        <f t="shared" si="0"/>
        <v>32</v>
      </c>
      <c r="S18" s="18" t="s">
        <v>40</v>
      </c>
      <c r="T18" s="39"/>
      <c r="U18" s="30" t="s">
        <v>93</v>
      </c>
      <c r="V18" s="15" t="s">
        <v>158</v>
      </c>
      <c r="W18" s="25" t="s">
        <v>29</v>
      </c>
      <c r="X18" s="25" t="s">
        <v>45</v>
      </c>
      <c r="Y18" s="34">
        <v>45393</v>
      </c>
      <c r="Z18" s="34">
        <v>45394</v>
      </c>
      <c r="AA18" s="37">
        <v>45394</v>
      </c>
      <c r="AB18" s="39"/>
      <c r="AC18" s="39"/>
    </row>
    <row r="19" spans="1:29" ht="89.25">
      <c r="A19" s="26" t="s">
        <v>159</v>
      </c>
      <c r="B19" s="53"/>
      <c r="C19" s="26" t="s">
        <v>160</v>
      </c>
      <c r="D19" s="54" t="s">
        <v>161</v>
      </c>
      <c r="E19" s="55" t="s">
        <v>162</v>
      </c>
      <c r="F19" s="56">
        <v>45400</v>
      </c>
      <c r="G19" s="26" t="s">
        <v>163</v>
      </c>
      <c r="H19" s="26" t="s">
        <v>34</v>
      </c>
      <c r="I19" s="57" t="s">
        <v>97</v>
      </c>
      <c r="J19" s="26" t="s">
        <v>36</v>
      </c>
      <c r="K19" s="58" t="s">
        <v>98</v>
      </c>
      <c r="L19" s="26" t="s">
        <v>55</v>
      </c>
      <c r="M19" s="59">
        <v>45464</v>
      </c>
      <c r="N19" s="60">
        <v>45464</v>
      </c>
      <c r="O19" s="56">
        <v>45600</v>
      </c>
      <c r="P19" s="26" t="s">
        <v>164</v>
      </c>
      <c r="Q19" s="26"/>
      <c r="R19" s="26" t="e">
        <f t="shared" si="0"/>
        <v>#VALUE!</v>
      </c>
      <c r="S19" s="26" t="s">
        <v>69</v>
      </c>
      <c r="T19" s="26"/>
      <c r="U19" s="26" t="s">
        <v>165</v>
      </c>
      <c r="V19" s="26" t="s">
        <v>166</v>
      </c>
      <c r="W19" s="26" t="s">
        <v>167</v>
      </c>
      <c r="X19" s="26" t="s">
        <v>45</v>
      </c>
      <c r="Y19" s="56">
        <v>45400</v>
      </c>
      <c r="Z19" s="56">
        <v>45404</v>
      </c>
      <c r="AA19" s="60">
        <v>45462</v>
      </c>
      <c r="AB19" s="26"/>
      <c r="AC19" s="26"/>
    </row>
    <row r="20" spans="1:29" ht="63.75">
      <c r="A20" s="25" t="s">
        <v>125</v>
      </c>
      <c r="B20" s="19"/>
      <c r="C20" s="6"/>
      <c r="D20" s="61" t="s">
        <v>168</v>
      </c>
      <c r="E20" s="35" t="s">
        <v>169</v>
      </c>
      <c r="F20" s="34">
        <v>45408</v>
      </c>
      <c r="G20" s="25" t="s">
        <v>170</v>
      </c>
      <c r="H20" s="30" t="s">
        <v>34</v>
      </c>
      <c r="I20" s="31" t="s">
        <v>35</v>
      </c>
      <c r="J20" s="18" t="s">
        <v>53</v>
      </c>
      <c r="K20" s="32" t="s">
        <v>78</v>
      </c>
      <c r="L20" s="30" t="s">
        <v>108</v>
      </c>
      <c r="M20" s="34">
        <v>45412</v>
      </c>
      <c r="N20" s="34">
        <v>45412</v>
      </c>
      <c r="O20" s="45"/>
      <c r="P20" s="34"/>
      <c r="Q20" s="18"/>
      <c r="R20" s="13">
        <f t="shared" si="0"/>
        <v>-45407</v>
      </c>
      <c r="S20" s="18" t="s">
        <v>40</v>
      </c>
      <c r="T20" s="25"/>
      <c r="U20" s="30" t="s">
        <v>89</v>
      </c>
      <c r="V20" s="15" t="s">
        <v>171</v>
      </c>
      <c r="W20" s="25" t="s">
        <v>29</v>
      </c>
      <c r="X20" s="25" t="s">
        <v>45</v>
      </c>
      <c r="Y20" s="34">
        <v>45411</v>
      </c>
      <c r="Z20" s="34">
        <v>45411</v>
      </c>
      <c r="AA20" s="37">
        <v>45411</v>
      </c>
      <c r="AB20" s="25"/>
      <c r="AC20" s="25"/>
    </row>
    <row r="21" spans="1:29" ht="36">
      <c r="A21" s="25" t="s">
        <v>29</v>
      </c>
      <c r="B21" s="19"/>
      <c r="C21" s="6"/>
      <c r="D21" s="46" t="s">
        <v>172</v>
      </c>
      <c r="E21" s="62" t="s">
        <v>173</v>
      </c>
      <c r="F21" s="63">
        <v>45418</v>
      </c>
      <c r="G21" s="25" t="s">
        <v>174</v>
      </c>
      <c r="H21" s="30" t="s">
        <v>34</v>
      </c>
      <c r="I21" s="31" t="s">
        <v>35</v>
      </c>
      <c r="J21" s="18" t="s">
        <v>36</v>
      </c>
      <c r="K21" s="32" t="s">
        <v>78</v>
      </c>
      <c r="L21" s="30" t="s">
        <v>108</v>
      </c>
      <c r="M21" s="63">
        <v>45422</v>
      </c>
      <c r="N21" s="34">
        <v>45421</v>
      </c>
      <c r="O21" s="64"/>
      <c r="P21" s="63">
        <v>45424</v>
      </c>
      <c r="Q21" s="18"/>
      <c r="R21" s="13">
        <f t="shared" si="0"/>
        <v>7</v>
      </c>
      <c r="S21" s="18" t="s">
        <v>40</v>
      </c>
      <c r="T21" s="43"/>
      <c r="U21" s="30" t="s">
        <v>175</v>
      </c>
      <c r="V21" s="15" t="s">
        <v>176</v>
      </c>
      <c r="W21" s="65" t="s">
        <v>29</v>
      </c>
      <c r="X21" s="65" t="s">
        <v>45</v>
      </c>
      <c r="Y21" s="63">
        <v>45419</v>
      </c>
      <c r="Z21" s="63">
        <v>45419</v>
      </c>
      <c r="AA21" s="66">
        <v>45420</v>
      </c>
      <c r="AB21" s="43"/>
      <c r="AC21" s="43"/>
    </row>
    <row r="22" spans="1:29" ht="76.5">
      <c r="A22" s="25" t="s">
        <v>46</v>
      </c>
      <c r="B22" s="19"/>
      <c r="C22" s="6" t="s">
        <v>177</v>
      </c>
      <c r="D22" s="46" t="s">
        <v>178</v>
      </c>
      <c r="E22" s="67" t="s">
        <v>179</v>
      </c>
      <c r="F22" s="63">
        <v>45419</v>
      </c>
      <c r="G22" s="25" t="s">
        <v>180</v>
      </c>
      <c r="H22" s="30" t="s">
        <v>34</v>
      </c>
      <c r="I22" s="31" t="s">
        <v>35</v>
      </c>
      <c r="J22" s="18" t="s">
        <v>36</v>
      </c>
      <c r="K22" s="32" t="s">
        <v>78</v>
      </c>
      <c r="L22" s="30" t="s">
        <v>55</v>
      </c>
      <c r="M22" s="63">
        <v>45428</v>
      </c>
      <c r="N22" s="34">
        <v>45429</v>
      </c>
      <c r="O22" s="64"/>
      <c r="P22" s="63">
        <v>45453</v>
      </c>
      <c r="Q22" s="18"/>
      <c r="R22" s="13">
        <f t="shared" si="0"/>
        <v>35</v>
      </c>
      <c r="S22" s="18" t="s">
        <v>40</v>
      </c>
      <c r="T22" s="65"/>
      <c r="U22" s="30" t="s">
        <v>181</v>
      </c>
      <c r="V22" s="15" t="s">
        <v>182</v>
      </c>
      <c r="W22" s="65" t="s">
        <v>183</v>
      </c>
      <c r="X22" s="65" t="s">
        <v>45</v>
      </c>
      <c r="Y22" s="63">
        <v>45419</v>
      </c>
      <c r="Z22" s="63">
        <v>45420</v>
      </c>
      <c r="AA22" s="66">
        <v>45421</v>
      </c>
      <c r="AB22" s="65"/>
      <c r="AC22" s="65"/>
    </row>
    <row r="23" spans="1:29" ht="51">
      <c r="A23" s="25" t="s">
        <v>73</v>
      </c>
      <c r="B23" s="19">
        <v>53</v>
      </c>
      <c r="C23" s="6"/>
      <c r="D23" s="54" t="s">
        <v>184</v>
      </c>
      <c r="E23" s="67" t="s">
        <v>185</v>
      </c>
      <c r="F23" s="63">
        <v>45421</v>
      </c>
      <c r="G23" s="25" t="s">
        <v>186</v>
      </c>
      <c r="H23" s="30" t="s">
        <v>112</v>
      </c>
      <c r="I23" s="31" t="s">
        <v>35</v>
      </c>
      <c r="J23" s="18" t="s">
        <v>53</v>
      </c>
      <c r="K23" s="32" t="s">
        <v>113</v>
      </c>
      <c r="L23" s="30" t="s">
        <v>108</v>
      </c>
      <c r="M23" s="34">
        <v>45434</v>
      </c>
      <c r="N23" s="34">
        <v>45441</v>
      </c>
      <c r="O23" s="68"/>
      <c r="P23" s="63">
        <v>45508</v>
      </c>
      <c r="Q23" s="18"/>
      <c r="R23" s="13">
        <f t="shared" si="0"/>
        <v>88</v>
      </c>
      <c r="S23" s="18" t="s">
        <v>40</v>
      </c>
      <c r="T23" s="43"/>
      <c r="U23" s="30"/>
      <c r="V23" s="15" t="s">
        <v>187</v>
      </c>
      <c r="W23" s="65" t="s">
        <v>188</v>
      </c>
      <c r="X23" s="65" t="s">
        <v>45</v>
      </c>
      <c r="Y23" s="63">
        <v>45425</v>
      </c>
      <c r="Z23" s="63">
        <v>45427</v>
      </c>
      <c r="AA23" s="37">
        <v>45427</v>
      </c>
      <c r="AB23" s="43"/>
      <c r="AC23" s="43"/>
    </row>
    <row r="24" spans="1:29" ht="51">
      <c r="A24" s="25" t="s">
        <v>125</v>
      </c>
      <c r="B24" s="19"/>
      <c r="C24" s="6"/>
      <c r="D24" s="46" t="s">
        <v>189</v>
      </c>
      <c r="E24" s="67" t="s">
        <v>190</v>
      </c>
      <c r="F24" s="63">
        <v>45420</v>
      </c>
      <c r="G24" s="48" t="s">
        <v>191</v>
      </c>
      <c r="H24" s="30" t="s">
        <v>121</v>
      </c>
      <c r="I24" s="31" t="s">
        <v>35</v>
      </c>
      <c r="J24" s="18" t="s">
        <v>152</v>
      </c>
      <c r="K24" s="32" t="s">
        <v>78</v>
      </c>
      <c r="L24" s="30" t="s">
        <v>108</v>
      </c>
      <c r="M24" s="34">
        <v>45440</v>
      </c>
      <c r="N24" s="34">
        <v>45441</v>
      </c>
      <c r="O24" s="64"/>
      <c r="P24" s="63"/>
      <c r="Q24" s="18"/>
      <c r="R24" s="13">
        <f t="shared" si="0"/>
        <v>-45419</v>
      </c>
      <c r="S24" s="18" t="s">
        <v>40</v>
      </c>
      <c r="T24" s="43"/>
      <c r="U24" s="30" t="s">
        <v>175</v>
      </c>
      <c r="V24" s="15" t="s">
        <v>192</v>
      </c>
      <c r="W24" s="65" t="s">
        <v>29</v>
      </c>
      <c r="X24" s="65" t="s">
        <v>45</v>
      </c>
      <c r="Y24" s="63">
        <v>45425</v>
      </c>
      <c r="Z24" s="63">
        <v>45426</v>
      </c>
      <c r="AA24" s="37">
        <v>45432</v>
      </c>
      <c r="AB24" s="43"/>
      <c r="AC24" s="43"/>
    </row>
    <row r="25" spans="1:29" ht="38.25">
      <c r="A25" s="25" t="s">
        <v>46</v>
      </c>
      <c r="B25" s="19"/>
      <c r="C25" s="6"/>
      <c r="D25" s="46" t="s">
        <v>193</v>
      </c>
      <c r="E25" s="67" t="s">
        <v>194</v>
      </c>
      <c r="F25" s="63">
        <v>45421</v>
      </c>
      <c r="G25" s="25" t="s">
        <v>195</v>
      </c>
      <c r="H25" s="30" t="s">
        <v>112</v>
      </c>
      <c r="I25" s="31" t="s">
        <v>35</v>
      </c>
      <c r="J25" s="18" t="s">
        <v>53</v>
      </c>
      <c r="K25" s="32" t="s">
        <v>113</v>
      </c>
      <c r="L25" s="30" t="s">
        <v>108</v>
      </c>
      <c r="M25" s="63">
        <v>45440</v>
      </c>
      <c r="N25" s="34">
        <v>45441</v>
      </c>
      <c r="O25" s="64"/>
      <c r="P25" s="63">
        <v>45449</v>
      </c>
      <c r="Q25" s="18"/>
      <c r="R25" s="13">
        <f t="shared" si="0"/>
        <v>29</v>
      </c>
      <c r="S25" s="18" t="s">
        <v>40</v>
      </c>
      <c r="T25" s="69"/>
      <c r="U25" s="30" t="s">
        <v>175</v>
      </c>
      <c r="V25" s="15" t="s">
        <v>196</v>
      </c>
      <c r="W25" s="65" t="s">
        <v>29</v>
      </c>
      <c r="X25" s="65" t="s">
        <v>45</v>
      </c>
      <c r="Y25" s="63">
        <v>45425</v>
      </c>
      <c r="Z25" s="63">
        <v>45426</v>
      </c>
      <c r="AA25" s="66">
        <v>45426</v>
      </c>
      <c r="AB25" s="69"/>
      <c r="AC25" s="69"/>
    </row>
    <row r="26" spans="1:29" ht="51">
      <c r="A26" s="25" t="s">
        <v>73</v>
      </c>
      <c r="B26" s="19"/>
      <c r="C26" s="6"/>
      <c r="D26" s="46" t="s">
        <v>197</v>
      </c>
      <c r="E26" s="70" t="s">
        <v>198</v>
      </c>
      <c r="F26" s="63">
        <v>45425</v>
      </c>
      <c r="G26" s="25" t="s">
        <v>199</v>
      </c>
      <c r="H26" s="30" t="s">
        <v>112</v>
      </c>
      <c r="I26" s="31" t="s">
        <v>35</v>
      </c>
      <c r="J26" s="18" t="s">
        <v>53</v>
      </c>
      <c r="K26" s="32" t="s">
        <v>113</v>
      </c>
      <c r="L26" s="30" t="s">
        <v>108</v>
      </c>
      <c r="M26" s="63">
        <v>45434</v>
      </c>
      <c r="N26" s="34">
        <v>45441</v>
      </c>
      <c r="O26" s="64"/>
      <c r="P26" s="63">
        <v>45449</v>
      </c>
      <c r="Q26" s="18"/>
      <c r="R26" s="13">
        <f t="shared" si="0"/>
        <v>25</v>
      </c>
      <c r="S26" s="18" t="s">
        <v>40</v>
      </c>
      <c r="T26" s="65"/>
      <c r="U26" s="30" t="s">
        <v>175</v>
      </c>
      <c r="V26" s="15" t="s">
        <v>200</v>
      </c>
      <c r="W26" s="65" t="s">
        <v>29</v>
      </c>
      <c r="X26" s="65" t="s">
        <v>45</v>
      </c>
      <c r="Y26" s="63">
        <v>45425</v>
      </c>
      <c r="Z26" s="63">
        <v>45425</v>
      </c>
      <c r="AA26" s="66">
        <v>45427</v>
      </c>
      <c r="AB26" s="65"/>
      <c r="AC26" s="65"/>
    </row>
    <row r="27" spans="1:29" ht="89.25">
      <c r="A27" s="25" t="s">
        <v>46</v>
      </c>
      <c r="B27" s="19"/>
      <c r="C27" s="6"/>
      <c r="D27" s="46" t="s">
        <v>201</v>
      </c>
      <c r="E27" s="67" t="s">
        <v>202</v>
      </c>
      <c r="F27" s="63">
        <v>45425</v>
      </c>
      <c r="G27" s="25" t="s">
        <v>203</v>
      </c>
      <c r="H27" s="30" t="s">
        <v>112</v>
      </c>
      <c r="I27" s="31" t="s">
        <v>35</v>
      </c>
      <c r="J27" s="18" t="s">
        <v>36</v>
      </c>
      <c r="K27" s="32" t="s">
        <v>113</v>
      </c>
      <c r="L27" s="30" t="s">
        <v>108</v>
      </c>
      <c r="M27" s="63">
        <v>45434</v>
      </c>
      <c r="N27" s="34">
        <v>45441</v>
      </c>
      <c r="O27" s="64"/>
      <c r="P27" s="63">
        <v>45475</v>
      </c>
      <c r="Q27" s="18"/>
      <c r="R27" s="13">
        <f t="shared" si="0"/>
        <v>51</v>
      </c>
      <c r="S27" s="18" t="s">
        <v>40</v>
      </c>
      <c r="T27" s="43"/>
      <c r="U27" s="30" t="s">
        <v>181</v>
      </c>
      <c r="V27" s="15" t="s">
        <v>204</v>
      </c>
      <c r="W27" s="65" t="s">
        <v>205</v>
      </c>
      <c r="X27" s="65" t="s">
        <v>45</v>
      </c>
      <c r="Y27" s="63">
        <v>45425</v>
      </c>
      <c r="Z27" s="63">
        <v>45425</v>
      </c>
      <c r="AA27" s="71">
        <v>45427</v>
      </c>
      <c r="AB27" s="43"/>
      <c r="AC27" s="43"/>
    </row>
    <row r="28" spans="1:29" ht="63.75">
      <c r="A28" s="25" t="s">
        <v>125</v>
      </c>
      <c r="B28" s="19"/>
      <c r="C28" s="6"/>
      <c r="D28" s="46" t="s">
        <v>206</v>
      </c>
      <c r="E28" s="67" t="s">
        <v>207</v>
      </c>
      <c r="F28" s="63">
        <v>45427</v>
      </c>
      <c r="G28" s="25" t="s">
        <v>111</v>
      </c>
      <c r="H28" s="30" t="s">
        <v>112</v>
      </c>
      <c r="I28" s="31" t="s">
        <v>35</v>
      </c>
      <c r="J28" s="18" t="s">
        <v>36</v>
      </c>
      <c r="K28" s="32" t="s">
        <v>78</v>
      </c>
      <c r="L28" s="30" t="s">
        <v>108</v>
      </c>
      <c r="M28" s="63">
        <v>45448</v>
      </c>
      <c r="N28" s="34">
        <v>45448</v>
      </c>
      <c r="O28" s="64"/>
      <c r="P28" s="65" t="s">
        <v>208</v>
      </c>
      <c r="Q28" s="18"/>
      <c r="R28" s="13" t="e">
        <f t="shared" si="0"/>
        <v>#VALUE!</v>
      </c>
      <c r="S28" s="18" t="s">
        <v>40</v>
      </c>
      <c r="T28" s="43"/>
      <c r="U28" s="30" t="s">
        <v>181</v>
      </c>
      <c r="V28" s="15" t="s">
        <v>209</v>
      </c>
      <c r="W28" s="65" t="s">
        <v>210</v>
      </c>
      <c r="X28" s="43" t="s">
        <v>45</v>
      </c>
      <c r="Y28" s="63">
        <v>45429</v>
      </c>
      <c r="Z28" s="63">
        <v>45429</v>
      </c>
      <c r="AA28" s="37">
        <v>45441</v>
      </c>
      <c r="AB28" s="43"/>
      <c r="AC28" s="43"/>
    </row>
    <row r="29" spans="1:29" ht="89.25">
      <c r="A29" s="25" t="s">
        <v>46</v>
      </c>
      <c r="B29" s="19"/>
      <c r="C29" s="6"/>
      <c r="D29" s="46" t="s">
        <v>211</v>
      </c>
      <c r="E29" s="67" t="s">
        <v>212</v>
      </c>
      <c r="F29" s="63">
        <v>45429</v>
      </c>
      <c r="G29" s="25" t="s">
        <v>213</v>
      </c>
      <c r="H29" s="30" t="s">
        <v>34</v>
      </c>
      <c r="I29" s="31" t="s">
        <v>35</v>
      </c>
      <c r="J29" s="18" t="s">
        <v>36</v>
      </c>
      <c r="K29" s="32" t="s">
        <v>78</v>
      </c>
      <c r="L29" s="30" t="s">
        <v>55</v>
      </c>
      <c r="M29" s="63">
        <v>45467</v>
      </c>
      <c r="N29" s="34">
        <v>45467</v>
      </c>
      <c r="O29" s="64"/>
      <c r="P29" s="63">
        <v>45508</v>
      </c>
      <c r="Q29" s="18"/>
      <c r="R29" s="13">
        <f t="shared" si="0"/>
        <v>80</v>
      </c>
      <c r="S29" s="18" t="s">
        <v>40</v>
      </c>
      <c r="T29" s="69"/>
      <c r="U29" s="30" t="s">
        <v>165</v>
      </c>
      <c r="V29" s="15" t="s">
        <v>209</v>
      </c>
      <c r="W29" s="65" t="s">
        <v>214</v>
      </c>
      <c r="X29" s="43" t="s">
        <v>45</v>
      </c>
      <c r="Y29" s="63">
        <v>45429</v>
      </c>
      <c r="Z29" s="63">
        <v>45429</v>
      </c>
      <c r="AA29" s="37">
        <v>45449</v>
      </c>
      <c r="AB29" s="69"/>
      <c r="AC29" s="69"/>
    </row>
    <row r="30" spans="1:29" ht="89.25">
      <c r="A30" s="25" t="s">
        <v>46</v>
      </c>
      <c r="B30" s="19" t="s">
        <v>215</v>
      </c>
      <c r="C30" s="6"/>
      <c r="D30" s="72" t="s">
        <v>216</v>
      </c>
      <c r="E30" s="67" t="s">
        <v>217</v>
      </c>
      <c r="F30" s="63">
        <v>45428</v>
      </c>
      <c r="G30" s="25" t="s">
        <v>218</v>
      </c>
      <c r="H30" s="30" t="s">
        <v>34</v>
      </c>
      <c r="I30" s="31" t="s">
        <v>77</v>
      </c>
      <c r="J30" s="18" t="s">
        <v>36</v>
      </c>
      <c r="K30" s="32" t="s">
        <v>67</v>
      </c>
      <c r="L30" s="30" t="s">
        <v>219</v>
      </c>
      <c r="M30" s="33"/>
      <c r="N30" s="34"/>
      <c r="O30" s="64"/>
      <c r="P30" s="63">
        <v>45582</v>
      </c>
      <c r="Q30" s="18"/>
      <c r="R30" s="13">
        <f t="shared" si="0"/>
        <v>155</v>
      </c>
      <c r="S30" s="18" t="s">
        <v>69</v>
      </c>
      <c r="T30" s="69" t="s">
        <v>220</v>
      </c>
      <c r="U30" s="30" t="s">
        <v>42</v>
      </c>
      <c r="V30" s="15" t="s">
        <v>221</v>
      </c>
      <c r="W30" s="73" t="s">
        <v>188</v>
      </c>
      <c r="X30" s="65" t="s">
        <v>45</v>
      </c>
      <c r="Y30" s="63">
        <v>45429</v>
      </c>
      <c r="Z30" s="63">
        <v>45429</v>
      </c>
      <c r="AA30" s="43" t="s">
        <v>222</v>
      </c>
      <c r="AB30" s="69"/>
      <c r="AC30" s="69"/>
    </row>
    <row r="31" spans="1:29" ht="63.75">
      <c r="A31" s="25" t="s">
        <v>46</v>
      </c>
      <c r="B31" s="19"/>
      <c r="C31" s="6"/>
      <c r="D31" s="46" t="s">
        <v>223</v>
      </c>
      <c r="E31" s="67" t="s">
        <v>224</v>
      </c>
      <c r="F31" s="63">
        <v>45429</v>
      </c>
      <c r="G31" s="25" t="s">
        <v>225</v>
      </c>
      <c r="H31" s="30" t="s">
        <v>112</v>
      </c>
      <c r="I31" s="31" t="s">
        <v>35</v>
      </c>
      <c r="J31" s="18" t="s">
        <v>53</v>
      </c>
      <c r="K31" s="32" t="s">
        <v>113</v>
      </c>
      <c r="L31" s="30" t="s">
        <v>108</v>
      </c>
      <c r="M31" s="63">
        <v>45447</v>
      </c>
      <c r="N31" s="34">
        <v>45447</v>
      </c>
      <c r="O31" s="64"/>
      <c r="P31" s="63">
        <v>45449</v>
      </c>
      <c r="Q31" s="18"/>
      <c r="R31" s="13">
        <f t="shared" si="0"/>
        <v>21</v>
      </c>
      <c r="S31" s="18" t="s">
        <v>40</v>
      </c>
      <c r="T31" s="43"/>
      <c r="U31" s="30" t="s">
        <v>141</v>
      </c>
      <c r="V31" s="15" t="s">
        <v>187</v>
      </c>
      <c r="W31" s="65" t="s">
        <v>226</v>
      </c>
      <c r="X31" s="65" t="s">
        <v>45</v>
      </c>
      <c r="Y31" s="63">
        <v>45429</v>
      </c>
      <c r="Z31" s="63">
        <v>45429</v>
      </c>
      <c r="AA31" s="37">
        <v>45433</v>
      </c>
      <c r="AB31" s="43"/>
      <c r="AC31" s="43"/>
    </row>
    <row r="32" spans="1:29" ht="76.5">
      <c r="A32" s="25" t="s">
        <v>46</v>
      </c>
      <c r="B32" s="19"/>
      <c r="C32" s="6"/>
      <c r="D32" s="46" t="s">
        <v>227</v>
      </c>
      <c r="E32" s="67" t="s">
        <v>228</v>
      </c>
      <c r="F32" s="63">
        <v>45432</v>
      </c>
      <c r="G32" s="25" t="s">
        <v>229</v>
      </c>
      <c r="H32" s="30" t="s">
        <v>112</v>
      </c>
      <c r="I32" s="31" t="s">
        <v>35</v>
      </c>
      <c r="J32" s="18" t="s">
        <v>36</v>
      </c>
      <c r="K32" s="32" t="s">
        <v>113</v>
      </c>
      <c r="L32" s="30" t="s">
        <v>108</v>
      </c>
      <c r="M32" s="63">
        <v>45448</v>
      </c>
      <c r="N32" s="34">
        <v>45448</v>
      </c>
      <c r="O32" s="64"/>
      <c r="P32" s="63">
        <v>45449</v>
      </c>
      <c r="Q32" s="18"/>
      <c r="R32" s="13">
        <f t="shared" si="0"/>
        <v>18</v>
      </c>
      <c r="S32" s="18" t="s">
        <v>40</v>
      </c>
      <c r="T32" s="43"/>
      <c r="U32" s="30" t="s">
        <v>181</v>
      </c>
      <c r="V32" s="15" t="s">
        <v>43</v>
      </c>
      <c r="W32" s="65" t="s">
        <v>230</v>
      </c>
      <c r="X32" s="65" t="s">
        <v>45</v>
      </c>
      <c r="Y32" s="63">
        <v>45433</v>
      </c>
      <c r="Z32" s="63">
        <v>45434</v>
      </c>
      <c r="AA32" s="66">
        <v>45434</v>
      </c>
      <c r="AB32" s="43"/>
      <c r="AC32" s="43"/>
    </row>
    <row r="33" spans="1:29" ht="63.75">
      <c r="A33" s="25" t="s">
        <v>125</v>
      </c>
      <c r="B33" s="19">
        <v>52</v>
      </c>
      <c r="C33" s="6"/>
      <c r="D33" s="46" t="s">
        <v>231</v>
      </c>
      <c r="E33" s="67" t="s">
        <v>232</v>
      </c>
      <c r="F33" s="63">
        <v>45432</v>
      </c>
      <c r="G33" s="25" t="s">
        <v>233</v>
      </c>
      <c r="H33" s="30" t="s">
        <v>112</v>
      </c>
      <c r="I33" s="31" t="s">
        <v>35</v>
      </c>
      <c r="J33" s="18" t="s">
        <v>53</v>
      </c>
      <c r="K33" s="32" t="s">
        <v>113</v>
      </c>
      <c r="L33" s="30" t="s">
        <v>108</v>
      </c>
      <c r="M33" s="63">
        <v>45447</v>
      </c>
      <c r="N33" s="34">
        <v>45447</v>
      </c>
      <c r="O33" s="64"/>
      <c r="P33" s="63"/>
      <c r="Q33" s="18"/>
      <c r="R33" s="13">
        <f t="shared" si="0"/>
        <v>-45431</v>
      </c>
      <c r="S33" s="18" t="s">
        <v>40</v>
      </c>
      <c r="T33" s="43"/>
      <c r="U33" s="30" t="s">
        <v>165</v>
      </c>
      <c r="V33" s="15" t="s">
        <v>234</v>
      </c>
      <c r="W33" s="65" t="s">
        <v>235</v>
      </c>
      <c r="X33" s="65" t="s">
        <v>45</v>
      </c>
      <c r="Y33" s="63">
        <v>45433</v>
      </c>
      <c r="Z33" s="63">
        <v>45434</v>
      </c>
      <c r="AA33" s="66">
        <v>6700152</v>
      </c>
      <c r="AB33" s="43"/>
      <c r="AC33" s="43"/>
    </row>
    <row r="34" spans="1:29" ht="72">
      <c r="A34" s="25" t="s">
        <v>125</v>
      </c>
      <c r="B34" s="19"/>
      <c r="C34" s="6"/>
      <c r="D34" s="46" t="s">
        <v>236</v>
      </c>
      <c r="E34" s="67" t="s">
        <v>237</v>
      </c>
      <c r="F34" s="63">
        <v>45433</v>
      </c>
      <c r="G34" s="25" t="s">
        <v>238</v>
      </c>
      <c r="H34" s="30" t="s">
        <v>112</v>
      </c>
      <c r="I34" s="31" t="s">
        <v>35</v>
      </c>
      <c r="J34" s="18" t="s">
        <v>53</v>
      </c>
      <c r="K34" s="32" t="s">
        <v>113</v>
      </c>
      <c r="L34" s="30" t="s">
        <v>108</v>
      </c>
      <c r="M34" s="63">
        <v>45447</v>
      </c>
      <c r="N34" s="63">
        <v>45447</v>
      </c>
      <c r="O34" s="74"/>
      <c r="P34" s="63"/>
      <c r="Q34" s="18"/>
      <c r="R34" s="13">
        <f t="shared" si="0"/>
        <v>-45432</v>
      </c>
      <c r="S34" s="18" t="s">
        <v>40</v>
      </c>
      <c r="T34" s="43"/>
      <c r="U34" s="30" t="s">
        <v>141</v>
      </c>
      <c r="V34" s="15" t="s">
        <v>239</v>
      </c>
      <c r="W34" s="65" t="s">
        <v>240</v>
      </c>
      <c r="X34" s="65" t="s">
        <v>45</v>
      </c>
      <c r="Y34" s="63">
        <v>45433</v>
      </c>
      <c r="Z34" s="63">
        <v>45439</v>
      </c>
      <c r="AA34" s="66">
        <v>45446</v>
      </c>
      <c r="AB34" s="43"/>
      <c r="AC34" s="43"/>
    </row>
    <row r="35" spans="1:29" ht="63.75">
      <c r="A35" s="25" t="s">
        <v>73</v>
      </c>
      <c r="B35" s="19">
        <v>62</v>
      </c>
      <c r="C35" s="6"/>
      <c r="D35" s="46" t="s">
        <v>241</v>
      </c>
      <c r="E35" s="62" t="s">
        <v>242</v>
      </c>
      <c r="F35" s="63">
        <v>45434</v>
      </c>
      <c r="G35" s="25" t="s">
        <v>243</v>
      </c>
      <c r="H35" s="30" t="s">
        <v>112</v>
      </c>
      <c r="I35" s="31" t="s">
        <v>35</v>
      </c>
      <c r="J35" s="18" t="s">
        <v>53</v>
      </c>
      <c r="K35" s="32" t="s">
        <v>113</v>
      </c>
      <c r="L35" s="30" t="s">
        <v>108</v>
      </c>
      <c r="M35" s="63">
        <v>45475</v>
      </c>
      <c r="N35" s="63">
        <v>45475</v>
      </c>
      <c r="O35" s="65" t="s">
        <v>39</v>
      </c>
      <c r="P35" s="63">
        <v>45477</v>
      </c>
      <c r="Q35" s="18"/>
      <c r="R35" s="13">
        <f t="shared" si="0"/>
        <v>44</v>
      </c>
      <c r="S35" s="18" t="s">
        <v>40</v>
      </c>
      <c r="T35" s="65"/>
      <c r="U35" s="30" t="s">
        <v>141</v>
      </c>
      <c r="V35" s="15" t="s">
        <v>244</v>
      </c>
      <c r="W35" s="65" t="s">
        <v>210</v>
      </c>
      <c r="X35" s="65" t="s">
        <v>45</v>
      </c>
      <c r="Y35" s="63">
        <v>45436</v>
      </c>
      <c r="Z35" s="63">
        <v>45439</v>
      </c>
      <c r="AA35" s="66">
        <v>45450</v>
      </c>
      <c r="AB35" s="65"/>
      <c r="AC35" s="65"/>
    </row>
    <row r="36" spans="1:29" ht="72">
      <c r="A36" s="25" t="s">
        <v>125</v>
      </c>
      <c r="B36" s="19"/>
      <c r="C36" s="6" t="s">
        <v>245</v>
      </c>
      <c r="D36" s="46" t="s">
        <v>246</v>
      </c>
      <c r="E36" s="62" t="s">
        <v>247</v>
      </c>
      <c r="F36" s="63">
        <v>45439</v>
      </c>
      <c r="G36" s="25" t="s">
        <v>248</v>
      </c>
      <c r="H36" s="30" t="s">
        <v>34</v>
      </c>
      <c r="I36" s="31" t="s">
        <v>35</v>
      </c>
      <c r="J36" s="18" t="s">
        <v>36</v>
      </c>
      <c r="K36" s="32" t="s">
        <v>78</v>
      </c>
      <c r="L36" s="30" t="s">
        <v>108</v>
      </c>
      <c r="M36" s="63">
        <v>45475</v>
      </c>
      <c r="N36" s="63">
        <v>45475</v>
      </c>
      <c r="O36" s="65"/>
      <c r="P36" s="63"/>
      <c r="Q36" s="18"/>
      <c r="R36" s="13">
        <f t="shared" si="0"/>
        <v>-45438</v>
      </c>
      <c r="S36" s="18" t="s">
        <v>40</v>
      </c>
      <c r="T36" s="43"/>
      <c r="U36" s="30" t="s">
        <v>175</v>
      </c>
      <c r="V36" s="15" t="s">
        <v>249</v>
      </c>
      <c r="W36" s="65" t="s">
        <v>29</v>
      </c>
      <c r="X36" s="65" t="s">
        <v>45</v>
      </c>
      <c r="Y36" s="63">
        <v>45454</v>
      </c>
      <c r="Z36" s="63">
        <v>45454</v>
      </c>
      <c r="AA36" s="66">
        <v>45455</v>
      </c>
      <c r="AB36" s="43"/>
      <c r="AC36" s="43"/>
    </row>
    <row r="37" spans="1:29" ht="76.5">
      <c r="A37" s="25" t="s">
        <v>250</v>
      </c>
      <c r="B37" s="19">
        <v>61</v>
      </c>
      <c r="C37" s="6"/>
      <c r="D37" s="46" t="s">
        <v>251</v>
      </c>
      <c r="E37" s="75" t="s">
        <v>252</v>
      </c>
      <c r="F37" s="63">
        <v>45439</v>
      </c>
      <c r="G37" s="43" t="s">
        <v>253</v>
      </c>
      <c r="H37" s="30" t="s">
        <v>112</v>
      </c>
      <c r="I37" s="31" t="s">
        <v>35</v>
      </c>
      <c r="J37" s="18" t="s">
        <v>53</v>
      </c>
      <c r="K37" s="32" t="s">
        <v>113</v>
      </c>
      <c r="L37" s="30" t="s">
        <v>99</v>
      </c>
      <c r="M37" s="63">
        <v>45478</v>
      </c>
      <c r="N37" s="63">
        <v>45478</v>
      </c>
      <c r="O37" s="65" t="s">
        <v>39</v>
      </c>
      <c r="P37" s="63">
        <v>45536</v>
      </c>
      <c r="Q37" s="18" t="s">
        <v>39</v>
      </c>
      <c r="R37" s="13">
        <f t="shared" si="0"/>
        <v>98</v>
      </c>
      <c r="S37" s="18" t="s">
        <v>40</v>
      </c>
      <c r="T37" s="43" t="s">
        <v>254</v>
      </c>
      <c r="U37" s="30" t="s">
        <v>79</v>
      </c>
      <c r="V37" s="15" t="s">
        <v>255</v>
      </c>
      <c r="W37" s="65" t="s">
        <v>256</v>
      </c>
      <c r="X37" s="65" t="s">
        <v>45</v>
      </c>
      <c r="Y37" s="63">
        <v>45454</v>
      </c>
      <c r="Z37" s="63">
        <v>45454</v>
      </c>
      <c r="AA37" s="66">
        <v>45477</v>
      </c>
      <c r="AB37" s="43"/>
      <c r="AC37" s="43"/>
    </row>
    <row r="38" spans="1:29" ht="76.5">
      <c r="A38" s="25" t="s">
        <v>125</v>
      </c>
      <c r="B38" s="19">
        <v>63</v>
      </c>
      <c r="C38" s="6"/>
      <c r="D38" s="46" t="s">
        <v>257</v>
      </c>
      <c r="E38" s="62" t="s">
        <v>258</v>
      </c>
      <c r="F38" s="63">
        <v>45440</v>
      </c>
      <c r="G38" s="25" t="s">
        <v>259</v>
      </c>
      <c r="H38" s="30" t="s">
        <v>112</v>
      </c>
      <c r="I38" s="31" t="s">
        <v>35</v>
      </c>
      <c r="J38" s="18" t="s">
        <v>36</v>
      </c>
      <c r="K38" s="32" t="s">
        <v>113</v>
      </c>
      <c r="L38" s="30" t="s">
        <v>108</v>
      </c>
      <c r="M38" s="63">
        <v>45467</v>
      </c>
      <c r="N38" s="63">
        <v>45467</v>
      </c>
      <c r="O38" s="65" t="s">
        <v>39</v>
      </c>
      <c r="P38" s="63">
        <v>45508</v>
      </c>
      <c r="Q38" s="18"/>
      <c r="R38" s="13">
        <f t="shared" si="0"/>
        <v>69</v>
      </c>
      <c r="S38" s="18" t="s">
        <v>40</v>
      </c>
      <c r="T38" s="65"/>
      <c r="U38" s="30" t="s">
        <v>93</v>
      </c>
      <c r="V38" s="15" t="s">
        <v>260</v>
      </c>
      <c r="W38" s="65" t="s">
        <v>261</v>
      </c>
      <c r="X38" s="65" t="s">
        <v>45</v>
      </c>
      <c r="Y38" s="63">
        <v>45454</v>
      </c>
      <c r="Z38" s="63">
        <v>45454</v>
      </c>
      <c r="AA38" s="63">
        <v>45456</v>
      </c>
      <c r="AB38" s="65"/>
      <c r="AC38" s="65"/>
    </row>
    <row r="39" spans="1:29" ht="51">
      <c r="A39" s="25" t="s">
        <v>125</v>
      </c>
      <c r="B39" s="19"/>
      <c r="C39" s="6"/>
      <c r="D39" s="46" t="s">
        <v>236</v>
      </c>
      <c r="E39" s="67" t="s">
        <v>262</v>
      </c>
      <c r="F39" s="63">
        <v>45433</v>
      </c>
      <c r="G39" s="25" t="s">
        <v>238</v>
      </c>
      <c r="H39" s="30" t="s">
        <v>112</v>
      </c>
      <c r="I39" s="31" t="s">
        <v>35</v>
      </c>
      <c r="J39" s="18" t="s">
        <v>53</v>
      </c>
      <c r="K39" s="32" t="s">
        <v>98</v>
      </c>
      <c r="L39" s="30" t="s">
        <v>108</v>
      </c>
      <c r="M39" s="63">
        <v>45447</v>
      </c>
      <c r="N39" s="63">
        <v>45447</v>
      </c>
      <c r="O39" s="65"/>
      <c r="P39" s="65"/>
      <c r="Q39" s="18"/>
      <c r="R39" s="76">
        <f t="shared" si="0"/>
        <v>-45432</v>
      </c>
      <c r="S39" s="18" t="s">
        <v>40</v>
      </c>
      <c r="T39" s="43"/>
      <c r="U39" s="30" t="s">
        <v>141</v>
      </c>
      <c r="V39" s="15" t="s">
        <v>263</v>
      </c>
      <c r="W39" s="41" t="s">
        <v>264</v>
      </c>
      <c r="X39" s="65" t="s">
        <v>45</v>
      </c>
      <c r="Y39" s="63">
        <v>45436</v>
      </c>
      <c r="Z39" s="63">
        <v>45439</v>
      </c>
      <c r="AA39" s="63">
        <v>45446</v>
      </c>
      <c r="AB39" s="43"/>
      <c r="AC39" s="43"/>
    </row>
    <row r="40" spans="1:29" ht="63.75">
      <c r="A40" s="25" t="s">
        <v>46</v>
      </c>
      <c r="B40" s="19"/>
      <c r="C40" s="6"/>
      <c r="D40" s="46" t="s">
        <v>265</v>
      </c>
      <c r="E40" s="62" t="s">
        <v>266</v>
      </c>
      <c r="F40" s="66">
        <v>45441</v>
      </c>
      <c r="G40" s="25" t="s">
        <v>267</v>
      </c>
      <c r="H40" s="30" t="s">
        <v>112</v>
      </c>
      <c r="I40" s="31" t="s">
        <v>35</v>
      </c>
      <c r="J40" s="18" t="s">
        <v>36</v>
      </c>
      <c r="K40" s="32" t="s">
        <v>113</v>
      </c>
      <c r="L40" s="30" t="s">
        <v>55</v>
      </c>
      <c r="M40" s="63">
        <v>45499</v>
      </c>
      <c r="N40" s="63">
        <v>45499</v>
      </c>
      <c r="O40" s="65"/>
      <c r="P40" s="63">
        <v>45512</v>
      </c>
      <c r="Q40" s="18"/>
      <c r="R40" s="13">
        <f t="shared" si="0"/>
        <v>72</v>
      </c>
      <c r="S40" s="18" t="s">
        <v>40</v>
      </c>
      <c r="T40" s="77"/>
      <c r="U40" s="30" t="s">
        <v>141</v>
      </c>
      <c r="V40" s="15" t="s">
        <v>268</v>
      </c>
      <c r="W40" s="65" t="s">
        <v>269</v>
      </c>
      <c r="X40" s="65" t="s">
        <v>45</v>
      </c>
      <c r="Y40" s="63">
        <v>45454</v>
      </c>
      <c r="Z40" s="63">
        <v>45454</v>
      </c>
      <c r="AA40" s="63">
        <v>45477</v>
      </c>
      <c r="AB40" s="77"/>
      <c r="AC40" s="77"/>
    </row>
    <row r="41" spans="1:29" ht="63.75">
      <c r="A41" s="25" t="s">
        <v>46</v>
      </c>
      <c r="B41" s="19"/>
      <c r="C41" s="6"/>
      <c r="D41" s="46" t="s">
        <v>270</v>
      </c>
      <c r="E41" s="67" t="s">
        <v>271</v>
      </c>
      <c r="F41" s="66">
        <v>45440</v>
      </c>
      <c r="G41" s="25" t="s">
        <v>267</v>
      </c>
      <c r="H41" s="30" t="s">
        <v>112</v>
      </c>
      <c r="I41" s="31" t="s">
        <v>35</v>
      </c>
      <c r="J41" s="18" t="s">
        <v>36</v>
      </c>
      <c r="K41" s="32" t="s">
        <v>78</v>
      </c>
      <c r="L41" s="30" t="s">
        <v>99</v>
      </c>
      <c r="M41" s="66">
        <v>45475</v>
      </c>
      <c r="N41" s="66">
        <v>45475</v>
      </c>
      <c r="O41" s="43"/>
      <c r="P41" s="66">
        <v>45494</v>
      </c>
      <c r="Q41" s="18"/>
      <c r="R41" s="13">
        <f t="shared" si="0"/>
        <v>55</v>
      </c>
      <c r="S41" s="18" t="s">
        <v>40</v>
      </c>
      <c r="T41" s="43"/>
      <c r="U41" s="30" t="s">
        <v>272</v>
      </c>
      <c r="V41" s="15" t="s">
        <v>273</v>
      </c>
      <c r="W41" s="65" t="s">
        <v>274</v>
      </c>
      <c r="X41" s="43" t="s">
        <v>45</v>
      </c>
      <c r="Y41" s="66">
        <v>45454</v>
      </c>
      <c r="Z41" s="66">
        <v>45455</v>
      </c>
      <c r="AA41" s="66">
        <v>45455</v>
      </c>
      <c r="AB41" s="43"/>
      <c r="AC41" s="43"/>
    </row>
    <row r="42" spans="1:29" ht="48">
      <c r="A42" s="25" t="s">
        <v>46</v>
      </c>
      <c r="B42" s="19"/>
      <c r="C42" s="6"/>
      <c r="D42" s="46" t="s">
        <v>275</v>
      </c>
      <c r="E42" s="67" t="s">
        <v>276</v>
      </c>
      <c r="F42" s="63">
        <v>45441</v>
      </c>
      <c r="G42" s="25" t="s">
        <v>277</v>
      </c>
      <c r="H42" s="30" t="s">
        <v>112</v>
      </c>
      <c r="I42" s="31" t="s">
        <v>35</v>
      </c>
      <c r="J42" s="18" t="s">
        <v>36</v>
      </c>
      <c r="K42" s="32" t="s">
        <v>113</v>
      </c>
      <c r="L42" s="30" t="s">
        <v>108</v>
      </c>
      <c r="M42" s="63">
        <v>45475</v>
      </c>
      <c r="N42" s="63">
        <v>45475</v>
      </c>
      <c r="O42" s="74"/>
      <c r="P42" s="63">
        <v>45477</v>
      </c>
      <c r="Q42" s="18"/>
      <c r="R42" s="13">
        <f t="shared" si="0"/>
        <v>37</v>
      </c>
      <c r="S42" s="18" t="s">
        <v>40</v>
      </c>
      <c r="T42" s="77"/>
      <c r="U42" s="30" t="s">
        <v>278</v>
      </c>
      <c r="V42" s="15" t="s">
        <v>115</v>
      </c>
      <c r="W42" s="65" t="s">
        <v>279</v>
      </c>
      <c r="X42" s="65" t="s">
        <v>45</v>
      </c>
      <c r="Y42" s="63">
        <v>45454</v>
      </c>
      <c r="Z42" s="63">
        <v>45454</v>
      </c>
      <c r="AA42" s="63">
        <v>45456</v>
      </c>
      <c r="AB42" s="77"/>
      <c r="AC42" s="77"/>
    </row>
    <row r="43" spans="1:29" ht="96">
      <c r="A43" s="25" t="s">
        <v>29</v>
      </c>
      <c r="B43" s="19"/>
      <c r="C43" s="6" t="s">
        <v>280</v>
      </c>
      <c r="D43" s="46" t="s">
        <v>281</v>
      </c>
      <c r="E43" s="67" t="s">
        <v>282</v>
      </c>
      <c r="F43" s="63">
        <v>45446</v>
      </c>
      <c r="G43" s="25" t="s">
        <v>283</v>
      </c>
      <c r="H43" s="30" t="s">
        <v>34</v>
      </c>
      <c r="I43" s="31" t="s">
        <v>35</v>
      </c>
      <c r="J43" s="18" t="s">
        <v>36</v>
      </c>
      <c r="K43" s="32" t="s">
        <v>78</v>
      </c>
      <c r="L43" s="30" t="s">
        <v>108</v>
      </c>
      <c r="M43" s="63">
        <v>45467</v>
      </c>
      <c r="N43" s="63">
        <v>45467</v>
      </c>
      <c r="O43" s="74"/>
      <c r="P43" s="65" t="s">
        <v>284</v>
      </c>
      <c r="Q43" s="18"/>
      <c r="R43" s="13" t="e">
        <f t="shared" si="0"/>
        <v>#VALUE!</v>
      </c>
      <c r="S43" s="18" t="s">
        <v>69</v>
      </c>
      <c r="T43" s="77"/>
      <c r="U43" s="30" t="s">
        <v>175</v>
      </c>
      <c r="V43" s="15" t="s">
        <v>285</v>
      </c>
      <c r="W43" s="65" t="s">
        <v>29</v>
      </c>
      <c r="X43" s="65" t="s">
        <v>45</v>
      </c>
      <c r="Y43" s="63">
        <v>45454</v>
      </c>
      <c r="Z43" s="63">
        <v>45454</v>
      </c>
      <c r="AA43" s="63">
        <v>45456</v>
      </c>
      <c r="AB43" s="77"/>
      <c r="AC43" s="77"/>
    </row>
    <row r="44" spans="1:29" ht="76.5">
      <c r="A44" s="25" t="s">
        <v>73</v>
      </c>
      <c r="B44" s="19"/>
      <c r="C44" s="6"/>
      <c r="D44" s="46" t="s">
        <v>286</v>
      </c>
      <c r="E44" s="67" t="s">
        <v>287</v>
      </c>
      <c r="F44" s="63">
        <v>45446</v>
      </c>
      <c r="G44" s="25" t="s">
        <v>288</v>
      </c>
      <c r="H44" s="30" t="s">
        <v>112</v>
      </c>
      <c r="I44" s="31" t="s">
        <v>35</v>
      </c>
      <c r="J44" s="18" t="s">
        <v>36</v>
      </c>
      <c r="K44" s="32" t="s">
        <v>113</v>
      </c>
      <c r="L44" s="30" t="s">
        <v>108</v>
      </c>
      <c r="M44" s="63">
        <v>45467</v>
      </c>
      <c r="N44" s="63">
        <v>45467</v>
      </c>
      <c r="O44" s="65" t="s">
        <v>39</v>
      </c>
      <c r="P44" s="63">
        <v>45477</v>
      </c>
      <c r="Q44" s="18"/>
      <c r="R44" s="13">
        <f t="shared" si="0"/>
        <v>32</v>
      </c>
      <c r="S44" s="18" t="s">
        <v>40</v>
      </c>
      <c r="T44" s="77"/>
      <c r="U44" s="30" t="s">
        <v>165</v>
      </c>
      <c r="V44" s="15" t="s">
        <v>289</v>
      </c>
      <c r="W44" s="78" t="s">
        <v>290</v>
      </c>
      <c r="X44" s="65" t="s">
        <v>45</v>
      </c>
      <c r="Y44" s="63">
        <v>45454</v>
      </c>
      <c r="Z44" s="63">
        <v>45454</v>
      </c>
      <c r="AA44" s="63">
        <v>45456</v>
      </c>
      <c r="AB44" s="77"/>
      <c r="AC44" s="77"/>
    </row>
    <row r="45" spans="1:29" ht="60">
      <c r="A45" s="25" t="s">
        <v>46</v>
      </c>
      <c r="B45" s="19"/>
      <c r="C45" s="6"/>
      <c r="D45" s="46" t="s">
        <v>291</v>
      </c>
      <c r="E45" s="67" t="s">
        <v>292</v>
      </c>
      <c r="F45" s="63">
        <v>45446</v>
      </c>
      <c r="G45" s="25" t="s">
        <v>293</v>
      </c>
      <c r="H45" s="30" t="s">
        <v>112</v>
      </c>
      <c r="I45" s="31" t="s">
        <v>35</v>
      </c>
      <c r="J45" s="18" t="s">
        <v>36</v>
      </c>
      <c r="K45" s="32" t="s">
        <v>113</v>
      </c>
      <c r="L45" s="30" t="s">
        <v>108</v>
      </c>
      <c r="M45" s="63">
        <v>45467</v>
      </c>
      <c r="N45" s="63">
        <v>45467</v>
      </c>
      <c r="O45" s="65"/>
      <c r="P45" s="63">
        <v>45477</v>
      </c>
      <c r="Q45" s="18"/>
      <c r="R45" s="13">
        <f t="shared" si="0"/>
        <v>32</v>
      </c>
      <c r="S45" s="18" t="s">
        <v>40</v>
      </c>
      <c r="T45" s="77"/>
      <c r="U45" s="30" t="s">
        <v>278</v>
      </c>
      <c r="V45" s="15" t="s">
        <v>115</v>
      </c>
      <c r="W45" s="65" t="s">
        <v>294</v>
      </c>
      <c r="X45" s="65" t="s">
        <v>45</v>
      </c>
      <c r="Y45" s="63">
        <v>45454</v>
      </c>
      <c r="Z45" s="63">
        <v>45454</v>
      </c>
      <c r="AA45" s="63">
        <v>45457</v>
      </c>
      <c r="AB45" s="77"/>
      <c r="AC45" s="77"/>
    </row>
    <row r="46" spans="1:29" ht="38.25">
      <c r="A46" s="25" t="s">
        <v>125</v>
      </c>
      <c r="B46" s="19"/>
      <c r="C46" s="6"/>
      <c r="D46" s="46" t="s">
        <v>295</v>
      </c>
      <c r="E46" s="67" t="s">
        <v>296</v>
      </c>
      <c r="F46" s="63">
        <v>45450</v>
      </c>
      <c r="G46" s="25" t="s">
        <v>248</v>
      </c>
      <c r="H46" s="30" t="s">
        <v>34</v>
      </c>
      <c r="I46" s="31" t="s">
        <v>35</v>
      </c>
      <c r="J46" s="18" t="s">
        <v>36</v>
      </c>
      <c r="K46" s="32" t="s">
        <v>78</v>
      </c>
      <c r="L46" s="30" t="s">
        <v>108</v>
      </c>
      <c r="M46" s="63">
        <v>45476</v>
      </c>
      <c r="N46" s="63">
        <v>45476</v>
      </c>
      <c r="O46" s="65"/>
      <c r="P46" s="63"/>
      <c r="Q46" s="18"/>
      <c r="R46" s="13">
        <f t="shared" si="0"/>
        <v>-45449</v>
      </c>
      <c r="S46" s="18" t="s">
        <v>40</v>
      </c>
      <c r="T46" s="77"/>
      <c r="U46" s="30" t="s">
        <v>175</v>
      </c>
      <c r="V46" s="15" t="s">
        <v>297</v>
      </c>
      <c r="W46" s="65" t="s">
        <v>29</v>
      </c>
      <c r="X46" s="43" t="s">
        <v>45</v>
      </c>
      <c r="Y46" s="63">
        <v>45454</v>
      </c>
      <c r="Z46" s="63">
        <v>45454</v>
      </c>
      <c r="AA46" s="63">
        <v>45467</v>
      </c>
      <c r="AB46" s="77"/>
      <c r="AC46" s="77"/>
    </row>
    <row r="47" spans="1:29" ht="51">
      <c r="A47" s="25" t="s">
        <v>46</v>
      </c>
      <c r="B47" s="19">
        <v>54</v>
      </c>
      <c r="C47" s="6"/>
      <c r="D47" s="46" t="s">
        <v>298</v>
      </c>
      <c r="E47" s="67" t="s">
        <v>299</v>
      </c>
      <c r="F47" s="63">
        <v>45450</v>
      </c>
      <c r="G47" s="25" t="s">
        <v>157</v>
      </c>
      <c r="H47" s="30" t="s">
        <v>34</v>
      </c>
      <c r="I47" s="31" t="s">
        <v>35</v>
      </c>
      <c r="J47" s="18" t="s">
        <v>53</v>
      </c>
      <c r="K47" s="32" t="s">
        <v>78</v>
      </c>
      <c r="L47" s="30" t="s">
        <v>55</v>
      </c>
      <c r="M47" s="63">
        <v>45535</v>
      </c>
      <c r="N47" s="63">
        <v>45535</v>
      </c>
      <c r="O47" s="65"/>
      <c r="P47" s="63">
        <v>45528</v>
      </c>
      <c r="Q47" s="18"/>
      <c r="R47" s="13">
        <f t="shared" si="0"/>
        <v>79</v>
      </c>
      <c r="S47" s="18" t="s">
        <v>40</v>
      </c>
      <c r="T47" s="79"/>
      <c r="U47" s="30" t="s">
        <v>278</v>
      </c>
      <c r="V47" s="15" t="s">
        <v>300</v>
      </c>
      <c r="W47" s="65" t="s">
        <v>301</v>
      </c>
      <c r="X47" s="65" t="s">
        <v>45</v>
      </c>
      <c r="Y47" s="63">
        <v>45454</v>
      </c>
      <c r="Z47" s="63">
        <v>45454</v>
      </c>
      <c r="AA47" s="63">
        <v>45503</v>
      </c>
      <c r="AB47" s="79"/>
      <c r="AC47" s="79"/>
    </row>
    <row r="48" spans="1:29" ht="84">
      <c r="A48" s="25" t="s">
        <v>73</v>
      </c>
      <c r="B48" s="19">
        <v>68</v>
      </c>
      <c r="C48" s="6"/>
      <c r="D48" s="72" t="s">
        <v>302</v>
      </c>
      <c r="E48" s="67" t="s">
        <v>303</v>
      </c>
      <c r="F48" s="63">
        <v>45460</v>
      </c>
      <c r="G48" s="80" t="s">
        <v>304</v>
      </c>
      <c r="H48" s="30" t="s">
        <v>65</v>
      </c>
      <c r="I48" s="31" t="s">
        <v>305</v>
      </c>
      <c r="J48" s="18" t="s">
        <v>53</v>
      </c>
      <c r="K48" s="32" t="s">
        <v>67</v>
      </c>
      <c r="L48" s="30" t="s">
        <v>68</v>
      </c>
      <c r="M48" s="49">
        <v>45503</v>
      </c>
      <c r="N48" s="63">
        <v>45504</v>
      </c>
      <c r="O48" s="64"/>
      <c r="P48" s="63"/>
      <c r="Q48" s="18"/>
      <c r="R48" s="13">
        <f t="shared" si="0"/>
        <v>-45459</v>
      </c>
      <c r="S48" s="18" t="s">
        <v>69</v>
      </c>
      <c r="T48" s="43"/>
      <c r="U48" s="30" t="s">
        <v>79</v>
      </c>
      <c r="V48" s="15" t="s">
        <v>306</v>
      </c>
      <c r="W48" s="65" t="s">
        <v>307</v>
      </c>
      <c r="X48" s="65" t="s">
        <v>308</v>
      </c>
      <c r="Y48" s="63">
        <v>45468</v>
      </c>
      <c r="Z48" s="63">
        <v>45468</v>
      </c>
      <c r="AA48" s="63">
        <v>45503</v>
      </c>
      <c r="AB48" s="43"/>
      <c r="AC48" s="43"/>
    </row>
    <row r="49" spans="1:29" ht="76.5">
      <c r="A49" s="25" t="s">
        <v>125</v>
      </c>
      <c r="B49" s="19"/>
      <c r="C49" s="6"/>
      <c r="D49" s="72" t="s">
        <v>309</v>
      </c>
      <c r="E49" s="67" t="s">
        <v>310</v>
      </c>
      <c r="F49" s="63">
        <v>45460</v>
      </c>
      <c r="G49" s="25" t="s">
        <v>311</v>
      </c>
      <c r="H49" s="30" t="s">
        <v>34</v>
      </c>
      <c r="I49" s="31" t="s">
        <v>77</v>
      </c>
      <c r="J49" s="18" t="s">
        <v>36</v>
      </c>
      <c r="K49" s="32" t="s">
        <v>122</v>
      </c>
      <c r="L49" s="30" t="s">
        <v>108</v>
      </c>
      <c r="M49" s="49">
        <v>45496</v>
      </c>
      <c r="N49" s="63">
        <v>45496</v>
      </c>
      <c r="O49" s="64"/>
      <c r="P49" s="63"/>
      <c r="Q49" s="18"/>
      <c r="R49" s="13">
        <f t="shared" si="0"/>
        <v>-45459</v>
      </c>
      <c r="S49" s="18" t="s">
        <v>40</v>
      </c>
      <c r="T49" s="43"/>
      <c r="U49" s="30" t="s">
        <v>79</v>
      </c>
      <c r="V49" s="15" t="s">
        <v>312</v>
      </c>
      <c r="W49" s="65"/>
      <c r="X49" s="65" t="s">
        <v>45</v>
      </c>
      <c r="Y49" s="63">
        <v>45468</v>
      </c>
      <c r="Z49" s="63">
        <v>45468</v>
      </c>
      <c r="AA49" s="63">
        <v>45478</v>
      </c>
      <c r="AB49" s="43"/>
      <c r="AC49" s="43"/>
    </row>
    <row r="50" spans="1:29" ht="63.75">
      <c r="A50" s="25" t="s">
        <v>313</v>
      </c>
      <c r="B50" s="19" t="s">
        <v>314</v>
      </c>
      <c r="C50" s="6"/>
      <c r="D50" s="27" t="s">
        <v>315</v>
      </c>
      <c r="E50" s="35" t="s">
        <v>316</v>
      </c>
      <c r="F50" s="34">
        <v>45461</v>
      </c>
      <c r="G50" s="25" t="s">
        <v>248</v>
      </c>
      <c r="H50" s="30" t="s">
        <v>34</v>
      </c>
      <c r="I50" s="31" t="s">
        <v>97</v>
      </c>
      <c r="J50" s="18" t="s">
        <v>36</v>
      </c>
      <c r="K50" s="32" t="s">
        <v>317</v>
      </c>
      <c r="L50" s="30" t="s">
        <v>318</v>
      </c>
      <c r="M50" s="34">
        <v>45491</v>
      </c>
      <c r="N50" s="34">
        <v>45491</v>
      </c>
      <c r="O50" s="25"/>
      <c r="P50" s="34"/>
      <c r="Q50" s="18"/>
      <c r="R50" s="13">
        <f t="shared" si="0"/>
        <v>-45460</v>
      </c>
      <c r="S50" s="18" t="s">
        <v>40</v>
      </c>
      <c r="T50" s="36"/>
      <c r="U50" s="30" t="s">
        <v>181</v>
      </c>
      <c r="V50" s="15" t="s">
        <v>319</v>
      </c>
      <c r="W50" s="25"/>
      <c r="X50" s="25" t="s">
        <v>45</v>
      </c>
      <c r="Y50" s="34">
        <v>45468</v>
      </c>
      <c r="Z50" s="34">
        <v>45468</v>
      </c>
      <c r="AA50" s="34">
        <v>43298</v>
      </c>
      <c r="AB50" s="36"/>
      <c r="AC50" s="36"/>
    </row>
    <row r="51" spans="1:29" ht="45" customHeight="1">
      <c r="A51" s="25" t="s">
        <v>46</v>
      </c>
      <c r="B51" s="19"/>
      <c r="C51" s="6"/>
      <c r="D51" s="46" t="s">
        <v>320</v>
      </c>
      <c r="E51" s="67" t="s">
        <v>321</v>
      </c>
      <c r="F51" s="63">
        <v>45470</v>
      </c>
      <c r="G51" s="25" t="s">
        <v>322</v>
      </c>
      <c r="H51" s="30" t="s">
        <v>112</v>
      </c>
      <c r="I51" s="31" t="s">
        <v>35</v>
      </c>
      <c r="J51" s="18" t="s">
        <v>36</v>
      </c>
      <c r="K51" s="32" t="s">
        <v>113</v>
      </c>
      <c r="L51" s="30" t="s">
        <v>108</v>
      </c>
      <c r="M51" s="63">
        <v>45496</v>
      </c>
      <c r="N51" s="63">
        <v>45496</v>
      </c>
      <c r="O51" s="64"/>
      <c r="P51" s="63">
        <v>45512</v>
      </c>
      <c r="Q51" s="18"/>
      <c r="R51" s="13">
        <f t="shared" si="0"/>
        <v>43</v>
      </c>
      <c r="S51" s="18" t="s">
        <v>40</v>
      </c>
      <c r="T51" s="77"/>
      <c r="U51" s="30" t="s">
        <v>181</v>
      </c>
      <c r="V51" s="15" t="s">
        <v>323</v>
      </c>
      <c r="W51" s="78" t="s">
        <v>324</v>
      </c>
      <c r="X51" s="65" t="s">
        <v>45</v>
      </c>
      <c r="Y51" s="63">
        <v>45483</v>
      </c>
      <c r="Z51" s="63">
        <v>45484</v>
      </c>
      <c r="AA51" s="63">
        <v>45485</v>
      </c>
      <c r="AB51" s="77"/>
      <c r="AC51" s="77"/>
    </row>
    <row r="52" spans="1:29" ht="38.25">
      <c r="A52" s="25" t="s">
        <v>325</v>
      </c>
      <c r="B52" s="19"/>
      <c r="C52" s="6"/>
      <c r="D52" s="46" t="s">
        <v>326</v>
      </c>
      <c r="E52" s="67" t="s">
        <v>327</v>
      </c>
      <c r="F52" s="66">
        <v>45474</v>
      </c>
      <c r="G52" s="25" t="s">
        <v>328</v>
      </c>
      <c r="H52" s="30" t="s">
        <v>34</v>
      </c>
      <c r="I52" s="31" t="s">
        <v>35</v>
      </c>
      <c r="J52" s="18" t="s">
        <v>36</v>
      </c>
      <c r="K52" s="32" t="s">
        <v>78</v>
      </c>
      <c r="L52" s="81" t="s">
        <v>219</v>
      </c>
      <c r="M52" s="63"/>
      <c r="N52" s="63"/>
      <c r="O52" s="64"/>
      <c r="P52" s="63"/>
      <c r="Q52" s="18"/>
      <c r="R52" s="13">
        <f t="shared" si="0"/>
        <v>-45473</v>
      </c>
      <c r="S52" s="18" t="s">
        <v>40</v>
      </c>
      <c r="T52" s="77"/>
      <c r="U52" s="65" t="s">
        <v>329</v>
      </c>
      <c r="V52" s="15" t="s">
        <v>182</v>
      </c>
      <c r="W52" s="65" t="s">
        <v>29</v>
      </c>
      <c r="X52" s="65" t="s">
        <v>45</v>
      </c>
      <c r="Y52" s="63">
        <v>45483</v>
      </c>
      <c r="Z52" s="63">
        <v>45483</v>
      </c>
      <c r="AA52" s="82">
        <v>45483</v>
      </c>
      <c r="AB52" s="77"/>
      <c r="AC52" s="77"/>
    </row>
    <row r="53" spans="1:29" ht="72">
      <c r="A53" s="25" t="s">
        <v>46</v>
      </c>
      <c r="B53" s="19"/>
      <c r="C53" s="6"/>
      <c r="D53" s="46" t="s">
        <v>330</v>
      </c>
      <c r="E53" s="67" t="s">
        <v>331</v>
      </c>
      <c r="F53" s="63">
        <v>45475</v>
      </c>
      <c r="G53" s="48" t="s">
        <v>332</v>
      </c>
      <c r="H53" s="30" t="s">
        <v>121</v>
      </c>
      <c r="I53" s="31" t="s">
        <v>35</v>
      </c>
      <c r="J53" s="18" t="s">
        <v>36</v>
      </c>
      <c r="K53" s="32" t="s">
        <v>113</v>
      </c>
      <c r="L53" s="30" t="s">
        <v>108</v>
      </c>
      <c r="M53" s="63">
        <v>45496</v>
      </c>
      <c r="N53" s="63">
        <v>45496</v>
      </c>
      <c r="O53" s="64"/>
      <c r="P53" s="63">
        <v>45522</v>
      </c>
      <c r="Q53" s="18"/>
      <c r="R53" s="13">
        <f t="shared" si="0"/>
        <v>48</v>
      </c>
      <c r="S53" s="18" t="s">
        <v>40</v>
      </c>
      <c r="T53" s="65"/>
      <c r="U53" s="65" t="s">
        <v>181</v>
      </c>
      <c r="V53" s="15" t="s">
        <v>333</v>
      </c>
      <c r="W53" s="65" t="s">
        <v>334</v>
      </c>
      <c r="X53" s="65" t="s">
        <v>45</v>
      </c>
      <c r="Y53" s="63">
        <v>45483</v>
      </c>
      <c r="Z53" s="63">
        <v>45483</v>
      </c>
      <c r="AA53" s="63">
        <v>45489</v>
      </c>
      <c r="AB53" s="65"/>
      <c r="AC53" s="65"/>
    </row>
    <row r="54" spans="1:29" ht="63.75">
      <c r="A54" s="25" t="s">
        <v>46</v>
      </c>
      <c r="B54" s="19"/>
      <c r="C54" s="6"/>
      <c r="D54" s="46" t="s">
        <v>335</v>
      </c>
      <c r="E54" s="67" t="s">
        <v>336</v>
      </c>
      <c r="F54" s="63">
        <v>45481</v>
      </c>
      <c r="G54" s="83" t="s">
        <v>337</v>
      </c>
      <c r="H54" s="30" t="s">
        <v>34</v>
      </c>
      <c r="I54" s="31" t="s">
        <v>35</v>
      </c>
      <c r="J54" s="18" t="s">
        <v>53</v>
      </c>
      <c r="K54" s="32" t="s">
        <v>78</v>
      </c>
      <c r="L54" s="30" t="s">
        <v>108</v>
      </c>
      <c r="M54" s="63">
        <v>45496</v>
      </c>
      <c r="N54" s="63">
        <v>45496</v>
      </c>
      <c r="O54" s="84">
        <v>45512</v>
      </c>
      <c r="P54" s="63">
        <v>45512</v>
      </c>
      <c r="Q54" s="18"/>
      <c r="R54" s="13">
        <f t="shared" si="0"/>
        <v>32</v>
      </c>
      <c r="S54" s="18" t="s">
        <v>69</v>
      </c>
      <c r="T54" s="43"/>
      <c r="U54" s="65" t="s">
        <v>181</v>
      </c>
      <c r="V54" s="15" t="s">
        <v>338</v>
      </c>
      <c r="W54" s="85" t="s">
        <v>339</v>
      </c>
      <c r="X54" s="65" t="s">
        <v>45</v>
      </c>
      <c r="Y54" s="63">
        <v>45483</v>
      </c>
      <c r="Z54" s="63">
        <v>45483</v>
      </c>
      <c r="AA54" s="63">
        <v>45488</v>
      </c>
      <c r="AB54" s="43"/>
      <c r="AC54" s="43"/>
    </row>
    <row r="55" spans="1:29" ht="72">
      <c r="A55" s="25" t="s">
        <v>340</v>
      </c>
      <c r="B55" s="19">
        <v>58</v>
      </c>
      <c r="C55" s="6"/>
      <c r="D55" s="46" t="s">
        <v>341</v>
      </c>
      <c r="E55" s="62" t="s">
        <v>342</v>
      </c>
      <c r="F55" s="63">
        <v>45483</v>
      </c>
      <c r="G55" s="48" t="s">
        <v>343</v>
      </c>
      <c r="H55" s="30" t="s">
        <v>121</v>
      </c>
      <c r="I55" s="31" t="s">
        <v>35</v>
      </c>
      <c r="J55" s="18" t="s">
        <v>36</v>
      </c>
      <c r="K55" s="32" t="s">
        <v>113</v>
      </c>
      <c r="L55" s="30" t="s">
        <v>108</v>
      </c>
      <c r="M55" s="63">
        <v>45496</v>
      </c>
      <c r="N55" s="63">
        <v>45496</v>
      </c>
      <c r="O55" s="64" t="s">
        <v>39</v>
      </c>
      <c r="P55" s="63">
        <v>45512</v>
      </c>
      <c r="Q55" s="18" t="str">
        <f t="shared" ref="Q55:Q69" ca="1" si="1">(Q:Q-F:F)+1</f>
        <v>#REF!</v>
      </c>
      <c r="R55" s="13">
        <f t="shared" si="0"/>
        <v>30</v>
      </c>
      <c r="S55" s="18" t="s">
        <v>40</v>
      </c>
      <c r="T55" s="43" t="s">
        <v>344</v>
      </c>
      <c r="U55" s="65" t="s">
        <v>175</v>
      </c>
      <c r="V55" s="15" t="s">
        <v>345</v>
      </c>
      <c r="W55" s="65" t="s">
        <v>29</v>
      </c>
      <c r="X55" s="65" t="s">
        <v>45</v>
      </c>
      <c r="Y55" s="63">
        <v>45483</v>
      </c>
      <c r="Z55" s="63">
        <v>45484</v>
      </c>
      <c r="AA55" s="63">
        <v>45485</v>
      </c>
      <c r="AB55" s="86" t="s">
        <v>69</v>
      </c>
      <c r="AC55" s="86" t="s">
        <v>346</v>
      </c>
    </row>
    <row r="56" spans="1:29" ht="89.25">
      <c r="A56" s="25" t="s">
        <v>46</v>
      </c>
      <c r="B56" s="19">
        <v>60</v>
      </c>
      <c r="C56" s="6"/>
      <c r="D56" s="46" t="s">
        <v>347</v>
      </c>
      <c r="E56" s="67" t="s">
        <v>348</v>
      </c>
      <c r="F56" s="63">
        <v>45485</v>
      </c>
      <c r="G56" s="25" t="s">
        <v>349</v>
      </c>
      <c r="H56" s="30" t="s">
        <v>350</v>
      </c>
      <c r="I56" s="31" t="s">
        <v>35</v>
      </c>
      <c r="J56" s="18" t="s">
        <v>36</v>
      </c>
      <c r="K56" s="32" t="s">
        <v>113</v>
      </c>
      <c r="L56" s="30" t="s">
        <v>108</v>
      </c>
      <c r="M56" s="63">
        <v>45499</v>
      </c>
      <c r="N56" s="63">
        <v>45499</v>
      </c>
      <c r="O56" s="64" t="s">
        <v>39</v>
      </c>
      <c r="P56" s="63">
        <v>45540</v>
      </c>
      <c r="Q56" s="18" t="str">
        <f t="shared" ca="1" si="1"/>
        <v>#REF!</v>
      </c>
      <c r="R56" s="13">
        <f t="shared" si="0"/>
        <v>56</v>
      </c>
      <c r="S56" s="18" t="s">
        <v>40</v>
      </c>
      <c r="T56" s="43" t="s">
        <v>351</v>
      </c>
      <c r="U56" s="65" t="s">
        <v>181</v>
      </c>
      <c r="V56" s="15" t="s">
        <v>352</v>
      </c>
      <c r="W56" s="65" t="s">
        <v>353</v>
      </c>
      <c r="X56" s="65" t="s">
        <v>45</v>
      </c>
      <c r="Y56" s="63">
        <v>45490</v>
      </c>
      <c r="Z56" s="63">
        <v>45491</v>
      </c>
      <c r="AA56" s="63">
        <v>45492</v>
      </c>
      <c r="AB56" s="43"/>
      <c r="AC56" s="43"/>
    </row>
    <row r="57" spans="1:29" ht="76.5">
      <c r="A57" s="25" t="s">
        <v>46</v>
      </c>
      <c r="B57" s="19"/>
      <c r="C57" s="6"/>
      <c r="D57" s="27" t="s">
        <v>354</v>
      </c>
      <c r="E57" s="35" t="s">
        <v>355</v>
      </c>
      <c r="F57" s="34">
        <v>45488</v>
      </c>
      <c r="G57" s="25" t="s">
        <v>356</v>
      </c>
      <c r="H57" s="30" t="s">
        <v>112</v>
      </c>
      <c r="I57" s="31" t="s">
        <v>35</v>
      </c>
      <c r="J57" s="18" t="s">
        <v>36</v>
      </c>
      <c r="K57" s="32" t="s">
        <v>113</v>
      </c>
      <c r="L57" s="30" t="s">
        <v>108</v>
      </c>
      <c r="M57" s="34">
        <v>45511</v>
      </c>
      <c r="N57" s="34">
        <v>45511</v>
      </c>
      <c r="O57" s="25" t="s">
        <v>39</v>
      </c>
      <c r="P57" s="34">
        <v>45540</v>
      </c>
      <c r="Q57" s="18" t="str">
        <f t="shared" ca="1" si="1"/>
        <v>#REF!</v>
      </c>
      <c r="R57" s="13">
        <f t="shared" si="0"/>
        <v>53</v>
      </c>
      <c r="S57" s="18" t="s">
        <v>40</v>
      </c>
      <c r="T57" s="36"/>
      <c r="U57" s="25" t="s">
        <v>141</v>
      </c>
      <c r="V57" s="15" t="s">
        <v>357</v>
      </c>
      <c r="W57" s="25" t="s">
        <v>358</v>
      </c>
      <c r="X57" s="25" t="s">
        <v>45</v>
      </c>
      <c r="Y57" s="34">
        <v>45504</v>
      </c>
      <c r="Z57" s="34">
        <v>45504</v>
      </c>
      <c r="AA57" s="25" t="s">
        <v>359</v>
      </c>
      <c r="AB57" s="36"/>
      <c r="AC57" s="36"/>
    </row>
    <row r="58" spans="1:29" ht="51">
      <c r="A58" s="25" t="s">
        <v>125</v>
      </c>
      <c r="B58" s="19"/>
      <c r="C58" s="87" t="s">
        <v>360</v>
      </c>
      <c r="D58" s="27" t="s">
        <v>361</v>
      </c>
      <c r="E58" s="35" t="s">
        <v>362</v>
      </c>
      <c r="F58" s="34">
        <v>45489</v>
      </c>
      <c r="G58" s="25" t="s">
        <v>363</v>
      </c>
      <c r="H58" s="30" t="s">
        <v>34</v>
      </c>
      <c r="I58" s="31" t="s">
        <v>35</v>
      </c>
      <c r="J58" s="18" t="s">
        <v>36</v>
      </c>
      <c r="K58" s="32" t="s">
        <v>78</v>
      </c>
      <c r="L58" s="30" t="s">
        <v>108</v>
      </c>
      <c r="M58" s="34">
        <v>45499</v>
      </c>
      <c r="N58" s="34">
        <v>45499</v>
      </c>
      <c r="O58" s="25"/>
      <c r="P58" s="34"/>
      <c r="Q58" s="18" t="str">
        <f t="shared" ca="1" si="1"/>
        <v>#REF!</v>
      </c>
      <c r="R58" s="13">
        <f t="shared" si="0"/>
        <v>-45488</v>
      </c>
      <c r="S58" s="18" t="s">
        <v>40</v>
      </c>
      <c r="T58" s="39"/>
      <c r="U58" s="25" t="s">
        <v>175</v>
      </c>
      <c r="V58" s="15" t="s">
        <v>182</v>
      </c>
      <c r="W58" s="25" t="s">
        <v>29</v>
      </c>
      <c r="X58" s="25" t="s">
        <v>45</v>
      </c>
      <c r="Y58" s="34">
        <v>45399</v>
      </c>
      <c r="Z58" s="34">
        <v>45400</v>
      </c>
      <c r="AA58" s="34">
        <v>45491</v>
      </c>
      <c r="AB58" s="39"/>
      <c r="AC58" s="39"/>
    </row>
    <row r="59" spans="1:29" ht="72">
      <c r="A59" s="25" t="s">
        <v>325</v>
      </c>
      <c r="B59" s="19"/>
      <c r="C59" s="6"/>
      <c r="D59" s="27" t="s">
        <v>364</v>
      </c>
      <c r="E59" s="35" t="s">
        <v>365</v>
      </c>
      <c r="F59" s="34">
        <v>45482</v>
      </c>
      <c r="G59" s="25" t="s">
        <v>366</v>
      </c>
      <c r="H59" s="30" t="s">
        <v>65</v>
      </c>
      <c r="I59" s="31" t="s">
        <v>35</v>
      </c>
      <c r="J59" s="18" t="s">
        <v>367</v>
      </c>
      <c r="K59" s="32" t="s">
        <v>98</v>
      </c>
      <c r="L59" s="30" t="s">
        <v>219</v>
      </c>
      <c r="M59" s="34"/>
      <c r="N59" s="34"/>
      <c r="O59" s="25"/>
      <c r="P59" s="34"/>
      <c r="Q59" s="18" t="str">
        <f t="shared" ca="1" si="1"/>
        <v>#REF!</v>
      </c>
      <c r="R59" s="13">
        <f t="shared" si="0"/>
        <v>-45481</v>
      </c>
      <c r="S59" s="18" t="s">
        <v>69</v>
      </c>
      <c r="T59" s="25"/>
      <c r="U59" s="25" t="s">
        <v>141</v>
      </c>
      <c r="V59" s="15" t="s">
        <v>368</v>
      </c>
      <c r="W59" s="25" t="s">
        <v>369</v>
      </c>
      <c r="X59" s="25" t="s">
        <v>370</v>
      </c>
      <c r="Y59" s="34">
        <v>45483</v>
      </c>
      <c r="Z59" s="34">
        <v>45483</v>
      </c>
      <c r="AA59" s="34">
        <v>45503</v>
      </c>
      <c r="AB59" s="25"/>
      <c r="AC59" s="25"/>
    </row>
    <row r="60" spans="1:29" ht="51">
      <c r="A60" s="25" t="s">
        <v>46</v>
      </c>
      <c r="B60" s="19"/>
      <c r="C60" s="6"/>
      <c r="D60" s="27" t="s">
        <v>371</v>
      </c>
      <c r="E60" s="35" t="s">
        <v>372</v>
      </c>
      <c r="F60" s="34">
        <v>45489</v>
      </c>
      <c r="G60" s="88" t="s">
        <v>191</v>
      </c>
      <c r="H60" s="30" t="s">
        <v>121</v>
      </c>
      <c r="I60" s="31" t="s">
        <v>35</v>
      </c>
      <c r="J60" s="18" t="s">
        <v>152</v>
      </c>
      <c r="K60" s="32" t="s">
        <v>78</v>
      </c>
      <c r="L60" s="30" t="s">
        <v>108</v>
      </c>
      <c r="M60" s="34">
        <v>45503</v>
      </c>
      <c r="N60" s="34">
        <v>45503</v>
      </c>
      <c r="O60" s="25"/>
      <c r="P60" s="34">
        <v>45525</v>
      </c>
      <c r="Q60" s="18" t="str">
        <f t="shared" ca="1" si="1"/>
        <v>#REF!</v>
      </c>
      <c r="R60" s="13">
        <f t="shared" si="0"/>
        <v>37</v>
      </c>
      <c r="S60" s="18" t="s">
        <v>40</v>
      </c>
      <c r="T60" s="25"/>
      <c r="U60" s="25" t="s">
        <v>272</v>
      </c>
      <c r="V60" s="15" t="s">
        <v>373</v>
      </c>
      <c r="W60" s="41" t="s">
        <v>374</v>
      </c>
      <c r="X60" s="25" t="s">
        <v>45</v>
      </c>
      <c r="Y60" s="34">
        <v>45490</v>
      </c>
      <c r="Z60" s="34">
        <v>45491</v>
      </c>
      <c r="AA60" s="34">
        <v>45499</v>
      </c>
      <c r="AB60" s="25"/>
      <c r="AC60" s="25"/>
    </row>
    <row r="61" spans="1:29" ht="89.25">
      <c r="A61" s="25" t="s">
        <v>46</v>
      </c>
      <c r="B61" s="19"/>
      <c r="C61" s="6"/>
      <c r="D61" s="27" t="s">
        <v>375</v>
      </c>
      <c r="E61" s="35" t="s">
        <v>376</v>
      </c>
      <c r="F61" s="34">
        <v>45490</v>
      </c>
      <c r="G61" s="52" t="s">
        <v>377</v>
      </c>
      <c r="H61" s="30" t="s">
        <v>112</v>
      </c>
      <c r="I61" s="31" t="s">
        <v>35</v>
      </c>
      <c r="J61" s="18" t="s">
        <v>36</v>
      </c>
      <c r="K61" s="32" t="s">
        <v>113</v>
      </c>
      <c r="L61" s="30" t="s">
        <v>55</v>
      </c>
      <c r="M61" s="34">
        <v>45546</v>
      </c>
      <c r="N61" s="34">
        <v>45546</v>
      </c>
      <c r="O61" s="25" t="s">
        <v>39</v>
      </c>
      <c r="P61" s="34">
        <v>45586</v>
      </c>
      <c r="Q61" s="18" t="str">
        <f t="shared" ca="1" si="1"/>
        <v>#REF!</v>
      </c>
      <c r="R61" s="13">
        <f t="shared" si="0"/>
        <v>97</v>
      </c>
      <c r="S61" s="18" t="s">
        <v>40</v>
      </c>
      <c r="T61" s="25"/>
      <c r="U61" s="25" t="s">
        <v>141</v>
      </c>
      <c r="V61" s="15" t="s">
        <v>378</v>
      </c>
      <c r="W61" s="41" t="s">
        <v>379</v>
      </c>
      <c r="X61" s="25" t="s">
        <v>45</v>
      </c>
      <c r="Y61" s="34">
        <v>45490</v>
      </c>
      <c r="Z61" s="34">
        <v>45491</v>
      </c>
      <c r="AA61" s="34">
        <v>45502</v>
      </c>
      <c r="AB61" s="25"/>
      <c r="AC61" s="25"/>
    </row>
    <row r="62" spans="1:29" ht="63.75">
      <c r="A62" s="25" t="s">
        <v>125</v>
      </c>
      <c r="B62" s="19"/>
      <c r="C62" s="6"/>
      <c r="D62" s="27" t="s">
        <v>380</v>
      </c>
      <c r="E62" s="35" t="s">
        <v>381</v>
      </c>
      <c r="F62" s="34">
        <v>45490</v>
      </c>
      <c r="G62" s="25" t="s">
        <v>382</v>
      </c>
      <c r="H62" s="30" t="s">
        <v>350</v>
      </c>
      <c r="I62" s="31" t="s">
        <v>35</v>
      </c>
      <c r="J62" s="18" t="s">
        <v>36</v>
      </c>
      <c r="K62" s="32" t="s">
        <v>113</v>
      </c>
      <c r="L62" s="30" t="s">
        <v>108</v>
      </c>
      <c r="M62" s="34">
        <v>45499</v>
      </c>
      <c r="N62" s="34">
        <v>45499</v>
      </c>
      <c r="O62" s="45"/>
      <c r="P62" s="34"/>
      <c r="Q62" s="18" t="str">
        <f t="shared" ca="1" si="1"/>
        <v>#REF!</v>
      </c>
      <c r="R62" s="13">
        <f t="shared" si="0"/>
        <v>-45489</v>
      </c>
      <c r="S62" s="18" t="s">
        <v>40</v>
      </c>
      <c r="T62" s="51"/>
      <c r="U62" s="25" t="s">
        <v>93</v>
      </c>
      <c r="V62" s="15" t="s">
        <v>352</v>
      </c>
      <c r="W62" s="78" t="s">
        <v>383</v>
      </c>
      <c r="X62" s="25" t="s">
        <v>45</v>
      </c>
      <c r="Y62" s="34">
        <v>45490</v>
      </c>
      <c r="Z62" s="34">
        <v>45491</v>
      </c>
      <c r="AA62" s="34">
        <v>45491</v>
      </c>
      <c r="AB62" s="51"/>
      <c r="AC62" s="51"/>
    </row>
    <row r="63" spans="1:29" ht="48">
      <c r="A63" s="25" t="s">
        <v>125</v>
      </c>
      <c r="B63" s="19"/>
      <c r="C63" s="6"/>
      <c r="D63" s="27" t="s">
        <v>384</v>
      </c>
      <c r="E63" s="35" t="s">
        <v>385</v>
      </c>
      <c r="F63" s="37">
        <v>45491</v>
      </c>
      <c r="G63" s="48" t="s">
        <v>386</v>
      </c>
      <c r="H63" s="30" t="s">
        <v>121</v>
      </c>
      <c r="I63" s="31" t="s">
        <v>35</v>
      </c>
      <c r="J63" s="18" t="s">
        <v>36</v>
      </c>
      <c r="K63" s="32" t="s">
        <v>113</v>
      </c>
      <c r="L63" s="30" t="s">
        <v>108</v>
      </c>
      <c r="M63" s="34">
        <v>45511</v>
      </c>
      <c r="N63" s="37">
        <v>45511</v>
      </c>
      <c r="O63" s="89"/>
      <c r="P63" s="34"/>
      <c r="Q63" s="18" t="str">
        <f t="shared" ca="1" si="1"/>
        <v>#REF!</v>
      </c>
      <c r="R63" s="13">
        <f t="shared" si="0"/>
        <v>-45490</v>
      </c>
      <c r="S63" s="18" t="s">
        <v>88</v>
      </c>
      <c r="T63" s="39"/>
      <c r="U63" s="25" t="s">
        <v>175</v>
      </c>
      <c r="V63" s="15" t="s">
        <v>387</v>
      </c>
      <c r="W63" s="25" t="s">
        <v>29</v>
      </c>
      <c r="X63" s="25" t="s">
        <v>45</v>
      </c>
      <c r="Y63" s="37">
        <v>45504</v>
      </c>
      <c r="Z63" s="34">
        <v>45504</v>
      </c>
      <c r="AA63" s="34">
        <v>45505</v>
      </c>
      <c r="AB63" s="39"/>
      <c r="AC63" s="39"/>
    </row>
    <row r="64" spans="1:29" ht="89.25">
      <c r="A64" s="25" t="s">
        <v>250</v>
      </c>
      <c r="B64" s="19"/>
      <c r="C64" s="90" t="s">
        <v>245</v>
      </c>
      <c r="D64" s="27" t="s">
        <v>388</v>
      </c>
      <c r="E64" s="35" t="s">
        <v>389</v>
      </c>
      <c r="F64" s="34">
        <v>45492</v>
      </c>
      <c r="G64" s="48" t="s">
        <v>390</v>
      </c>
      <c r="H64" s="30" t="s">
        <v>121</v>
      </c>
      <c r="I64" s="31" t="s">
        <v>35</v>
      </c>
      <c r="J64" s="18" t="s">
        <v>36</v>
      </c>
      <c r="K64" s="32" t="s">
        <v>113</v>
      </c>
      <c r="L64" s="30" t="s">
        <v>108</v>
      </c>
      <c r="M64" s="34">
        <v>45511</v>
      </c>
      <c r="N64" s="37">
        <v>45511</v>
      </c>
      <c r="O64" s="25"/>
      <c r="P64" s="34">
        <v>45540</v>
      </c>
      <c r="Q64" s="18" t="str">
        <f t="shared" ca="1" si="1"/>
        <v>#REF!</v>
      </c>
      <c r="R64" s="13">
        <f t="shared" si="0"/>
        <v>49</v>
      </c>
      <c r="S64" s="18" t="s">
        <v>40</v>
      </c>
      <c r="T64" s="39"/>
      <c r="U64" s="25" t="s">
        <v>181</v>
      </c>
      <c r="V64" s="15" t="s">
        <v>115</v>
      </c>
      <c r="W64" s="25" t="s">
        <v>391</v>
      </c>
      <c r="X64" s="25" t="s">
        <v>45</v>
      </c>
      <c r="Y64" s="37">
        <v>45504</v>
      </c>
      <c r="Z64" s="34">
        <v>45504</v>
      </c>
      <c r="AA64" s="34">
        <v>45505</v>
      </c>
      <c r="AB64" s="39"/>
      <c r="AC64" s="39"/>
    </row>
    <row r="65" spans="1:29" ht="102">
      <c r="A65" s="25" t="s">
        <v>46</v>
      </c>
      <c r="B65" s="19"/>
      <c r="C65" s="6"/>
      <c r="D65" s="27" t="s">
        <v>392</v>
      </c>
      <c r="E65" s="35" t="s">
        <v>393</v>
      </c>
      <c r="F65" s="34">
        <v>45495</v>
      </c>
      <c r="G65" s="25" t="s">
        <v>394</v>
      </c>
      <c r="H65" s="30" t="s">
        <v>65</v>
      </c>
      <c r="I65" s="31" t="s">
        <v>77</v>
      </c>
      <c r="J65" s="18" t="s">
        <v>53</v>
      </c>
      <c r="K65" s="32" t="s">
        <v>122</v>
      </c>
      <c r="L65" s="30" t="s">
        <v>108</v>
      </c>
      <c r="M65" s="34">
        <v>45506</v>
      </c>
      <c r="N65" s="37">
        <v>45506</v>
      </c>
      <c r="O65" s="34">
        <v>45532</v>
      </c>
      <c r="P65" s="34">
        <v>45544</v>
      </c>
      <c r="Q65" s="18" t="str">
        <f t="shared" ca="1" si="1"/>
        <v>#REF!</v>
      </c>
      <c r="R65" s="13">
        <f t="shared" si="0"/>
        <v>50</v>
      </c>
      <c r="S65" s="18" t="s">
        <v>69</v>
      </c>
      <c r="T65" s="39" t="s">
        <v>395</v>
      </c>
      <c r="U65" s="25" t="s">
        <v>141</v>
      </c>
      <c r="V65" s="15" t="s">
        <v>396</v>
      </c>
      <c r="W65" s="78" t="s">
        <v>397</v>
      </c>
      <c r="X65" s="25" t="s">
        <v>398</v>
      </c>
      <c r="Y65" s="37">
        <v>45504</v>
      </c>
      <c r="Z65" s="34">
        <v>45504</v>
      </c>
      <c r="AA65" s="34">
        <v>45506</v>
      </c>
      <c r="AB65" s="39"/>
      <c r="AC65" s="39"/>
    </row>
    <row r="66" spans="1:29" ht="60">
      <c r="A66" s="25" t="s">
        <v>73</v>
      </c>
      <c r="B66" s="19">
        <v>32</v>
      </c>
      <c r="C66" s="6" t="s">
        <v>399</v>
      </c>
      <c r="D66" s="27" t="s">
        <v>400</v>
      </c>
      <c r="E66" s="35" t="s">
        <v>401</v>
      </c>
      <c r="F66" s="34">
        <v>45495</v>
      </c>
      <c r="G66" s="48" t="s">
        <v>402</v>
      </c>
      <c r="H66" s="30" t="s">
        <v>121</v>
      </c>
      <c r="I66" s="31" t="s">
        <v>35</v>
      </c>
      <c r="J66" s="18" t="s">
        <v>36</v>
      </c>
      <c r="K66" s="32" t="s">
        <v>113</v>
      </c>
      <c r="L66" s="30" t="s">
        <v>108</v>
      </c>
      <c r="M66" s="34">
        <v>45511</v>
      </c>
      <c r="N66" s="37">
        <v>45511</v>
      </c>
      <c r="O66" s="25"/>
      <c r="P66" s="34">
        <v>45536</v>
      </c>
      <c r="Q66" s="18" t="str">
        <f t="shared" ca="1" si="1"/>
        <v>#REF!</v>
      </c>
      <c r="R66" s="13">
        <f t="shared" si="0"/>
        <v>42</v>
      </c>
      <c r="S66" s="18" t="s">
        <v>88</v>
      </c>
      <c r="T66" s="39"/>
      <c r="U66" s="25" t="s">
        <v>175</v>
      </c>
      <c r="V66" s="15" t="s">
        <v>387</v>
      </c>
      <c r="W66" s="25" t="s">
        <v>29</v>
      </c>
      <c r="X66" s="25" t="s">
        <v>45</v>
      </c>
      <c r="Y66" s="34">
        <v>45535</v>
      </c>
      <c r="Z66" s="34">
        <v>45535</v>
      </c>
      <c r="AA66" s="34">
        <v>45505</v>
      </c>
      <c r="AB66" s="39"/>
      <c r="AC66" s="39"/>
    </row>
    <row r="67" spans="1:29" ht="72">
      <c r="A67" s="25" t="s">
        <v>125</v>
      </c>
      <c r="B67" s="19">
        <v>56</v>
      </c>
      <c r="C67" s="91"/>
      <c r="D67" s="46" t="s">
        <v>403</v>
      </c>
      <c r="E67" s="35" t="s">
        <v>404</v>
      </c>
      <c r="F67" s="34">
        <v>45490</v>
      </c>
      <c r="G67" s="48" t="s">
        <v>405</v>
      </c>
      <c r="H67" s="30" t="s">
        <v>34</v>
      </c>
      <c r="I67" s="31" t="s">
        <v>35</v>
      </c>
      <c r="J67" s="65" t="s">
        <v>36</v>
      </c>
      <c r="K67" s="30" t="s">
        <v>78</v>
      </c>
      <c r="L67" s="118" t="s">
        <v>55</v>
      </c>
      <c r="M67" s="114">
        <v>45511</v>
      </c>
      <c r="N67" s="114">
        <v>45511</v>
      </c>
      <c r="O67" s="92" t="s">
        <v>39</v>
      </c>
      <c r="P67" s="93">
        <v>45553</v>
      </c>
      <c r="Q67" s="18" t="str">
        <f t="shared" ca="1" si="1"/>
        <v>#REF!</v>
      </c>
      <c r="R67" s="13">
        <f t="shared" si="0"/>
        <v>64</v>
      </c>
      <c r="S67" s="94"/>
      <c r="T67" s="95"/>
      <c r="U67" s="65" t="s">
        <v>141</v>
      </c>
      <c r="V67" s="15" t="s">
        <v>406</v>
      </c>
      <c r="W67" s="25" t="s">
        <v>407</v>
      </c>
      <c r="X67" s="94" t="s">
        <v>45</v>
      </c>
      <c r="Y67" s="63">
        <v>45490</v>
      </c>
      <c r="Z67" s="114">
        <v>45491</v>
      </c>
      <c r="AA67" s="114">
        <v>45505</v>
      </c>
      <c r="AB67" s="95"/>
      <c r="AC67" s="95"/>
    </row>
    <row r="68" spans="1:29" ht="63.75">
      <c r="A68" s="25" t="s">
        <v>125</v>
      </c>
      <c r="B68" s="19"/>
      <c r="C68" s="6"/>
      <c r="D68" s="46" t="s">
        <v>408</v>
      </c>
      <c r="E68" s="35" t="s">
        <v>409</v>
      </c>
      <c r="F68" s="37">
        <v>45498</v>
      </c>
      <c r="G68" s="96" t="s">
        <v>410</v>
      </c>
      <c r="H68" s="30" t="s">
        <v>112</v>
      </c>
      <c r="I68" s="31" t="s">
        <v>35</v>
      </c>
      <c r="J68" s="18" t="s">
        <v>53</v>
      </c>
      <c r="K68" s="32" t="s">
        <v>113</v>
      </c>
      <c r="L68" s="30" t="s">
        <v>108</v>
      </c>
      <c r="M68" s="37">
        <v>45511</v>
      </c>
      <c r="N68" s="37">
        <v>45511</v>
      </c>
      <c r="O68" s="36"/>
      <c r="P68" s="37"/>
      <c r="Q68" s="18" t="str">
        <f t="shared" ca="1" si="1"/>
        <v>#REF!</v>
      </c>
      <c r="R68" s="13">
        <f t="shared" si="0"/>
        <v>-45497</v>
      </c>
      <c r="S68" s="18"/>
      <c r="T68" s="39"/>
      <c r="U68" s="36" t="s">
        <v>42</v>
      </c>
      <c r="V68" s="15" t="s">
        <v>411</v>
      </c>
      <c r="W68" s="25" t="s">
        <v>412</v>
      </c>
      <c r="X68" s="36" t="s">
        <v>45</v>
      </c>
      <c r="Y68" s="37">
        <v>45504</v>
      </c>
      <c r="Z68" s="37">
        <v>45504</v>
      </c>
      <c r="AA68" s="37">
        <v>45505</v>
      </c>
      <c r="AB68" s="39"/>
      <c r="AC68" s="39"/>
    </row>
    <row r="69" spans="1:29" ht="63.75">
      <c r="A69" s="25" t="s">
        <v>125</v>
      </c>
      <c r="B69" s="19"/>
      <c r="C69" s="6"/>
      <c r="D69" s="27" t="s">
        <v>413</v>
      </c>
      <c r="E69" s="35" t="s">
        <v>414</v>
      </c>
      <c r="F69" s="37">
        <v>45506</v>
      </c>
      <c r="G69" s="25" t="s">
        <v>415</v>
      </c>
      <c r="H69" s="30" t="s">
        <v>112</v>
      </c>
      <c r="I69" s="31" t="s">
        <v>35</v>
      </c>
      <c r="J69" s="18" t="s">
        <v>53</v>
      </c>
      <c r="K69" s="32" t="s">
        <v>113</v>
      </c>
      <c r="L69" s="30" t="s">
        <v>55</v>
      </c>
      <c r="M69" s="34">
        <v>45603</v>
      </c>
      <c r="N69" s="37">
        <v>45603</v>
      </c>
      <c r="O69" s="25" t="s">
        <v>39</v>
      </c>
      <c r="P69" s="34"/>
      <c r="Q69" s="18" t="str">
        <f t="shared" ca="1" si="1"/>
        <v>#REF!</v>
      </c>
      <c r="R69" s="13">
        <f t="shared" si="0"/>
        <v>-45505</v>
      </c>
      <c r="S69" s="18"/>
      <c r="T69" s="39"/>
      <c r="U69" s="25" t="s">
        <v>272</v>
      </c>
      <c r="V69" s="15" t="s">
        <v>416</v>
      </c>
      <c r="W69" s="25" t="s">
        <v>417</v>
      </c>
      <c r="X69" s="25" t="s">
        <v>45</v>
      </c>
      <c r="Y69" s="37">
        <v>45532</v>
      </c>
      <c r="Z69" s="25" t="s">
        <v>418</v>
      </c>
      <c r="AA69" s="34">
        <v>45601</v>
      </c>
      <c r="AB69" s="39"/>
      <c r="AC69" s="39"/>
    </row>
    <row r="70" spans="1:29" ht="76.5">
      <c r="A70" s="97" t="s">
        <v>419</v>
      </c>
      <c r="B70" s="19"/>
      <c r="C70" s="97" t="s">
        <v>420</v>
      </c>
      <c r="D70" s="98" t="s">
        <v>421</v>
      </c>
      <c r="E70" s="99" t="s">
        <v>422</v>
      </c>
      <c r="F70" s="100">
        <v>45474</v>
      </c>
      <c r="G70" s="97" t="s">
        <v>157</v>
      </c>
      <c r="H70" s="97" t="s">
        <v>34</v>
      </c>
      <c r="I70" s="101" t="s">
        <v>35</v>
      </c>
      <c r="J70" s="97" t="s">
        <v>53</v>
      </c>
      <c r="K70" s="102" t="s">
        <v>37</v>
      </c>
      <c r="L70" s="97" t="s">
        <v>423</v>
      </c>
      <c r="M70" s="97" t="s">
        <v>39</v>
      </c>
      <c r="N70" s="97" t="s">
        <v>39</v>
      </c>
      <c r="O70" s="97" t="s">
        <v>39</v>
      </c>
      <c r="P70" s="100">
        <v>45508</v>
      </c>
      <c r="Q70" s="97"/>
      <c r="R70" s="97">
        <f t="shared" si="0"/>
        <v>35</v>
      </c>
      <c r="S70" s="97"/>
      <c r="T70" s="103"/>
      <c r="U70" s="97" t="s">
        <v>58</v>
      </c>
      <c r="V70" s="15" t="s">
        <v>424</v>
      </c>
      <c r="W70" s="97" t="s">
        <v>425</v>
      </c>
      <c r="X70" s="102" t="s">
        <v>45</v>
      </c>
      <c r="Y70" s="97" t="s">
        <v>39</v>
      </c>
      <c r="Z70" s="97" t="s">
        <v>39</v>
      </c>
      <c r="AA70" s="97" t="s">
        <v>39</v>
      </c>
      <c r="AB70" s="103"/>
      <c r="AC70" s="103"/>
    </row>
    <row r="71" spans="1:29" ht="84">
      <c r="A71" s="25" t="s">
        <v>125</v>
      </c>
      <c r="B71" s="19">
        <v>57</v>
      </c>
      <c r="C71" s="6"/>
      <c r="D71" s="46" t="s">
        <v>426</v>
      </c>
      <c r="E71" s="21" t="s">
        <v>427</v>
      </c>
      <c r="F71" s="22">
        <v>45509</v>
      </c>
      <c r="G71" s="25" t="s">
        <v>405</v>
      </c>
      <c r="H71" s="30" t="s">
        <v>34</v>
      </c>
      <c r="I71" s="31" t="s">
        <v>35</v>
      </c>
      <c r="J71" s="18" t="s">
        <v>36</v>
      </c>
      <c r="K71" s="32" t="s">
        <v>78</v>
      </c>
      <c r="L71" s="30" t="s">
        <v>55</v>
      </c>
      <c r="M71" s="63">
        <v>45551</v>
      </c>
      <c r="N71" s="63">
        <v>45551</v>
      </c>
      <c r="O71" s="64"/>
      <c r="P71" s="63">
        <v>45569</v>
      </c>
      <c r="Q71" s="18" t="str">
        <f t="shared" ref="Q71:Q73" ca="1" si="2">(Q:Q-F:F)+1</f>
        <v>#REF!</v>
      </c>
      <c r="R71" s="13">
        <f t="shared" si="0"/>
        <v>61</v>
      </c>
      <c r="S71" s="18"/>
      <c r="T71" s="77"/>
      <c r="U71" s="65" t="s">
        <v>181</v>
      </c>
      <c r="V71" s="15" t="s">
        <v>428</v>
      </c>
      <c r="W71" s="25" t="s">
        <v>429</v>
      </c>
      <c r="X71" s="36" t="s">
        <v>45</v>
      </c>
      <c r="Y71" s="63">
        <v>45532</v>
      </c>
      <c r="Z71" s="63">
        <v>45533</v>
      </c>
      <c r="AA71" s="63">
        <v>45544</v>
      </c>
      <c r="AB71" s="77"/>
      <c r="AC71" s="77"/>
    </row>
    <row r="72" spans="1:29" ht="60">
      <c r="A72" s="25" t="s">
        <v>73</v>
      </c>
      <c r="B72" s="19">
        <v>65</v>
      </c>
      <c r="C72" s="6"/>
      <c r="D72" s="27" t="s">
        <v>430</v>
      </c>
      <c r="E72" s="35" t="s">
        <v>431</v>
      </c>
      <c r="F72" s="34">
        <v>45513</v>
      </c>
      <c r="G72" s="25" t="s">
        <v>432</v>
      </c>
      <c r="H72" s="30" t="s">
        <v>34</v>
      </c>
      <c r="I72" s="31" t="s">
        <v>35</v>
      </c>
      <c r="J72" s="18" t="s">
        <v>36</v>
      </c>
      <c r="K72" s="32" t="s">
        <v>78</v>
      </c>
      <c r="L72" s="30" t="s">
        <v>108</v>
      </c>
      <c r="M72" s="34">
        <v>45567</v>
      </c>
      <c r="N72" s="34">
        <v>45567</v>
      </c>
      <c r="O72" s="25" t="s">
        <v>39</v>
      </c>
      <c r="P72" s="34">
        <v>45582</v>
      </c>
      <c r="Q72" s="18" t="str">
        <f t="shared" ca="1" si="2"/>
        <v>#REF!</v>
      </c>
      <c r="R72" s="13">
        <f t="shared" si="0"/>
        <v>70</v>
      </c>
      <c r="S72" s="18" t="s">
        <v>40</v>
      </c>
      <c r="T72" s="104" t="s">
        <v>433</v>
      </c>
      <c r="U72" s="25" t="s">
        <v>175</v>
      </c>
      <c r="V72" s="15" t="s">
        <v>333</v>
      </c>
      <c r="W72" s="25" t="s">
        <v>29</v>
      </c>
      <c r="X72" s="25" t="s">
        <v>45</v>
      </c>
      <c r="Y72" s="34">
        <v>45558</v>
      </c>
      <c r="Z72" s="37">
        <v>45558</v>
      </c>
      <c r="AA72" s="34">
        <v>45567</v>
      </c>
      <c r="AB72" s="25"/>
      <c r="AC72" s="25"/>
    </row>
    <row r="73" spans="1:29" ht="62.25" customHeight="1">
      <c r="A73" s="105" t="s">
        <v>434</v>
      </c>
      <c r="B73" s="19"/>
      <c r="C73" s="105"/>
      <c r="D73" s="106" t="s">
        <v>435</v>
      </c>
      <c r="E73" s="107" t="s">
        <v>436</v>
      </c>
      <c r="F73" s="108">
        <v>45523</v>
      </c>
      <c r="G73" s="105" t="s">
        <v>437</v>
      </c>
      <c r="H73" s="105" t="s">
        <v>350</v>
      </c>
      <c r="I73" s="109" t="s">
        <v>35</v>
      </c>
      <c r="J73" s="105" t="s">
        <v>36</v>
      </c>
      <c r="K73" s="110" t="s">
        <v>113</v>
      </c>
      <c r="L73" s="105" t="s">
        <v>438</v>
      </c>
      <c r="M73" s="105">
        <v>0</v>
      </c>
      <c r="N73" s="105">
        <v>0</v>
      </c>
      <c r="O73" s="105"/>
      <c r="P73" s="105" t="s">
        <v>439</v>
      </c>
      <c r="Q73" s="105" t="str">
        <f t="shared" ca="1" si="2"/>
        <v>#REF!</v>
      </c>
      <c r="R73" s="105" t="e">
        <f t="shared" si="0"/>
        <v>#VALUE!</v>
      </c>
      <c r="S73" s="105"/>
      <c r="T73" s="111"/>
      <c r="U73" s="105" t="s">
        <v>440</v>
      </c>
      <c r="V73" s="15" t="s">
        <v>441</v>
      </c>
      <c r="W73" s="105" t="s">
        <v>442</v>
      </c>
      <c r="X73" s="105" t="s">
        <v>45</v>
      </c>
      <c r="Y73" s="112">
        <v>45532</v>
      </c>
      <c r="Z73" s="112">
        <v>45533</v>
      </c>
      <c r="AA73" s="112">
        <v>45538</v>
      </c>
      <c r="AB73" s="111"/>
      <c r="AC73" s="111"/>
    </row>
    <row r="74" spans="1:29" ht="57" customHeight="1">
      <c r="A74" s="25" t="s">
        <v>73</v>
      </c>
      <c r="B74" s="19">
        <v>43</v>
      </c>
      <c r="C74" s="6"/>
      <c r="D74" s="27" t="s">
        <v>443</v>
      </c>
      <c r="E74" s="35" t="s">
        <v>444</v>
      </c>
      <c r="F74" s="34">
        <v>45523</v>
      </c>
      <c r="G74" s="48" t="s">
        <v>445</v>
      </c>
      <c r="H74" s="30" t="s">
        <v>121</v>
      </c>
      <c r="I74" s="31" t="s">
        <v>35</v>
      </c>
      <c r="J74" s="18" t="s">
        <v>36</v>
      </c>
      <c r="K74" s="32" t="s">
        <v>78</v>
      </c>
      <c r="L74" s="30" t="s">
        <v>108</v>
      </c>
      <c r="M74" s="34">
        <v>45567</v>
      </c>
      <c r="N74" s="34">
        <v>45567</v>
      </c>
      <c r="O74" s="25" t="s">
        <v>39</v>
      </c>
      <c r="P74" s="34">
        <v>45580</v>
      </c>
      <c r="Q74" s="18" t="str">
        <f>(W74)</f>
        <v>DADOS COLETADOS</v>
      </c>
      <c r="R74" s="13">
        <f t="shared" si="0"/>
        <v>58</v>
      </c>
      <c r="S74" s="18" t="s">
        <v>88</v>
      </c>
      <c r="T74" s="25" t="s">
        <v>446</v>
      </c>
      <c r="U74" s="25" t="s">
        <v>175</v>
      </c>
      <c r="V74" s="15" t="s">
        <v>387</v>
      </c>
      <c r="W74" s="25" t="s">
        <v>29</v>
      </c>
      <c r="X74" s="25" t="s">
        <v>447</v>
      </c>
      <c r="Y74" s="34">
        <v>45532</v>
      </c>
      <c r="Z74" s="34">
        <v>45533</v>
      </c>
      <c r="AA74" s="34">
        <v>45552</v>
      </c>
      <c r="AB74" s="25"/>
      <c r="AC74" s="25"/>
    </row>
    <row r="75" spans="1:29" ht="89.25">
      <c r="A75" s="27" t="s">
        <v>73</v>
      </c>
      <c r="B75" s="19">
        <v>47</v>
      </c>
      <c r="C75" s="113" t="s">
        <v>39</v>
      </c>
      <c r="D75" s="46" t="s">
        <v>448</v>
      </c>
      <c r="E75" s="62" t="s">
        <v>449</v>
      </c>
      <c r="F75" s="114">
        <v>45565</v>
      </c>
      <c r="G75" s="27" t="s">
        <v>157</v>
      </c>
      <c r="H75" s="30" t="s">
        <v>65</v>
      </c>
      <c r="I75" s="115" t="s">
        <v>130</v>
      </c>
      <c r="J75" s="116" t="s">
        <v>53</v>
      </c>
      <c r="K75" s="117" t="s">
        <v>78</v>
      </c>
      <c r="L75" s="118" t="s">
        <v>55</v>
      </c>
      <c r="M75" s="114">
        <v>45586</v>
      </c>
      <c r="N75" s="114">
        <v>45587</v>
      </c>
      <c r="O75" s="119" t="s">
        <v>39</v>
      </c>
      <c r="P75" s="114">
        <v>45619</v>
      </c>
      <c r="Q75" s="18" t="e">
        <f>(P75-#REF!)+1</f>
        <v>#REF!</v>
      </c>
      <c r="R75" s="120">
        <f t="shared" si="0"/>
        <v>55</v>
      </c>
      <c r="S75" s="18"/>
      <c r="T75" s="46"/>
      <c r="U75" s="46" t="s">
        <v>450</v>
      </c>
      <c r="V75" s="121" t="s">
        <v>451</v>
      </c>
      <c r="W75" s="27" t="s">
        <v>452</v>
      </c>
      <c r="X75" s="46" t="s">
        <v>39</v>
      </c>
      <c r="Y75" s="114">
        <v>45565</v>
      </c>
      <c r="Z75" s="114">
        <v>45565</v>
      </c>
      <c r="AA75" s="114">
        <v>45586</v>
      </c>
      <c r="AB75" s="86"/>
      <c r="AC75" s="122"/>
    </row>
    <row r="76" spans="1:29" ht="38.25">
      <c r="A76" s="25" t="s">
        <v>73</v>
      </c>
      <c r="B76" s="19">
        <v>41</v>
      </c>
      <c r="C76" s="6"/>
      <c r="D76" s="46" t="s">
        <v>453</v>
      </c>
      <c r="E76" s="67" t="s">
        <v>454</v>
      </c>
      <c r="F76" s="63">
        <v>45527</v>
      </c>
      <c r="G76" s="25" t="s">
        <v>445</v>
      </c>
      <c r="H76" s="30" t="s">
        <v>112</v>
      </c>
      <c r="I76" s="31" t="s">
        <v>35</v>
      </c>
      <c r="J76" s="18" t="s">
        <v>36</v>
      </c>
      <c r="K76" s="32" t="s">
        <v>78</v>
      </c>
      <c r="L76" s="30" t="s">
        <v>108</v>
      </c>
      <c r="M76" s="63">
        <v>45544</v>
      </c>
      <c r="N76" s="63">
        <v>45544</v>
      </c>
      <c r="O76" s="64" t="s">
        <v>455</v>
      </c>
      <c r="P76" s="63">
        <v>45568</v>
      </c>
      <c r="Q76" s="18"/>
      <c r="R76" s="13">
        <f t="shared" si="0"/>
        <v>42</v>
      </c>
      <c r="S76" s="18" t="s">
        <v>88</v>
      </c>
      <c r="T76" s="65"/>
      <c r="U76" s="65" t="s">
        <v>175</v>
      </c>
      <c r="V76" s="15" t="s">
        <v>387</v>
      </c>
      <c r="W76" s="25" t="s">
        <v>29</v>
      </c>
      <c r="X76" s="65" t="s">
        <v>447</v>
      </c>
      <c r="Y76" s="63">
        <v>45532</v>
      </c>
      <c r="Z76" s="63">
        <v>45533</v>
      </c>
      <c r="AA76" s="63">
        <v>45537</v>
      </c>
      <c r="AB76" s="65"/>
      <c r="AC76" s="65"/>
    </row>
    <row r="77" spans="1:29" ht="38.25">
      <c r="A77" s="25" t="s">
        <v>125</v>
      </c>
      <c r="B77" s="19"/>
      <c r="C77" s="6"/>
      <c r="D77" s="46" t="s">
        <v>456</v>
      </c>
      <c r="E77" s="67" t="s">
        <v>457</v>
      </c>
      <c r="F77" s="63">
        <v>45527</v>
      </c>
      <c r="G77" s="25" t="s">
        <v>248</v>
      </c>
      <c r="H77" s="30" t="s">
        <v>34</v>
      </c>
      <c r="I77" s="31" t="s">
        <v>35</v>
      </c>
      <c r="J77" s="18" t="s">
        <v>36</v>
      </c>
      <c r="K77" s="32" t="s">
        <v>78</v>
      </c>
      <c r="L77" s="30" t="s">
        <v>108</v>
      </c>
      <c r="M77" s="63">
        <v>45544</v>
      </c>
      <c r="N77" s="63">
        <v>45544</v>
      </c>
      <c r="O77" s="64"/>
      <c r="P77" s="63"/>
      <c r="Q77" s="18"/>
      <c r="R77" s="13">
        <f t="shared" si="0"/>
        <v>-45526</v>
      </c>
      <c r="S77" s="18"/>
      <c r="T77" s="65"/>
      <c r="U77" s="65" t="s">
        <v>175</v>
      </c>
      <c r="V77" s="15"/>
      <c r="W77" s="25" t="s">
        <v>29</v>
      </c>
      <c r="X77" s="65" t="s">
        <v>45</v>
      </c>
      <c r="Y77" s="63">
        <v>45532</v>
      </c>
      <c r="Z77" s="63">
        <v>45533</v>
      </c>
      <c r="AA77" s="63">
        <v>45537</v>
      </c>
      <c r="AB77" s="65"/>
      <c r="AC77" s="65"/>
    </row>
    <row r="78" spans="1:29" ht="72">
      <c r="A78" s="123" t="s">
        <v>46</v>
      </c>
      <c r="B78" s="19">
        <v>38</v>
      </c>
      <c r="C78" s="6"/>
      <c r="D78" s="43" t="s">
        <v>458</v>
      </c>
      <c r="E78" s="124" t="s">
        <v>459</v>
      </c>
      <c r="F78" s="125">
        <v>45530</v>
      </c>
      <c r="G78" s="126" t="s">
        <v>460</v>
      </c>
      <c r="H78" s="123" t="s">
        <v>121</v>
      </c>
      <c r="I78" s="127" t="s">
        <v>35</v>
      </c>
      <c r="J78" s="123" t="s">
        <v>53</v>
      </c>
      <c r="K78" s="128" t="s">
        <v>113</v>
      </c>
      <c r="L78" s="123" t="s">
        <v>55</v>
      </c>
      <c r="M78" s="125"/>
      <c r="N78" s="125">
        <v>45573</v>
      </c>
      <c r="O78" s="123" t="s">
        <v>39</v>
      </c>
      <c r="P78" s="125">
        <v>45582</v>
      </c>
      <c r="Q78" s="123" t="s">
        <v>461</v>
      </c>
      <c r="R78" s="13">
        <f t="shared" si="0"/>
        <v>53</v>
      </c>
      <c r="S78" s="123" t="s">
        <v>40</v>
      </c>
      <c r="T78" s="123"/>
      <c r="U78" s="123" t="s">
        <v>181</v>
      </c>
      <c r="V78" s="15" t="s">
        <v>462</v>
      </c>
      <c r="W78" s="123" t="s">
        <v>463</v>
      </c>
      <c r="X78" s="123" t="s">
        <v>45</v>
      </c>
      <c r="Y78" s="125">
        <v>45532</v>
      </c>
      <c r="Z78" s="125">
        <v>45533</v>
      </c>
      <c r="AA78" s="125">
        <v>45559</v>
      </c>
      <c r="AB78" s="123"/>
      <c r="AC78" s="123"/>
    </row>
    <row r="79" spans="1:29" ht="51">
      <c r="A79" s="25" t="s">
        <v>73</v>
      </c>
      <c r="B79" s="19">
        <v>39</v>
      </c>
      <c r="C79" s="6"/>
      <c r="D79" s="46" t="s">
        <v>464</v>
      </c>
      <c r="E79" s="67" t="s">
        <v>465</v>
      </c>
      <c r="F79" s="63">
        <v>45530</v>
      </c>
      <c r="G79" s="25" t="s">
        <v>445</v>
      </c>
      <c r="H79" s="30" t="s">
        <v>121</v>
      </c>
      <c r="I79" s="31" t="s">
        <v>35</v>
      </c>
      <c r="J79" s="18" t="s">
        <v>36</v>
      </c>
      <c r="K79" s="32" t="s">
        <v>78</v>
      </c>
      <c r="L79" s="30" t="s">
        <v>108</v>
      </c>
      <c r="M79" s="63">
        <v>45546</v>
      </c>
      <c r="N79" s="63">
        <v>45546</v>
      </c>
      <c r="O79" s="64"/>
      <c r="P79" s="63">
        <v>45568</v>
      </c>
      <c r="Q79" s="18"/>
      <c r="R79" s="13">
        <f t="shared" si="0"/>
        <v>39</v>
      </c>
      <c r="S79" s="18" t="s">
        <v>40</v>
      </c>
      <c r="T79" s="65"/>
      <c r="U79" s="65" t="s">
        <v>175</v>
      </c>
      <c r="V79" s="15" t="s">
        <v>387</v>
      </c>
      <c r="W79" s="25" t="s">
        <v>29</v>
      </c>
      <c r="X79" s="65" t="s">
        <v>466</v>
      </c>
      <c r="Y79" s="63">
        <v>45532</v>
      </c>
      <c r="Z79" s="63">
        <v>45533</v>
      </c>
      <c r="AA79" s="63">
        <v>45538</v>
      </c>
      <c r="AB79" s="65"/>
      <c r="AC79" s="65"/>
    </row>
    <row r="80" spans="1:29" ht="63.75">
      <c r="A80" s="25" t="s">
        <v>73</v>
      </c>
      <c r="B80" s="19">
        <v>55</v>
      </c>
      <c r="C80" s="6"/>
      <c r="D80" s="46" t="s">
        <v>467</v>
      </c>
      <c r="E80" s="67" t="s">
        <v>468</v>
      </c>
      <c r="F80" s="63">
        <v>45551</v>
      </c>
      <c r="G80" s="48" t="s">
        <v>469</v>
      </c>
      <c r="H80" s="30" t="s">
        <v>121</v>
      </c>
      <c r="I80" s="31" t="s">
        <v>35</v>
      </c>
      <c r="J80" s="18" t="s">
        <v>36</v>
      </c>
      <c r="K80" s="32" t="s">
        <v>113</v>
      </c>
      <c r="L80" s="30" t="s">
        <v>108</v>
      </c>
      <c r="M80" s="63">
        <v>45565</v>
      </c>
      <c r="N80" s="63">
        <v>45565</v>
      </c>
      <c r="O80" s="64"/>
      <c r="P80" s="63">
        <v>45568</v>
      </c>
      <c r="Q80" s="18"/>
      <c r="R80" s="13">
        <f t="shared" si="0"/>
        <v>18</v>
      </c>
      <c r="S80" s="18" t="s">
        <v>40</v>
      </c>
      <c r="T80" s="65"/>
      <c r="U80" s="65" t="s">
        <v>175</v>
      </c>
      <c r="V80" s="15" t="s">
        <v>387</v>
      </c>
      <c r="W80" s="25" t="s">
        <v>29</v>
      </c>
      <c r="X80" s="65" t="s">
        <v>39</v>
      </c>
      <c r="Y80" s="63">
        <v>45558</v>
      </c>
      <c r="Z80" s="63">
        <v>45558</v>
      </c>
      <c r="AA80" s="63">
        <v>45560</v>
      </c>
      <c r="AB80" s="65"/>
      <c r="AC80" s="65"/>
    </row>
    <row r="81" spans="1:29" ht="63.75">
      <c r="A81" s="25" t="s">
        <v>470</v>
      </c>
      <c r="B81" s="19"/>
      <c r="C81" s="6" t="s">
        <v>360</v>
      </c>
      <c r="D81" s="46" t="s">
        <v>471</v>
      </c>
      <c r="E81" s="67" t="s">
        <v>472</v>
      </c>
      <c r="F81" s="63">
        <v>45530</v>
      </c>
      <c r="G81" s="25" t="s">
        <v>473</v>
      </c>
      <c r="H81" s="30" t="s">
        <v>34</v>
      </c>
      <c r="I81" s="31" t="s">
        <v>35</v>
      </c>
      <c r="J81" s="18" t="s">
        <v>36</v>
      </c>
      <c r="K81" s="32" t="s">
        <v>67</v>
      </c>
      <c r="L81" s="30" t="s">
        <v>219</v>
      </c>
      <c r="M81" s="63"/>
      <c r="N81" s="63"/>
      <c r="O81" s="64"/>
      <c r="P81" s="63"/>
      <c r="Q81" s="18"/>
      <c r="R81" s="13">
        <f t="shared" si="0"/>
        <v>-45529</v>
      </c>
      <c r="S81" s="18" t="s">
        <v>69</v>
      </c>
      <c r="T81" s="65"/>
      <c r="U81" s="65" t="s">
        <v>42</v>
      </c>
      <c r="V81" s="15" t="s">
        <v>182</v>
      </c>
      <c r="W81" s="25"/>
      <c r="X81" s="65" t="s">
        <v>39</v>
      </c>
      <c r="Y81" s="63">
        <v>45532</v>
      </c>
      <c r="Z81" s="63">
        <v>45533</v>
      </c>
      <c r="AA81" s="63"/>
      <c r="AB81" s="65"/>
      <c r="AC81" s="65"/>
    </row>
    <row r="82" spans="1:29" ht="54.75" customHeight="1">
      <c r="A82" s="25" t="s">
        <v>325</v>
      </c>
      <c r="B82" s="19"/>
      <c r="C82" s="129"/>
      <c r="D82" s="46" t="s">
        <v>474</v>
      </c>
      <c r="E82" s="67" t="s">
        <v>475</v>
      </c>
      <c r="F82" s="63">
        <v>45532</v>
      </c>
      <c r="G82" s="25" t="s">
        <v>476</v>
      </c>
      <c r="H82" s="30" t="s">
        <v>34</v>
      </c>
      <c r="I82" s="31" t="s">
        <v>35</v>
      </c>
      <c r="J82" s="18" t="s">
        <v>36</v>
      </c>
      <c r="K82" s="32" t="s">
        <v>98</v>
      </c>
      <c r="L82" s="30" t="s">
        <v>219</v>
      </c>
      <c r="M82" s="63"/>
      <c r="N82" s="63"/>
      <c r="O82" s="64"/>
      <c r="P82" s="63"/>
      <c r="Q82" s="18"/>
      <c r="R82" s="13">
        <f t="shared" si="0"/>
        <v>-45531</v>
      </c>
      <c r="S82" s="18" t="s">
        <v>40</v>
      </c>
      <c r="T82" s="65"/>
      <c r="U82" s="65" t="s">
        <v>181</v>
      </c>
      <c r="V82" s="15" t="s">
        <v>477</v>
      </c>
      <c r="W82" s="25" t="s">
        <v>478</v>
      </c>
      <c r="X82" s="65" t="s">
        <v>39</v>
      </c>
      <c r="Y82" s="63">
        <v>45532</v>
      </c>
      <c r="Z82" s="63">
        <v>45533</v>
      </c>
      <c r="AA82" s="63"/>
      <c r="AB82" s="65"/>
      <c r="AC82" s="65"/>
    </row>
    <row r="83" spans="1:29" ht="36">
      <c r="A83" s="25" t="s">
        <v>125</v>
      </c>
      <c r="B83" s="130"/>
      <c r="C83" s="6"/>
      <c r="D83" s="46" t="s">
        <v>479</v>
      </c>
      <c r="E83" s="67" t="s">
        <v>480</v>
      </c>
      <c r="F83" s="63">
        <v>45607</v>
      </c>
      <c r="G83" s="41" t="s">
        <v>481</v>
      </c>
      <c r="H83" s="30" t="s">
        <v>34</v>
      </c>
      <c r="I83" s="31" t="s">
        <v>35</v>
      </c>
      <c r="J83" s="18" t="s">
        <v>36</v>
      </c>
      <c r="K83" s="32" t="s">
        <v>78</v>
      </c>
      <c r="L83" s="30" t="s">
        <v>219</v>
      </c>
      <c r="M83" s="63">
        <v>45617</v>
      </c>
      <c r="N83" s="63">
        <v>45617</v>
      </c>
      <c r="O83" s="64" t="s">
        <v>482</v>
      </c>
      <c r="P83" s="63"/>
      <c r="Q83" s="18">
        <f>(P83-N4)+1</f>
        <v>-45308</v>
      </c>
      <c r="R83" s="13">
        <f t="shared" si="0"/>
        <v>-45606</v>
      </c>
      <c r="S83" s="18"/>
      <c r="T83" s="65"/>
      <c r="U83" s="65" t="s">
        <v>79</v>
      </c>
      <c r="V83" s="15" t="s">
        <v>483</v>
      </c>
      <c r="W83" s="65" t="s">
        <v>484</v>
      </c>
      <c r="X83" s="65" t="s">
        <v>39</v>
      </c>
      <c r="Y83" s="63">
        <v>45607</v>
      </c>
      <c r="Z83" s="63">
        <v>45607</v>
      </c>
      <c r="AA83" s="63">
        <v>45609</v>
      </c>
      <c r="AB83" s="86"/>
      <c r="AC83" s="64"/>
    </row>
    <row r="84" spans="1:29" ht="59.25" customHeight="1">
      <c r="A84" s="25" t="s">
        <v>125</v>
      </c>
      <c r="B84" s="19">
        <v>51</v>
      </c>
      <c r="C84" s="6"/>
      <c r="D84" s="46" t="s">
        <v>485</v>
      </c>
      <c r="E84" s="75" t="s">
        <v>486</v>
      </c>
      <c r="F84" s="63">
        <v>45537</v>
      </c>
      <c r="G84" s="48" t="s">
        <v>487</v>
      </c>
      <c r="H84" s="30" t="s">
        <v>121</v>
      </c>
      <c r="I84" s="31" t="s">
        <v>35</v>
      </c>
      <c r="J84" s="18" t="s">
        <v>36</v>
      </c>
      <c r="K84" s="32" t="s">
        <v>113</v>
      </c>
      <c r="L84" s="30" t="s">
        <v>55</v>
      </c>
      <c r="M84" s="63">
        <v>45600</v>
      </c>
      <c r="N84" s="63">
        <v>45600</v>
      </c>
      <c r="O84" s="64" t="s">
        <v>39</v>
      </c>
      <c r="P84" s="63">
        <v>45603</v>
      </c>
      <c r="Q84" s="18"/>
      <c r="R84" s="13">
        <f t="shared" si="0"/>
        <v>67</v>
      </c>
      <c r="S84" s="18" t="s">
        <v>40</v>
      </c>
      <c r="T84" s="65"/>
      <c r="U84" s="65" t="s">
        <v>141</v>
      </c>
      <c r="V84" s="15" t="s">
        <v>488</v>
      </c>
      <c r="W84" s="25" t="s">
        <v>489</v>
      </c>
      <c r="X84" s="65" t="s">
        <v>39</v>
      </c>
      <c r="Y84" s="63">
        <v>45553</v>
      </c>
      <c r="Z84" s="63">
        <v>45558</v>
      </c>
      <c r="AA84" s="63">
        <v>45568</v>
      </c>
      <c r="AB84" s="86"/>
      <c r="AC84" s="64"/>
    </row>
    <row r="85" spans="1:29" ht="63.75" customHeight="1">
      <c r="A85" s="27" t="s">
        <v>46</v>
      </c>
      <c r="B85" s="19">
        <v>42</v>
      </c>
      <c r="C85" s="3"/>
      <c r="D85" s="46" t="s">
        <v>490</v>
      </c>
      <c r="E85" s="67" t="s">
        <v>491</v>
      </c>
      <c r="F85" s="114">
        <v>45544</v>
      </c>
      <c r="G85" s="27" t="s">
        <v>492</v>
      </c>
      <c r="H85" s="30" t="s">
        <v>112</v>
      </c>
      <c r="I85" s="115" t="s">
        <v>35</v>
      </c>
      <c r="J85" s="116" t="s">
        <v>36</v>
      </c>
      <c r="K85" s="117" t="s">
        <v>113</v>
      </c>
      <c r="L85" s="118" t="s">
        <v>55</v>
      </c>
      <c r="M85" s="114">
        <v>45567</v>
      </c>
      <c r="N85" s="114">
        <v>45567</v>
      </c>
      <c r="O85" s="122" t="s">
        <v>39</v>
      </c>
      <c r="P85" s="114">
        <v>45594</v>
      </c>
      <c r="Q85" s="18"/>
      <c r="R85" s="120">
        <f t="shared" si="0"/>
        <v>51</v>
      </c>
      <c r="S85" s="18"/>
      <c r="T85" s="46"/>
      <c r="U85" s="46" t="s">
        <v>79</v>
      </c>
      <c r="V85" s="121" t="s">
        <v>493</v>
      </c>
      <c r="W85" s="27" t="s">
        <v>494</v>
      </c>
      <c r="X85" s="46" t="s">
        <v>39</v>
      </c>
      <c r="Y85" s="114">
        <v>45558</v>
      </c>
      <c r="Z85" s="114">
        <v>45558</v>
      </c>
      <c r="AA85" s="114">
        <v>45567</v>
      </c>
      <c r="AB85" s="86"/>
      <c r="AC85" s="122"/>
    </row>
    <row r="86" spans="1:29" ht="69" customHeight="1">
      <c r="A86" s="25" t="s">
        <v>73</v>
      </c>
      <c r="B86" s="130" t="s">
        <v>495</v>
      </c>
      <c r="C86" s="6"/>
      <c r="D86" s="46" t="s">
        <v>496</v>
      </c>
      <c r="E86" s="67" t="s">
        <v>497</v>
      </c>
      <c r="F86" s="63">
        <v>45595</v>
      </c>
      <c r="G86" s="25" t="s">
        <v>157</v>
      </c>
      <c r="H86" s="30" t="s">
        <v>34</v>
      </c>
      <c r="I86" s="31" t="s">
        <v>35</v>
      </c>
      <c r="J86" s="18" t="s">
        <v>53</v>
      </c>
      <c r="K86" s="32" t="s">
        <v>78</v>
      </c>
      <c r="L86" s="30" t="s">
        <v>108</v>
      </c>
      <c r="M86" s="63">
        <v>45603</v>
      </c>
      <c r="N86" s="63">
        <v>45603</v>
      </c>
      <c r="O86" s="64">
        <v>0</v>
      </c>
      <c r="P86" s="63">
        <v>45613</v>
      </c>
      <c r="Q86" s="18" t="str">
        <f ca="1">(Q86-N86)+1</f>
        <v>#REF!</v>
      </c>
      <c r="R86" s="13">
        <f t="shared" si="0"/>
        <v>19</v>
      </c>
      <c r="S86" s="18"/>
      <c r="T86" s="65"/>
      <c r="U86" s="65" t="s">
        <v>175</v>
      </c>
      <c r="V86" s="15" t="s">
        <v>498</v>
      </c>
      <c r="W86" s="25" t="s">
        <v>29</v>
      </c>
      <c r="X86" s="65" t="s">
        <v>39</v>
      </c>
      <c r="Y86" s="63">
        <v>45600</v>
      </c>
      <c r="Z86" s="63">
        <v>45600</v>
      </c>
      <c r="AA86" s="63">
        <v>45601</v>
      </c>
      <c r="AB86" s="86"/>
      <c r="AC86" s="64"/>
    </row>
    <row r="87" spans="1:29" ht="87" customHeight="1">
      <c r="A87" s="25" t="s">
        <v>313</v>
      </c>
      <c r="B87" s="131"/>
      <c r="C87" s="6"/>
      <c r="D87" s="46" t="s">
        <v>499</v>
      </c>
      <c r="E87" s="67" t="s">
        <v>500</v>
      </c>
      <c r="F87" s="63">
        <v>45639</v>
      </c>
      <c r="G87" s="46" t="s">
        <v>501</v>
      </c>
      <c r="H87" s="30" t="s">
        <v>34</v>
      </c>
      <c r="I87" s="31" t="s">
        <v>502</v>
      </c>
      <c r="J87" s="18" t="s">
        <v>53</v>
      </c>
      <c r="K87" s="32" t="s">
        <v>78</v>
      </c>
      <c r="L87" s="30" t="s">
        <v>108</v>
      </c>
      <c r="M87" s="63">
        <v>45652</v>
      </c>
      <c r="N87" s="63">
        <v>45652</v>
      </c>
      <c r="O87" s="64"/>
      <c r="P87" s="63"/>
      <c r="Q87" s="65"/>
      <c r="R87" s="13">
        <f t="shared" si="0"/>
        <v>-45638</v>
      </c>
      <c r="S87" s="65"/>
      <c r="T87" s="65"/>
      <c r="U87" s="65" t="s">
        <v>503</v>
      </c>
      <c r="V87" s="15" t="s">
        <v>504</v>
      </c>
      <c r="W87" s="78" t="s">
        <v>505</v>
      </c>
      <c r="X87" s="65"/>
      <c r="Y87" s="63"/>
      <c r="Z87" s="63"/>
      <c r="AA87" s="63">
        <v>45649</v>
      </c>
      <c r="AB87" s="86"/>
      <c r="AC87" s="64"/>
    </row>
    <row r="88" spans="1:29" ht="82.5" customHeight="1">
      <c r="A88" s="25" t="s">
        <v>325</v>
      </c>
      <c r="B88" s="130"/>
      <c r="C88" s="6"/>
      <c r="D88" s="46" t="s">
        <v>506</v>
      </c>
      <c r="E88" s="67" t="s">
        <v>507</v>
      </c>
      <c r="F88" s="63">
        <v>45602</v>
      </c>
      <c r="G88" s="25" t="s">
        <v>508</v>
      </c>
      <c r="H88" s="30" t="s">
        <v>65</v>
      </c>
      <c r="I88" s="31" t="s">
        <v>509</v>
      </c>
      <c r="J88" s="18" t="s">
        <v>36</v>
      </c>
      <c r="K88" s="32" t="s">
        <v>113</v>
      </c>
      <c r="L88" s="30" t="s">
        <v>219</v>
      </c>
      <c r="M88" s="63"/>
      <c r="N88" s="63"/>
      <c r="O88" s="64"/>
      <c r="P88" s="63"/>
      <c r="Q88" s="18">
        <f>(P88-N9)+1</f>
        <v>-45349</v>
      </c>
      <c r="R88" s="13">
        <f t="shared" si="0"/>
        <v>-45601</v>
      </c>
      <c r="S88" s="18"/>
      <c r="T88" s="65"/>
      <c r="U88" s="65" t="s">
        <v>141</v>
      </c>
      <c r="V88" s="15" t="s">
        <v>510</v>
      </c>
      <c r="W88" s="132" t="s">
        <v>511</v>
      </c>
      <c r="X88" s="65" t="s">
        <v>512</v>
      </c>
      <c r="Y88" s="63">
        <v>45602</v>
      </c>
      <c r="Z88" s="63">
        <v>45603</v>
      </c>
      <c r="AA88" s="63"/>
      <c r="AB88" s="86"/>
      <c r="AC88" s="64"/>
    </row>
    <row r="89" spans="1:29" ht="82.5" customHeight="1">
      <c r="A89" s="25" t="s">
        <v>470</v>
      </c>
      <c r="B89" s="19"/>
      <c r="C89" s="6"/>
      <c r="D89" s="46" t="s">
        <v>513</v>
      </c>
      <c r="E89" s="75" t="s">
        <v>514</v>
      </c>
      <c r="F89" s="22">
        <v>45526</v>
      </c>
      <c r="G89" s="25" t="s">
        <v>515</v>
      </c>
      <c r="H89" s="30" t="s">
        <v>34</v>
      </c>
      <c r="I89" s="31" t="s">
        <v>35</v>
      </c>
      <c r="J89" s="18" t="s">
        <v>53</v>
      </c>
      <c r="K89" s="32" t="s">
        <v>113</v>
      </c>
      <c r="L89" s="30" t="s">
        <v>219</v>
      </c>
      <c r="M89" s="63"/>
      <c r="N89" s="63"/>
      <c r="O89" s="64"/>
      <c r="P89" s="63"/>
      <c r="Q89" s="18"/>
      <c r="R89" s="13">
        <f t="shared" si="0"/>
        <v>-45525</v>
      </c>
      <c r="S89" s="18"/>
      <c r="T89" s="65"/>
      <c r="U89" s="65" t="s">
        <v>181</v>
      </c>
      <c r="V89" s="15" t="s">
        <v>516</v>
      </c>
      <c r="W89" s="25" t="s">
        <v>517</v>
      </c>
      <c r="X89" s="65" t="s">
        <v>45</v>
      </c>
      <c r="Y89" s="63">
        <v>45532</v>
      </c>
      <c r="Z89" s="63">
        <v>45533</v>
      </c>
      <c r="AA89" s="63"/>
      <c r="AB89" s="65"/>
      <c r="AC89" s="65"/>
    </row>
    <row r="90" spans="1:29" ht="82.5" customHeight="1">
      <c r="A90" s="27" t="s">
        <v>117</v>
      </c>
      <c r="B90" s="19"/>
      <c r="C90" s="3"/>
      <c r="D90" s="133" t="s">
        <v>518</v>
      </c>
      <c r="E90" s="67" t="s">
        <v>519</v>
      </c>
      <c r="F90" s="114">
        <v>45579</v>
      </c>
      <c r="G90" s="85" t="s">
        <v>520</v>
      </c>
      <c r="H90" s="30" t="s">
        <v>34</v>
      </c>
      <c r="I90" s="115" t="s">
        <v>77</v>
      </c>
      <c r="J90" s="116" t="s">
        <v>53</v>
      </c>
      <c r="K90" s="117" t="s">
        <v>122</v>
      </c>
      <c r="L90" s="118" t="s">
        <v>108</v>
      </c>
      <c r="M90" s="114">
        <v>45596</v>
      </c>
      <c r="N90" s="114">
        <v>45596</v>
      </c>
      <c r="O90" s="122" t="s">
        <v>39</v>
      </c>
      <c r="P90" s="114"/>
      <c r="Q90" s="18"/>
      <c r="R90" s="120">
        <f t="shared" si="0"/>
        <v>-45578</v>
      </c>
      <c r="S90" s="18"/>
      <c r="T90" s="134"/>
      <c r="U90" s="46" t="s">
        <v>181</v>
      </c>
      <c r="V90" s="135" t="s">
        <v>521</v>
      </c>
      <c r="W90" s="136"/>
      <c r="X90" s="46" t="s">
        <v>39</v>
      </c>
      <c r="Y90" s="114">
        <v>45579</v>
      </c>
      <c r="Z90" s="114">
        <v>45581</v>
      </c>
      <c r="AA90" s="114">
        <v>45596</v>
      </c>
      <c r="AB90" s="86"/>
      <c r="AC90" s="137"/>
    </row>
    <row r="91" spans="1:29" ht="82.5" customHeight="1">
      <c r="A91" s="138" t="s">
        <v>125</v>
      </c>
      <c r="B91" s="139"/>
      <c r="C91" s="138"/>
      <c r="D91" s="40" t="s">
        <v>522</v>
      </c>
      <c r="E91" s="140" t="s">
        <v>523</v>
      </c>
      <c r="F91" s="138" t="s">
        <v>222</v>
      </c>
      <c r="G91" s="141" t="s">
        <v>524</v>
      </c>
      <c r="H91" s="138" t="s">
        <v>65</v>
      </c>
      <c r="I91" s="142" t="s">
        <v>77</v>
      </c>
      <c r="J91" s="138" t="s">
        <v>525</v>
      </c>
      <c r="K91" s="143" t="s">
        <v>67</v>
      </c>
      <c r="L91" s="138"/>
      <c r="M91" s="144"/>
      <c r="N91" s="144"/>
      <c r="O91" s="138"/>
      <c r="P91" s="144"/>
      <c r="Q91" s="138">
        <f>(P91-N13)+1</f>
        <v>-45433</v>
      </c>
      <c r="R91" s="13" t="e">
        <f t="shared" si="0"/>
        <v>#VALUE!</v>
      </c>
      <c r="S91" s="138"/>
      <c r="T91" s="141"/>
      <c r="U91" s="138" t="s">
        <v>272</v>
      </c>
      <c r="V91" s="15" t="s">
        <v>526</v>
      </c>
      <c r="W91" s="138" t="s">
        <v>527</v>
      </c>
      <c r="X91" s="138" t="s">
        <v>39</v>
      </c>
      <c r="Y91" s="144"/>
      <c r="Z91" s="144"/>
      <c r="AA91" s="144">
        <v>45609</v>
      </c>
      <c r="AB91" s="86"/>
      <c r="AC91" s="145"/>
    </row>
    <row r="92" spans="1:29" ht="82.5" customHeight="1">
      <c r="A92" s="25" t="s">
        <v>528</v>
      </c>
      <c r="B92" s="131"/>
      <c r="C92" s="6"/>
      <c r="D92" s="46" t="s">
        <v>529</v>
      </c>
      <c r="E92" s="67" t="s">
        <v>530</v>
      </c>
      <c r="F92" s="63">
        <v>45639</v>
      </c>
      <c r="G92" s="46" t="s">
        <v>531</v>
      </c>
      <c r="H92" s="30" t="s">
        <v>34</v>
      </c>
      <c r="I92" s="31" t="s">
        <v>35</v>
      </c>
      <c r="J92" s="18" t="s">
        <v>36</v>
      </c>
      <c r="K92" s="32" t="s">
        <v>113</v>
      </c>
      <c r="L92" s="65"/>
      <c r="M92" s="63"/>
      <c r="N92" s="63"/>
      <c r="O92" s="64"/>
      <c r="P92" s="63"/>
      <c r="Q92" s="65"/>
      <c r="R92" s="13">
        <f t="shared" si="0"/>
        <v>-45638</v>
      </c>
      <c r="S92" s="65"/>
      <c r="T92" s="78"/>
      <c r="U92" s="65" t="s">
        <v>175</v>
      </c>
      <c r="V92" s="15" t="s">
        <v>182</v>
      </c>
      <c r="W92" s="65" t="s">
        <v>29</v>
      </c>
      <c r="X92" s="65"/>
      <c r="Y92" s="63"/>
      <c r="Z92" s="63"/>
      <c r="AA92" s="63"/>
      <c r="AB92" s="86"/>
      <c r="AC92" s="145"/>
    </row>
    <row r="93" spans="1:29" ht="82.5" customHeight="1">
      <c r="A93" s="25" t="s">
        <v>250</v>
      </c>
      <c r="B93" s="130"/>
      <c r="C93" s="6"/>
      <c r="D93" s="46" t="s">
        <v>532</v>
      </c>
      <c r="E93" s="67" t="s">
        <v>533</v>
      </c>
      <c r="F93" s="63">
        <v>45590</v>
      </c>
      <c r="G93" s="48" t="s">
        <v>534</v>
      </c>
      <c r="H93" s="30" t="s">
        <v>34</v>
      </c>
      <c r="I93" s="31" t="s">
        <v>35</v>
      </c>
      <c r="J93" s="18" t="s">
        <v>36</v>
      </c>
      <c r="K93" s="32" t="s">
        <v>113</v>
      </c>
      <c r="L93" s="30" t="s">
        <v>108</v>
      </c>
      <c r="M93" s="63"/>
      <c r="N93" s="63"/>
      <c r="O93" s="64" t="s">
        <v>39</v>
      </c>
      <c r="P93" s="63"/>
      <c r="Q93" s="18"/>
      <c r="R93" s="13">
        <f t="shared" si="0"/>
        <v>-45589</v>
      </c>
      <c r="S93" s="18"/>
      <c r="T93" s="65"/>
      <c r="U93" s="65" t="s">
        <v>175</v>
      </c>
      <c r="V93" s="15" t="s">
        <v>535</v>
      </c>
      <c r="W93" s="25" t="s">
        <v>29</v>
      </c>
      <c r="X93" s="65" t="s">
        <v>39</v>
      </c>
      <c r="Y93" s="63">
        <v>45600</v>
      </c>
      <c r="Z93" s="63">
        <v>45600</v>
      </c>
      <c r="AA93" s="63">
        <v>45673</v>
      </c>
      <c r="AB93" s="86"/>
      <c r="AC93" s="64"/>
    </row>
    <row r="94" spans="1:29" ht="82.5" customHeight="1">
      <c r="A94" s="25" t="s">
        <v>125</v>
      </c>
      <c r="B94" s="19">
        <v>48</v>
      </c>
      <c r="C94" s="6" t="s">
        <v>536</v>
      </c>
      <c r="D94" s="46" t="s">
        <v>537</v>
      </c>
      <c r="E94" s="67" t="s">
        <v>538</v>
      </c>
      <c r="F94" s="63">
        <v>45551</v>
      </c>
      <c r="G94" s="25" t="s">
        <v>437</v>
      </c>
      <c r="H94" s="30" t="s">
        <v>350</v>
      </c>
      <c r="I94" s="31" t="s">
        <v>35</v>
      </c>
      <c r="J94" s="18" t="s">
        <v>36</v>
      </c>
      <c r="K94" s="32" t="s">
        <v>113</v>
      </c>
      <c r="L94" s="30" t="s">
        <v>55</v>
      </c>
      <c r="M94" s="63">
        <v>45567</v>
      </c>
      <c r="N94" s="63">
        <v>45567</v>
      </c>
      <c r="O94" s="64" t="s">
        <v>39</v>
      </c>
      <c r="P94" s="63">
        <v>45582</v>
      </c>
      <c r="Q94" s="18"/>
      <c r="R94" s="13">
        <f t="shared" si="0"/>
        <v>32</v>
      </c>
      <c r="S94" s="18" t="s">
        <v>40</v>
      </c>
      <c r="T94" s="65"/>
      <c r="U94" s="65" t="s">
        <v>42</v>
      </c>
      <c r="V94" s="15" t="s">
        <v>539</v>
      </c>
      <c r="W94" s="132" t="s">
        <v>540</v>
      </c>
      <c r="X94" s="65" t="s">
        <v>39</v>
      </c>
      <c r="Y94" s="63">
        <v>45558</v>
      </c>
      <c r="Z94" s="63">
        <v>45558</v>
      </c>
      <c r="AA94" s="63">
        <v>45567</v>
      </c>
      <c r="AB94" s="86"/>
      <c r="AC94" s="64"/>
    </row>
    <row r="95" spans="1:29" ht="82.5" customHeight="1">
      <c r="A95" s="40" t="s">
        <v>29</v>
      </c>
      <c r="B95" s="139" t="s">
        <v>541</v>
      </c>
      <c r="C95" s="40"/>
      <c r="D95" s="146" t="s">
        <v>542</v>
      </c>
      <c r="E95" s="140" t="s">
        <v>543</v>
      </c>
      <c r="F95" s="147">
        <v>45581</v>
      </c>
      <c r="G95" s="146" t="s">
        <v>544</v>
      </c>
      <c r="H95" s="138" t="s">
        <v>65</v>
      </c>
      <c r="I95" s="148" t="s">
        <v>545</v>
      </c>
      <c r="J95" s="40" t="s">
        <v>36</v>
      </c>
      <c r="K95" s="146" t="s">
        <v>122</v>
      </c>
      <c r="L95" s="40" t="s">
        <v>108</v>
      </c>
      <c r="M95" s="147">
        <v>45583</v>
      </c>
      <c r="N95" s="147">
        <v>45586</v>
      </c>
      <c r="O95" s="40"/>
      <c r="P95" s="147">
        <v>45695</v>
      </c>
      <c r="Q95" s="138">
        <f>(P95-N20)+1</f>
        <v>284</v>
      </c>
      <c r="R95" s="40">
        <f t="shared" si="0"/>
        <v>115</v>
      </c>
      <c r="S95" s="138" t="s">
        <v>69</v>
      </c>
      <c r="T95" s="149" t="s">
        <v>546</v>
      </c>
      <c r="U95" s="40" t="s">
        <v>278</v>
      </c>
      <c r="V95" s="150" t="s">
        <v>547</v>
      </c>
      <c r="W95" s="150" t="s">
        <v>548</v>
      </c>
      <c r="X95" s="40" t="s">
        <v>39</v>
      </c>
      <c r="Y95" s="147">
        <v>45581</v>
      </c>
      <c r="Z95" s="147">
        <v>45582</v>
      </c>
      <c r="AA95" s="147">
        <v>45583</v>
      </c>
      <c r="AB95" s="143"/>
      <c r="AC95" s="149"/>
    </row>
    <row r="96" spans="1:29" ht="82.5" customHeight="1">
      <c r="A96" s="25" t="s">
        <v>549</v>
      </c>
      <c r="B96" s="131" t="s">
        <v>550</v>
      </c>
      <c r="C96" s="6"/>
      <c r="D96" s="46" t="s">
        <v>551</v>
      </c>
      <c r="E96" s="67" t="s">
        <v>552</v>
      </c>
      <c r="F96" s="63">
        <v>45638</v>
      </c>
      <c r="G96" s="46" t="s">
        <v>553</v>
      </c>
      <c r="H96" s="30" t="s">
        <v>34</v>
      </c>
      <c r="I96" s="31" t="s">
        <v>77</v>
      </c>
      <c r="J96" s="18" t="s">
        <v>36</v>
      </c>
      <c r="K96" s="32" t="s">
        <v>122</v>
      </c>
      <c r="L96" s="30" t="s">
        <v>219</v>
      </c>
      <c r="M96" s="65" t="s">
        <v>39</v>
      </c>
      <c r="N96" s="65" t="s">
        <v>39</v>
      </c>
      <c r="O96" s="64" t="s">
        <v>39</v>
      </c>
      <c r="P96" s="65" t="s">
        <v>39</v>
      </c>
      <c r="Q96" s="65"/>
      <c r="R96" s="13" t="e">
        <f t="shared" si="0"/>
        <v>#VALUE!</v>
      </c>
      <c r="S96" s="65" t="s">
        <v>39</v>
      </c>
      <c r="T96" s="65" t="s">
        <v>39</v>
      </c>
      <c r="U96" s="65" t="s">
        <v>503</v>
      </c>
      <c r="V96" s="15" t="s">
        <v>182</v>
      </c>
      <c r="W96" s="65" t="s">
        <v>39</v>
      </c>
      <c r="X96" s="65" t="s">
        <v>39</v>
      </c>
      <c r="Y96" s="74">
        <v>45653</v>
      </c>
      <c r="Z96" s="63">
        <v>45659</v>
      </c>
      <c r="AA96" s="63"/>
      <c r="AB96" s="86" t="s">
        <v>554</v>
      </c>
      <c r="AC96" s="64"/>
    </row>
    <row r="97" spans="1:29" ht="82.5" customHeight="1">
      <c r="A97" s="25" t="s">
        <v>470</v>
      </c>
      <c r="B97" s="19"/>
      <c r="C97" s="6"/>
      <c r="D97" s="133" t="s">
        <v>555</v>
      </c>
      <c r="E97" s="67" t="s">
        <v>556</v>
      </c>
      <c r="F97" s="63">
        <v>45582</v>
      </c>
      <c r="G97" s="25" t="s">
        <v>557</v>
      </c>
      <c r="H97" s="30" t="s">
        <v>65</v>
      </c>
      <c r="I97" s="31" t="s">
        <v>558</v>
      </c>
      <c r="J97" s="18" t="s">
        <v>53</v>
      </c>
      <c r="K97" s="32" t="s">
        <v>78</v>
      </c>
      <c r="L97" s="30" t="s">
        <v>219</v>
      </c>
      <c r="M97" s="63"/>
      <c r="N97" s="63"/>
      <c r="O97" s="64"/>
      <c r="P97" s="63"/>
      <c r="Q97" s="18"/>
      <c r="R97" s="120">
        <f t="shared" si="0"/>
        <v>-45581</v>
      </c>
      <c r="S97" s="18"/>
      <c r="T97" s="65"/>
      <c r="U97" s="65" t="s">
        <v>559</v>
      </c>
      <c r="V97" s="15"/>
      <c r="W97" s="25"/>
      <c r="X97" s="65" t="s">
        <v>39</v>
      </c>
      <c r="Y97" s="63">
        <v>45582</v>
      </c>
      <c r="Z97" s="63">
        <v>45586</v>
      </c>
      <c r="AA97" s="63"/>
      <c r="AB97" s="86"/>
      <c r="AC97" s="64"/>
    </row>
    <row r="98" spans="1:29" ht="82.5" customHeight="1">
      <c r="A98" s="25" t="s">
        <v>125</v>
      </c>
      <c r="B98" s="130" t="s">
        <v>560</v>
      </c>
      <c r="C98" s="6"/>
      <c r="D98" s="46" t="s">
        <v>561</v>
      </c>
      <c r="E98" s="67" t="s">
        <v>562</v>
      </c>
      <c r="F98" s="63">
        <v>45618</v>
      </c>
      <c r="G98" s="25" t="s">
        <v>563</v>
      </c>
      <c r="H98" s="30" t="s">
        <v>34</v>
      </c>
      <c r="I98" s="31"/>
      <c r="J98" s="18" t="s">
        <v>53</v>
      </c>
      <c r="K98" s="32" t="s">
        <v>564</v>
      </c>
      <c r="L98" s="30" t="s">
        <v>55</v>
      </c>
      <c r="M98" s="65" t="s">
        <v>39</v>
      </c>
      <c r="N98" s="63">
        <v>45659</v>
      </c>
      <c r="O98" s="64" t="s">
        <v>39</v>
      </c>
      <c r="P98" s="63">
        <v>45666</v>
      </c>
      <c r="Q98" s="18"/>
      <c r="R98" s="13">
        <f t="shared" si="0"/>
        <v>49</v>
      </c>
      <c r="S98" s="18"/>
      <c r="T98" s="65"/>
      <c r="U98" s="65" t="s">
        <v>503</v>
      </c>
      <c r="V98" s="15" t="s">
        <v>565</v>
      </c>
      <c r="W98" s="65"/>
      <c r="X98" s="65" t="s">
        <v>39</v>
      </c>
      <c r="Y98" s="63">
        <v>45628</v>
      </c>
      <c r="Z98" s="63">
        <v>45628</v>
      </c>
      <c r="AA98" s="63">
        <v>45659</v>
      </c>
      <c r="AB98" s="86"/>
      <c r="AC98" s="64"/>
    </row>
    <row r="99" spans="1:29" ht="108.75" customHeight="1">
      <c r="A99" s="25" t="s">
        <v>73</v>
      </c>
      <c r="B99" s="19">
        <v>46</v>
      </c>
      <c r="C99" s="151"/>
      <c r="D99" s="46" t="s">
        <v>566</v>
      </c>
      <c r="E99" s="75" t="s">
        <v>567</v>
      </c>
      <c r="F99" s="63">
        <v>45539</v>
      </c>
      <c r="G99" s="48" t="s">
        <v>568</v>
      </c>
      <c r="H99" s="30" t="s">
        <v>121</v>
      </c>
      <c r="I99" s="31" t="s">
        <v>35</v>
      </c>
      <c r="J99" s="18" t="s">
        <v>36</v>
      </c>
      <c r="K99" s="32" t="s">
        <v>113</v>
      </c>
      <c r="L99" s="30" t="s">
        <v>55</v>
      </c>
      <c r="M99" s="63">
        <v>45567</v>
      </c>
      <c r="N99" s="63">
        <v>45567</v>
      </c>
      <c r="O99" s="64" t="s">
        <v>39</v>
      </c>
      <c r="P99" s="63">
        <v>45582</v>
      </c>
      <c r="Q99" s="18"/>
      <c r="R99" s="13">
        <f t="shared" si="0"/>
        <v>44</v>
      </c>
      <c r="S99" s="18" t="s">
        <v>40</v>
      </c>
      <c r="T99" s="65"/>
      <c r="U99" s="65" t="s">
        <v>175</v>
      </c>
      <c r="V99" s="15" t="s">
        <v>182</v>
      </c>
      <c r="W99" s="25" t="s">
        <v>29</v>
      </c>
      <c r="X99" s="65" t="s">
        <v>39</v>
      </c>
      <c r="Y99" s="63">
        <v>45558</v>
      </c>
      <c r="Z99" s="63">
        <v>45558</v>
      </c>
      <c r="AA99" s="63">
        <v>45567</v>
      </c>
      <c r="AB99" s="86"/>
      <c r="AC99" s="64"/>
    </row>
    <row r="100" spans="1:29" ht="82.5" customHeight="1">
      <c r="A100" s="25" t="s">
        <v>46</v>
      </c>
      <c r="B100" s="130"/>
      <c r="C100" s="6"/>
      <c r="D100" s="43" t="s">
        <v>569</v>
      </c>
      <c r="E100" s="67" t="s">
        <v>570</v>
      </c>
      <c r="F100" s="63">
        <v>45621</v>
      </c>
      <c r="G100" s="48" t="s">
        <v>571</v>
      </c>
      <c r="H100" s="30" t="s">
        <v>121</v>
      </c>
      <c r="I100" s="31" t="s">
        <v>35</v>
      </c>
      <c r="J100" s="18" t="s">
        <v>36</v>
      </c>
      <c r="K100" s="32" t="s">
        <v>113</v>
      </c>
      <c r="L100" s="30" t="s">
        <v>108</v>
      </c>
      <c r="M100" s="63">
        <v>45639</v>
      </c>
      <c r="N100" s="63">
        <v>45639</v>
      </c>
      <c r="O100" s="64" t="s">
        <v>39</v>
      </c>
      <c r="P100" s="63"/>
      <c r="Q100" s="152">
        <f>(P100-M100)+1</f>
        <v>-45638</v>
      </c>
      <c r="R100" s="13">
        <f t="shared" si="0"/>
        <v>-45620</v>
      </c>
      <c r="S100" s="18"/>
      <c r="T100" s="65"/>
      <c r="U100" s="65" t="s">
        <v>175</v>
      </c>
      <c r="V100" s="15" t="s">
        <v>572</v>
      </c>
      <c r="W100" s="78" t="s">
        <v>29</v>
      </c>
      <c r="X100" s="65" t="s">
        <v>39</v>
      </c>
      <c r="Y100" s="63">
        <v>45628</v>
      </c>
      <c r="Z100" s="63">
        <v>45630</v>
      </c>
      <c r="AA100" s="63">
        <v>45636</v>
      </c>
      <c r="AB100" s="86"/>
      <c r="AC100" s="64"/>
    </row>
    <row r="101" spans="1:29" ht="114.75">
      <c r="A101" s="25" t="s">
        <v>573</v>
      </c>
      <c r="B101" s="19"/>
      <c r="C101" s="6"/>
      <c r="D101" s="132" t="s">
        <v>574</v>
      </c>
      <c r="E101" s="67" t="s">
        <v>575</v>
      </c>
      <c r="F101" s="63">
        <v>45545</v>
      </c>
      <c r="G101" s="153" t="s">
        <v>576</v>
      </c>
      <c r="H101" s="30" t="s">
        <v>65</v>
      </c>
      <c r="I101" s="31" t="s">
        <v>97</v>
      </c>
      <c r="J101" s="18" t="s">
        <v>36</v>
      </c>
      <c r="K101" s="32" t="s">
        <v>78</v>
      </c>
      <c r="L101" s="30" t="s">
        <v>219</v>
      </c>
      <c r="M101" s="63"/>
      <c r="N101" s="63"/>
      <c r="O101" s="64"/>
      <c r="P101" s="63"/>
      <c r="Q101" s="18">
        <f>(P101-N28)+1</f>
        <v>-45447</v>
      </c>
      <c r="R101" s="13">
        <f t="shared" si="0"/>
        <v>-45544</v>
      </c>
      <c r="S101" s="18"/>
      <c r="T101" s="65"/>
      <c r="U101" s="65" t="s">
        <v>503</v>
      </c>
      <c r="V101" s="15" t="s">
        <v>577</v>
      </c>
      <c r="W101" s="25" t="s">
        <v>578</v>
      </c>
      <c r="X101" s="154" t="s">
        <v>579</v>
      </c>
      <c r="Y101" s="63">
        <v>45565</v>
      </c>
      <c r="Z101" s="63">
        <v>45565</v>
      </c>
      <c r="AA101" s="63"/>
      <c r="AB101" s="86"/>
      <c r="AC101" s="64"/>
    </row>
    <row r="102" spans="1:29" ht="36">
      <c r="A102" s="25" t="s">
        <v>125</v>
      </c>
      <c r="B102" s="130"/>
      <c r="C102" s="6"/>
      <c r="D102" s="61" t="s">
        <v>580</v>
      </c>
      <c r="E102" s="67" t="s">
        <v>581</v>
      </c>
      <c r="F102" s="63">
        <v>45597</v>
      </c>
      <c r="G102" s="25" t="s">
        <v>582</v>
      </c>
      <c r="H102" s="30" t="s">
        <v>34</v>
      </c>
      <c r="I102" s="31" t="s">
        <v>35</v>
      </c>
      <c r="J102" s="18" t="s">
        <v>36</v>
      </c>
      <c r="K102" s="32" t="s">
        <v>78</v>
      </c>
      <c r="L102" s="30" t="s">
        <v>108</v>
      </c>
      <c r="M102" s="63">
        <v>45603</v>
      </c>
      <c r="N102" s="63">
        <v>45603</v>
      </c>
      <c r="O102" s="64" t="s">
        <v>39</v>
      </c>
      <c r="P102" s="63"/>
      <c r="Q102" s="18">
        <f t="shared" ref="Q102:Q103" si="3">(P102-N25)+1</f>
        <v>-45440</v>
      </c>
      <c r="R102" s="13">
        <f t="shared" si="0"/>
        <v>-45596</v>
      </c>
      <c r="S102" s="18"/>
      <c r="T102" s="65"/>
      <c r="U102" s="65" t="s">
        <v>175</v>
      </c>
      <c r="V102" s="15" t="s">
        <v>43</v>
      </c>
      <c r="W102" s="25" t="s">
        <v>29</v>
      </c>
      <c r="X102" s="65" t="s">
        <v>39</v>
      </c>
      <c r="Y102" s="63">
        <v>45600</v>
      </c>
      <c r="Z102" s="63">
        <v>45600</v>
      </c>
      <c r="AA102" s="63">
        <v>45601</v>
      </c>
      <c r="AB102" s="86"/>
      <c r="AC102" s="64"/>
    </row>
    <row r="103" spans="1:29" ht="38.25">
      <c r="A103" s="25" t="s">
        <v>125</v>
      </c>
      <c r="B103" s="130"/>
      <c r="C103" s="6"/>
      <c r="D103" s="46" t="s">
        <v>583</v>
      </c>
      <c r="E103" s="67" t="s">
        <v>584</v>
      </c>
      <c r="F103" s="63">
        <v>45597</v>
      </c>
      <c r="G103" s="25" t="s">
        <v>582</v>
      </c>
      <c r="H103" s="30" t="s">
        <v>34</v>
      </c>
      <c r="I103" s="31" t="s">
        <v>35</v>
      </c>
      <c r="J103" s="18" t="s">
        <v>36</v>
      </c>
      <c r="K103" s="32" t="s">
        <v>78</v>
      </c>
      <c r="L103" s="30" t="s">
        <v>108</v>
      </c>
      <c r="M103" s="63">
        <v>45603</v>
      </c>
      <c r="N103" s="63">
        <v>45603</v>
      </c>
      <c r="O103" s="64" t="s">
        <v>39</v>
      </c>
      <c r="P103" s="63"/>
      <c r="Q103" s="18">
        <f t="shared" si="3"/>
        <v>-45440</v>
      </c>
      <c r="R103" s="13">
        <f t="shared" si="0"/>
        <v>-45596</v>
      </c>
      <c r="S103" s="18"/>
      <c r="T103" s="65"/>
      <c r="U103" s="65" t="s">
        <v>175</v>
      </c>
      <c r="V103" s="15" t="s">
        <v>43</v>
      </c>
      <c r="W103" s="25" t="s">
        <v>29</v>
      </c>
      <c r="X103" s="65" t="s">
        <v>39</v>
      </c>
      <c r="Y103" s="63">
        <v>45600</v>
      </c>
      <c r="Z103" s="63">
        <v>45600</v>
      </c>
      <c r="AA103" s="63">
        <v>45601</v>
      </c>
      <c r="AB103" s="86"/>
      <c r="AC103" s="64"/>
    </row>
    <row r="104" spans="1:29" ht="60">
      <c r="A104" s="25" t="s">
        <v>125</v>
      </c>
      <c r="B104" s="130"/>
      <c r="C104" s="6" t="s">
        <v>512</v>
      </c>
      <c r="D104" s="46" t="s">
        <v>585</v>
      </c>
      <c r="E104" s="67" t="s">
        <v>586</v>
      </c>
      <c r="F104" s="63">
        <v>45596</v>
      </c>
      <c r="G104" s="48" t="s">
        <v>587</v>
      </c>
      <c r="H104" s="30" t="s">
        <v>34</v>
      </c>
      <c r="I104" s="31" t="s">
        <v>35</v>
      </c>
      <c r="J104" s="18" t="s">
        <v>36</v>
      </c>
      <c r="K104" s="32" t="s">
        <v>113</v>
      </c>
      <c r="L104" s="30" t="s">
        <v>108</v>
      </c>
      <c r="M104" s="63">
        <v>45617</v>
      </c>
      <c r="N104" s="63">
        <v>45617</v>
      </c>
      <c r="O104" s="64" t="s">
        <v>39</v>
      </c>
      <c r="P104" s="63"/>
      <c r="Q104" s="18" t="str">
        <f ca="1">(Q104) - (N104) +1</f>
        <v>#REF!</v>
      </c>
      <c r="R104" s="13">
        <f t="shared" si="0"/>
        <v>-45595</v>
      </c>
      <c r="S104" s="18"/>
      <c r="T104" s="65"/>
      <c r="U104" s="65" t="s">
        <v>175</v>
      </c>
      <c r="V104" s="15" t="s">
        <v>588</v>
      </c>
      <c r="W104" s="41" t="s">
        <v>29</v>
      </c>
      <c r="X104" s="65" t="s">
        <v>39</v>
      </c>
      <c r="Y104" s="63">
        <v>45600</v>
      </c>
      <c r="Z104" s="63">
        <v>45600</v>
      </c>
      <c r="AA104" s="63">
        <v>45601</v>
      </c>
      <c r="AB104" s="86"/>
      <c r="AC104" s="64"/>
    </row>
    <row r="105" spans="1:29" ht="89.25">
      <c r="A105" s="97" t="s">
        <v>46</v>
      </c>
      <c r="B105" s="19"/>
      <c r="C105" s="97"/>
      <c r="D105" s="98" t="s">
        <v>589</v>
      </c>
      <c r="E105" s="155" t="s">
        <v>590</v>
      </c>
      <c r="F105" s="100">
        <v>45533</v>
      </c>
      <c r="G105" s="97" t="s">
        <v>591</v>
      </c>
      <c r="H105" s="97" t="s">
        <v>34</v>
      </c>
      <c r="I105" s="101" t="s">
        <v>35</v>
      </c>
      <c r="J105" s="97" t="s">
        <v>36</v>
      </c>
      <c r="K105" s="102" t="s">
        <v>592</v>
      </c>
      <c r="L105" s="97" t="s">
        <v>423</v>
      </c>
      <c r="M105" s="97" t="s">
        <v>39</v>
      </c>
      <c r="N105" s="97" t="s">
        <v>39</v>
      </c>
      <c r="O105" s="97" t="s">
        <v>39</v>
      </c>
      <c r="P105" s="100">
        <v>45508</v>
      </c>
      <c r="Q105" s="18" t="e">
        <f>(N105-P105)+1</f>
        <v>#VALUE!</v>
      </c>
      <c r="R105" s="13">
        <f t="shared" si="0"/>
        <v>-24</v>
      </c>
      <c r="S105" s="97" t="s">
        <v>40</v>
      </c>
      <c r="T105" s="97"/>
      <c r="U105" s="97" t="s">
        <v>181</v>
      </c>
      <c r="V105" s="15" t="s">
        <v>182</v>
      </c>
      <c r="W105" s="97" t="s">
        <v>593</v>
      </c>
      <c r="X105" s="97" t="s">
        <v>39</v>
      </c>
      <c r="Y105" s="97" t="s">
        <v>56</v>
      </c>
      <c r="Z105" s="97" t="s">
        <v>56</v>
      </c>
      <c r="AA105" s="97" t="s">
        <v>56</v>
      </c>
      <c r="AB105" s="86"/>
      <c r="AC105" s="64"/>
    </row>
    <row r="106" spans="1:29" ht="63" customHeight="1">
      <c r="A106" s="25" t="s">
        <v>46</v>
      </c>
      <c r="B106" s="130" t="s">
        <v>594</v>
      </c>
      <c r="C106" s="6"/>
      <c r="D106" s="46" t="s">
        <v>595</v>
      </c>
      <c r="E106" s="67" t="s">
        <v>596</v>
      </c>
      <c r="F106" s="63">
        <v>45608</v>
      </c>
      <c r="G106" s="25" t="s">
        <v>597</v>
      </c>
      <c r="H106" s="30" t="s">
        <v>34</v>
      </c>
      <c r="I106" s="31" t="s">
        <v>598</v>
      </c>
      <c r="J106" s="18" t="s">
        <v>36</v>
      </c>
      <c r="K106" s="32" t="s">
        <v>78</v>
      </c>
      <c r="L106" s="30" t="s">
        <v>108</v>
      </c>
      <c r="M106" s="63">
        <v>45614</v>
      </c>
      <c r="N106" s="63">
        <v>45614</v>
      </c>
      <c r="O106" s="64"/>
      <c r="P106" s="63"/>
      <c r="Q106" s="18">
        <f t="shared" ref="Q106:Q107" si="4">(P106-N29)+1</f>
        <v>-45466</v>
      </c>
      <c r="R106" s="13">
        <f t="shared" si="0"/>
        <v>-45607</v>
      </c>
      <c r="S106" s="18"/>
      <c r="T106" s="65"/>
      <c r="U106" s="65" t="s">
        <v>440</v>
      </c>
      <c r="V106" s="15" t="s">
        <v>599</v>
      </c>
      <c r="W106" s="65" t="s">
        <v>600</v>
      </c>
      <c r="X106" s="65" t="s">
        <v>39</v>
      </c>
      <c r="Y106" s="63">
        <v>45609</v>
      </c>
      <c r="Z106" s="63">
        <v>45609</v>
      </c>
      <c r="AA106" s="63">
        <v>45614</v>
      </c>
      <c r="AB106" s="86"/>
      <c r="AC106" s="64"/>
    </row>
    <row r="107" spans="1:29" ht="78.75">
      <c r="A107" s="25" t="s">
        <v>313</v>
      </c>
      <c r="B107" s="130"/>
      <c r="C107" s="6" t="s">
        <v>554</v>
      </c>
      <c r="D107" s="133" t="s">
        <v>601</v>
      </c>
      <c r="E107" s="67" t="s">
        <v>602</v>
      </c>
      <c r="F107" s="63">
        <v>45617</v>
      </c>
      <c r="G107" s="25" t="s">
        <v>603</v>
      </c>
      <c r="H107" s="30" t="s">
        <v>34</v>
      </c>
      <c r="I107" s="31" t="s">
        <v>604</v>
      </c>
      <c r="J107" s="18" t="s">
        <v>53</v>
      </c>
      <c r="K107" s="32" t="s">
        <v>122</v>
      </c>
      <c r="L107" s="30" t="s">
        <v>219</v>
      </c>
      <c r="M107" s="63"/>
      <c r="N107" s="63"/>
      <c r="O107" s="64"/>
      <c r="P107" s="63"/>
      <c r="Q107" s="18">
        <f t="shared" si="4"/>
        <v>1</v>
      </c>
      <c r="R107" s="13">
        <f t="shared" si="0"/>
        <v>-45616</v>
      </c>
      <c r="S107" s="18"/>
      <c r="T107" s="65"/>
      <c r="U107" s="65" t="s">
        <v>278</v>
      </c>
      <c r="V107" s="156" t="s">
        <v>605</v>
      </c>
      <c r="W107" s="154" t="s">
        <v>606</v>
      </c>
      <c r="X107" s="65" t="s">
        <v>39</v>
      </c>
      <c r="Y107" s="63">
        <v>45628</v>
      </c>
      <c r="Z107" s="63">
        <v>45628</v>
      </c>
      <c r="AA107" s="63"/>
      <c r="AB107" s="86"/>
      <c r="AC107" s="64"/>
    </row>
    <row r="108" spans="1:29" ht="63.75">
      <c r="A108" s="25" t="s">
        <v>250</v>
      </c>
      <c r="B108" s="19"/>
      <c r="C108" s="6"/>
      <c r="D108" s="46" t="s">
        <v>607</v>
      </c>
      <c r="E108" s="67" t="s">
        <v>608</v>
      </c>
      <c r="F108" s="63">
        <v>45532</v>
      </c>
      <c r="G108" s="46" t="s">
        <v>609</v>
      </c>
      <c r="H108" s="30" t="s">
        <v>34</v>
      </c>
      <c r="I108" s="31" t="s">
        <v>35</v>
      </c>
      <c r="J108" s="18" t="s">
        <v>36</v>
      </c>
      <c r="K108" s="32" t="s">
        <v>78</v>
      </c>
      <c r="L108" s="30" t="s">
        <v>108</v>
      </c>
      <c r="M108" s="63">
        <v>45567</v>
      </c>
      <c r="N108" s="63"/>
      <c r="O108" s="64" t="s">
        <v>39</v>
      </c>
      <c r="P108" s="63"/>
      <c r="Q108" s="18"/>
      <c r="R108" s="13">
        <f t="shared" si="0"/>
        <v>-45531</v>
      </c>
      <c r="S108" s="18" t="s">
        <v>40</v>
      </c>
      <c r="T108" s="65"/>
      <c r="U108" s="65" t="s">
        <v>175</v>
      </c>
      <c r="V108" s="15" t="s">
        <v>610</v>
      </c>
      <c r="W108" s="25" t="s">
        <v>29</v>
      </c>
      <c r="X108" s="65" t="s">
        <v>39</v>
      </c>
      <c r="Y108" s="63">
        <v>45532</v>
      </c>
      <c r="Z108" s="63">
        <v>45533</v>
      </c>
      <c r="AA108" s="63">
        <v>45538</v>
      </c>
      <c r="AB108" s="86"/>
      <c r="AC108" s="64"/>
    </row>
    <row r="109" spans="1:29" ht="38.25">
      <c r="A109" s="25" t="s">
        <v>125</v>
      </c>
      <c r="B109" s="130"/>
      <c r="C109" s="6"/>
      <c r="D109" s="46" t="s">
        <v>611</v>
      </c>
      <c r="E109" s="67" t="s">
        <v>612</v>
      </c>
      <c r="F109" s="63">
        <v>45597</v>
      </c>
      <c r="G109" s="25" t="s">
        <v>582</v>
      </c>
      <c r="H109" s="30" t="s">
        <v>34</v>
      </c>
      <c r="I109" s="31" t="s">
        <v>35</v>
      </c>
      <c r="J109" s="18" t="s">
        <v>36</v>
      </c>
      <c r="K109" s="32" t="s">
        <v>78</v>
      </c>
      <c r="L109" s="30" t="s">
        <v>108</v>
      </c>
      <c r="M109" s="63">
        <v>45617</v>
      </c>
      <c r="N109" s="63">
        <v>45617</v>
      </c>
      <c r="O109" s="64" t="s">
        <v>39</v>
      </c>
      <c r="P109" s="63"/>
      <c r="Q109" s="18" t="str">
        <f ca="1">(Q109) - (N109) +1</f>
        <v>#REF!</v>
      </c>
      <c r="R109" s="13">
        <f t="shared" si="0"/>
        <v>-45596</v>
      </c>
      <c r="S109" s="18"/>
      <c r="T109" s="65"/>
      <c r="U109" s="65" t="s">
        <v>175</v>
      </c>
      <c r="V109" s="15" t="s">
        <v>43</v>
      </c>
      <c r="W109" s="25" t="s">
        <v>29</v>
      </c>
      <c r="X109" s="65" t="s">
        <v>39</v>
      </c>
      <c r="Y109" s="63">
        <v>45600</v>
      </c>
      <c r="Z109" s="63">
        <v>45600</v>
      </c>
      <c r="AA109" s="63">
        <v>45601</v>
      </c>
      <c r="AB109" s="86"/>
      <c r="AC109" s="64"/>
    </row>
    <row r="110" spans="1:29" ht="84">
      <c r="A110" s="27" t="s">
        <v>125</v>
      </c>
      <c r="B110" s="19"/>
      <c r="C110" s="3"/>
      <c r="D110" s="133" t="s">
        <v>613</v>
      </c>
      <c r="E110" s="67" t="s">
        <v>614</v>
      </c>
      <c r="F110" s="114">
        <v>45575</v>
      </c>
      <c r="G110" s="43" t="s">
        <v>615</v>
      </c>
      <c r="H110" s="30" t="s">
        <v>121</v>
      </c>
      <c r="I110" s="115" t="s">
        <v>35</v>
      </c>
      <c r="J110" s="116" t="s">
        <v>36</v>
      </c>
      <c r="K110" s="117" t="s">
        <v>113</v>
      </c>
      <c r="L110" s="118" t="s">
        <v>108</v>
      </c>
      <c r="M110" s="114">
        <v>45611</v>
      </c>
      <c r="N110" s="114">
        <v>45612</v>
      </c>
      <c r="O110" s="122" t="s">
        <v>39</v>
      </c>
      <c r="P110" s="114">
        <v>45625</v>
      </c>
      <c r="Q110" s="18"/>
      <c r="R110" s="120">
        <f t="shared" si="0"/>
        <v>51</v>
      </c>
      <c r="S110" s="18"/>
      <c r="T110" s="157"/>
      <c r="U110" s="46" t="s">
        <v>175</v>
      </c>
      <c r="V110" s="158" t="s">
        <v>616</v>
      </c>
      <c r="W110" s="136" t="s">
        <v>29</v>
      </c>
      <c r="X110" s="46" t="s">
        <v>617</v>
      </c>
      <c r="Y110" s="114">
        <v>45575</v>
      </c>
      <c r="Z110" s="114">
        <v>45575</v>
      </c>
      <c r="AA110" s="114">
        <v>45579</v>
      </c>
      <c r="AB110" s="86"/>
      <c r="AC110" s="159"/>
    </row>
    <row r="111" spans="1:29" ht="102">
      <c r="A111" s="25" t="s">
        <v>46</v>
      </c>
      <c r="B111" s="19">
        <v>59</v>
      </c>
      <c r="C111" s="6" t="s">
        <v>618</v>
      </c>
      <c r="D111" s="133" t="s">
        <v>619</v>
      </c>
      <c r="E111" s="67" t="s">
        <v>620</v>
      </c>
      <c r="F111" s="63">
        <v>45587</v>
      </c>
      <c r="G111" s="25" t="s">
        <v>621</v>
      </c>
      <c r="H111" s="30" t="s">
        <v>34</v>
      </c>
      <c r="I111" s="31" t="s">
        <v>35</v>
      </c>
      <c r="J111" s="18" t="s">
        <v>36</v>
      </c>
      <c r="K111" s="32" t="s">
        <v>113</v>
      </c>
      <c r="L111" s="30" t="s">
        <v>108</v>
      </c>
      <c r="M111" s="63">
        <v>45603</v>
      </c>
      <c r="N111" s="63">
        <v>45603</v>
      </c>
      <c r="O111" s="64" t="s">
        <v>39</v>
      </c>
      <c r="P111" s="63">
        <v>45630</v>
      </c>
      <c r="Q111" s="18">
        <f>(P111-N35)+1</f>
        <v>156</v>
      </c>
      <c r="R111" s="13">
        <f t="shared" si="0"/>
        <v>44</v>
      </c>
      <c r="S111" s="18" t="s">
        <v>40</v>
      </c>
      <c r="T111" s="65"/>
      <c r="U111" s="65" t="s">
        <v>42</v>
      </c>
      <c r="V111" s="15" t="s">
        <v>622</v>
      </c>
      <c r="W111" s="25" t="s">
        <v>623</v>
      </c>
      <c r="X111" s="65" t="s">
        <v>39</v>
      </c>
      <c r="Y111" s="63">
        <v>45600</v>
      </c>
      <c r="Z111" s="63">
        <v>45600</v>
      </c>
      <c r="AA111" s="63">
        <v>45601</v>
      </c>
      <c r="AB111" s="86"/>
      <c r="AC111" s="64"/>
    </row>
    <row r="112" spans="1:29" ht="15.75">
      <c r="A112" s="25"/>
      <c r="B112" s="131"/>
      <c r="C112" s="6"/>
      <c r="D112" s="46"/>
      <c r="E112" s="67"/>
      <c r="F112" s="63"/>
      <c r="G112" s="46"/>
      <c r="H112" s="30"/>
      <c r="I112" s="31"/>
      <c r="J112" s="18"/>
      <c r="K112" s="32"/>
      <c r="L112" s="65"/>
      <c r="M112" s="63"/>
      <c r="N112" s="63"/>
      <c r="O112" s="64"/>
      <c r="P112" s="63"/>
      <c r="Q112" s="65"/>
      <c r="R112" s="13">
        <f t="shared" si="0"/>
        <v>1</v>
      </c>
      <c r="S112" s="65"/>
      <c r="T112" s="65"/>
      <c r="U112" s="65"/>
      <c r="V112" s="15"/>
      <c r="W112" s="65"/>
      <c r="X112" s="65"/>
      <c r="Y112" s="63"/>
      <c r="Z112" s="63"/>
      <c r="AA112" s="63"/>
      <c r="AB112" s="86"/>
      <c r="AC112" s="64"/>
    </row>
    <row r="113" spans="1:29" ht="15.75">
      <c r="A113" s="25"/>
      <c r="B113" s="131"/>
      <c r="C113" s="6"/>
      <c r="D113" s="46"/>
      <c r="E113" s="67"/>
      <c r="F113" s="63"/>
      <c r="G113" s="46"/>
      <c r="H113" s="30"/>
      <c r="I113" s="31"/>
      <c r="J113" s="18"/>
      <c r="K113" s="32"/>
      <c r="L113" s="65"/>
      <c r="M113" s="63"/>
      <c r="N113" s="63"/>
      <c r="O113" s="64"/>
      <c r="P113" s="63"/>
      <c r="Q113" s="65"/>
      <c r="R113" s="13">
        <f t="shared" si="0"/>
        <v>1</v>
      </c>
      <c r="S113" s="65"/>
      <c r="T113" s="65"/>
      <c r="U113" s="65"/>
      <c r="V113" s="15"/>
      <c r="W113" s="65"/>
      <c r="X113" s="65"/>
      <c r="Y113" s="63"/>
      <c r="Z113" s="63"/>
      <c r="AA113" s="63"/>
      <c r="AB113" s="86"/>
      <c r="AC113" s="64"/>
    </row>
    <row r="114" spans="1:29" ht="15.75">
      <c r="A114" s="25"/>
      <c r="B114" s="131"/>
      <c r="C114" s="6"/>
      <c r="D114" s="46"/>
      <c r="E114" s="67"/>
      <c r="F114" s="63"/>
      <c r="G114" s="46"/>
      <c r="H114" s="30"/>
      <c r="I114" s="31"/>
      <c r="J114" s="18"/>
      <c r="K114" s="32"/>
      <c r="L114" s="65"/>
      <c r="M114" s="63"/>
      <c r="N114" s="63"/>
      <c r="O114" s="64"/>
      <c r="P114" s="63"/>
      <c r="Q114" s="65"/>
      <c r="R114" s="13">
        <f t="shared" si="0"/>
        <v>1</v>
      </c>
      <c r="S114" s="65"/>
      <c r="T114" s="65"/>
      <c r="U114" s="65"/>
      <c r="V114" s="15"/>
      <c r="W114" s="65"/>
      <c r="X114" s="65"/>
      <c r="Y114" s="63"/>
      <c r="Z114" s="63"/>
      <c r="AA114" s="63"/>
      <c r="AB114" s="86"/>
      <c r="AC114" s="64"/>
    </row>
    <row r="115" spans="1:29" ht="15.75">
      <c r="A115" s="25"/>
      <c r="B115" s="131"/>
      <c r="C115" s="6"/>
      <c r="D115" s="46"/>
      <c r="E115" s="67"/>
      <c r="F115" s="63"/>
      <c r="G115" s="46"/>
      <c r="H115" s="30"/>
      <c r="I115" s="31"/>
      <c r="J115" s="18"/>
      <c r="K115" s="32"/>
      <c r="L115" s="65"/>
      <c r="M115" s="63"/>
      <c r="N115" s="63"/>
      <c r="O115" s="64"/>
      <c r="P115" s="63"/>
      <c r="Q115" s="65"/>
      <c r="R115" s="65"/>
      <c r="S115" s="65"/>
      <c r="T115" s="65"/>
      <c r="U115" s="65"/>
      <c r="V115" s="15"/>
      <c r="W115" s="65"/>
      <c r="X115" s="65"/>
      <c r="Y115" s="63"/>
      <c r="Z115" s="63"/>
      <c r="AA115" s="63"/>
      <c r="AB115" s="86"/>
      <c r="AC115" s="64"/>
    </row>
    <row r="116" spans="1:29" ht="15.75">
      <c r="A116" s="25"/>
      <c r="B116" s="131"/>
      <c r="C116" s="6"/>
      <c r="D116" s="46"/>
      <c r="E116" s="67"/>
      <c r="F116" s="63"/>
      <c r="G116" s="46"/>
      <c r="H116" s="30"/>
      <c r="I116" s="31"/>
      <c r="J116" s="18"/>
      <c r="K116" s="32"/>
      <c r="L116" s="65"/>
      <c r="M116" s="63"/>
      <c r="N116" s="63"/>
      <c r="O116" s="64"/>
      <c r="P116" s="63"/>
      <c r="Q116" s="65"/>
      <c r="R116" s="65"/>
      <c r="S116" s="65"/>
      <c r="T116" s="65"/>
      <c r="U116" s="65"/>
      <c r="V116" s="15"/>
      <c r="W116" s="65"/>
      <c r="X116" s="65"/>
      <c r="Y116" s="63"/>
      <c r="Z116" s="63"/>
      <c r="AA116" s="63"/>
      <c r="AB116" s="86"/>
      <c r="AC116" s="64"/>
    </row>
    <row r="117" spans="1:29" ht="15.75">
      <c r="A117" s="25"/>
      <c r="B117" s="131"/>
      <c r="C117" s="6"/>
      <c r="D117" s="46"/>
      <c r="E117" s="67"/>
      <c r="F117" s="63"/>
      <c r="G117" s="46"/>
      <c r="H117" s="30"/>
      <c r="I117" s="31"/>
      <c r="J117" s="18"/>
      <c r="K117" s="32"/>
      <c r="L117" s="65"/>
      <c r="M117" s="63"/>
      <c r="N117" s="63"/>
      <c r="O117" s="64"/>
      <c r="P117" s="63"/>
      <c r="Q117" s="65"/>
      <c r="R117" s="65"/>
      <c r="S117" s="65"/>
      <c r="T117" s="65"/>
      <c r="U117" s="65"/>
      <c r="V117" s="15"/>
      <c r="W117" s="65"/>
      <c r="X117" s="65"/>
      <c r="Y117" s="63"/>
      <c r="Z117" s="63"/>
      <c r="AA117" s="63"/>
      <c r="AB117" s="86"/>
      <c r="AC117" s="64"/>
    </row>
    <row r="118" spans="1:29" ht="15.75">
      <c r="A118" s="25"/>
      <c r="B118" s="131"/>
      <c r="C118" s="6"/>
      <c r="D118" s="46"/>
      <c r="E118" s="67"/>
      <c r="F118" s="63"/>
      <c r="G118" s="46"/>
      <c r="H118" s="30"/>
      <c r="I118" s="31"/>
      <c r="J118" s="18"/>
      <c r="K118" s="32"/>
      <c r="L118" s="65"/>
      <c r="M118" s="63"/>
      <c r="N118" s="63"/>
      <c r="O118" s="64"/>
      <c r="P118" s="63"/>
      <c r="Q118" s="65"/>
      <c r="R118" s="65"/>
      <c r="S118" s="65"/>
      <c r="T118" s="65"/>
      <c r="U118" s="65"/>
      <c r="V118" s="15"/>
      <c r="W118" s="65"/>
      <c r="X118" s="65"/>
      <c r="Y118" s="63"/>
      <c r="Z118" s="63"/>
      <c r="AA118" s="63"/>
      <c r="AB118" s="86"/>
      <c r="AC118" s="64"/>
    </row>
    <row r="119" spans="1:29" ht="15.75">
      <c r="A119" s="25"/>
      <c r="B119" s="131"/>
      <c r="C119" s="6"/>
      <c r="D119" s="46"/>
      <c r="E119" s="67"/>
      <c r="F119" s="63"/>
      <c r="G119" s="46"/>
      <c r="H119" s="30"/>
      <c r="I119" s="31"/>
      <c r="J119" s="18"/>
      <c r="K119" s="32"/>
      <c r="L119" s="65"/>
      <c r="M119" s="63"/>
      <c r="N119" s="63"/>
      <c r="O119" s="64"/>
      <c r="P119" s="63"/>
      <c r="Q119" s="65"/>
      <c r="R119" s="65"/>
      <c r="S119" s="65"/>
      <c r="T119" s="65"/>
      <c r="U119" s="65"/>
      <c r="V119" s="15"/>
      <c r="W119" s="65"/>
      <c r="X119" s="65"/>
      <c r="Y119" s="63"/>
      <c r="Z119" s="63"/>
      <c r="AA119" s="63"/>
      <c r="AB119" s="86"/>
      <c r="AC119" s="64"/>
    </row>
    <row r="120" spans="1:29" ht="15.75">
      <c r="A120" s="25"/>
      <c r="B120" s="131"/>
      <c r="C120" s="6"/>
      <c r="D120" s="46"/>
      <c r="E120" s="67"/>
      <c r="F120" s="63"/>
      <c r="G120" s="46"/>
      <c r="H120" s="30"/>
      <c r="I120" s="31"/>
      <c r="J120" s="18"/>
      <c r="K120" s="32"/>
      <c r="L120" s="65"/>
      <c r="M120" s="63"/>
      <c r="N120" s="63"/>
      <c r="O120" s="64"/>
      <c r="P120" s="63"/>
      <c r="Q120" s="65"/>
      <c r="R120" s="65"/>
      <c r="S120" s="65"/>
      <c r="T120" s="65"/>
      <c r="U120" s="65"/>
      <c r="V120" s="15"/>
      <c r="W120" s="65"/>
      <c r="X120" s="65"/>
      <c r="Y120" s="63"/>
      <c r="Z120" s="63"/>
      <c r="AA120" s="63"/>
      <c r="AB120" s="86"/>
      <c r="AC120" s="64"/>
    </row>
    <row r="121" spans="1:29" ht="15.75">
      <c r="A121" s="25"/>
      <c r="B121" s="131"/>
      <c r="C121" s="6"/>
      <c r="D121" s="46"/>
      <c r="E121" s="67"/>
      <c r="F121" s="63"/>
      <c r="G121" s="46"/>
      <c r="H121" s="30"/>
      <c r="I121" s="31"/>
      <c r="J121" s="18"/>
      <c r="K121" s="32"/>
      <c r="L121" s="65"/>
      <c r="M121" s="63"/>
      <c r="N121" s="63"/>
      <c r="O121" s="64"/>
      <c r="P121" s="63"/>
      <c r="Q121" s="65"/>
      <c r="R121" s="65"/>
      <c r="S121" s="65"/>
      <c r="T121" s="65"/>
      <c r="U121" s="65"/>
      <c r="V121" s="15"/>
      <c r="W121" s="65"/>
      <c r="X121" s="65"/>
      <c r="Y121" s="63"/>
      <c r="Z121" s="63"/>
      <c r="AA121" s="63"/>
      <c r="AB121" s="86"/>
      <c r="AC121" s="64"/>
    </row>
    <row r="122" spans="1:29" ht="15.75">
      <c r="A122" s="25"/>
      <c r="B122" s="131"/>
      <c r="C122" s="6"/>
      <c r="D122" s="46"/>
      <c r="E122" s="67"/>
      <c r="F122" s="63"/>
      <c r="G122" s="46"/>
      <c r="H122" s="30"/>
      <c r="I122" s="31"/>
      <c r="J122" s="18"/>
      <c r="K122" s="32"/>
      <c r="L122" s="65"/>
      <c r="M122" s="63"/>
      <c r="N122" s="63"/>
      <c r="O122" s="64"/>
      <c r="P122" s="63"/>
      <c r="Q122" s="65"/>
      <c r="R122" s="65"/>
      <c r="S122" s="65"/>
      <c r="T122" s="65"/>
      <c r="U122" s="65"/>
      <c r="V122" s="15"/>
      <c r="W122" s="65"/>
      <c r="X122" s="65"/>
      <c r="Y122" s="63"/>
      <c r="Z122" s="63"/>
      <c r="AA122" s="63"/>
      <c r="AB122" s="86"/>
      <c r="AC122" s="64"/>
    </row>
    <row r="123" spans="1:29" ht="15.75">
      <c r="A123" s="25"/>
      <c r="B123" s="131"/>
      <c r="C123" s="6"/>
      <c r="D123" s="46"/>
      <c r="E123" s="67"/>
      <c r="F123" s="63"/>
      <c r="G123" s="46"/>
      <c r="H123" s="30"/>
      <c r="I123" s="31"/>
      <c r="J123" s="18"/>
      <c r="K123" s="32"/>
      <c r="L123" s="65"/>
      <c r="M123" s="63"/>
      <c r="N123" s="63"/>
      <c r="O123" s="64"/>
      <c r="P123" s="63"/>
      <c r="Q123" s="65"/>
      <c r="R123" s="65"/>
      <c r="S123" s="65"/>
      <c r="T123" s="65"/>
      <c r="U123" s="65"/>
      <c r="V123" s="15"/>
      <c r="W123" s="65"/>
      <c r="X123" s="65"/>
      <c r="Y123" s="63"/>
      <c r="Z123" s="63"/>
      <c r="AA123" s="63"/>
      <c r="AB123" s="86"/>
      <c r="AC123" s="64"/>
    </row>
    <row r="124" spans="1:29" ht="15.75">
      <c r="A124" s="25"/>
      <c r="B124" s="131"/>
      <c r="C124" s="6"/>
      <c r="D124" s="46"/>
      <c r="E124" s="67"/>
      <c r="F124" s="63"/>
      <c r="G124" s="46"/>
      <c r="H124" s="30"/>
      <c r="I124" s="31"/>
      <c r="J124" s="18"/>
      <c r="K124" s="32"/>
      <c r="L124" s="65"/>
      <c r="M124" s="63"/>
      <c r="N124" s="63"/>
      <c r="O124" s="64"/>
      <c r="P124" s="63"/>
      <c r="Q124" s="65"/>
      <c r="R124" s="65"/>
      <c r="S124" s="65"/>
      <c r="T124" s="65"/>
      <c r="U124" s="65"/>
      <c r="V124" s="15"/>
      <c r="W124" s="65"/>
      <c r="X124" s="65"/>
      <c r="Y124" s="63"/>
      <c r="Z124" s="63"/>
      <c r="AA124" s="63"/>
      <c r="AB124" s="86"/>
      <c r="AC124" s="64"/>
    </row>
    <row r="125" spans="1:29" ht="15.75">
      <c r="A125" s="25"/>
      <c r="B125" s="131"/>
      <c r="C125" s="6"/>
      <c r="D125" s="46"/>
      <c r="E125" s="67"/>
      <c r="F125" s="63"/>
      <c r="G125" s="46"/>
      <c r="H125" s="30"/>
      <c r="I125" s="31"/>
      <c r="J125" s="18"/>
      <c r="K125" s="32"/>
      <c r="L125" s="65"/>
      <c r="M125" s="63"/>
      <c r="N125" s="63"/>
      <c r="O125" s="64"/>
      <c r="P125" s="63"/>
      <c r="Q125" s="65"/>
      <c r="R125" s="65"/>
      <c r="S125" s="65"/>
      <c r="T125" s="65"/>
      <c r="U125" s="65"/>
      <c r="V125" s="15"/>
      <c r="W125" s="65"/>
      <c r="X125" s="65"/>
      <c r="Y125" s="63"/>
      <c r="Z125" s="63"/>
      <c r="AA125" s="63"/>
      <c r="AB125" s="86"/>
      <c r="AC125" s="64"/>
    </row>
    <row r="126" spans="1:29" ht="15.75">
      <c r="A126" s="25"/>
      <c r="B126" s="131"/>
      <c r="C126" s="6"/>
      <c r="D126" s="46"/>
      <c r="E126" s="67"/>
      <c r="F126" s="63"/>
      <c r="G126" s="46"/>
      <c r="H126" s="30"/>
      <c r="I126" s="31"/>
      <c r="J126" s="18"/>
      <c r="K126" s="32"/>
      <c r="L126" s="65"/>
      <c r="M126" s="63"/>
      <c r="N126" s="63"/>
      <c r="O126" s="64"/>
      <c r="P126" s="63"/>
      <c r="Q126" s="65"/>
      <c r="R126" s="65"/>
      <c r="S126" s="65"/>
      <c r="T126" s="65"/>
      <c r="U126" s="65"/>
      <c r="V126" s="15"/>
      <c r="W126" s="65"/>
      <c r="X126" s="65"/>
      <c r="Y126" s="63"/>
      <c r="Z126" s="63"/>
      <c r="AA126" s="63"/>
      <c r="AB126" s="86"/>
      <c r="AC126" s="64"/>
    </row>
    <row r="127" spans="1:29" ht="15.75">
      <c r="A127" s="25"/>
      <c r="B127" s="160"/>
      <c r="C127" s="129"/>
      <c r="D127" s="161"/>
      <c r="E127" s="62"/>
      <c r="F127" s="162"/>
      <c r="G127" s="161"/>
      <c r="H127" s="163"/>
      <c r="I127" s="164"/>
      <c r="J127" s="165"/>
      <c r="K127" s="166"/>
      <c r="L127" s="78"/>
      <c r="M127" s="162"/>
      <c r="N127" s="162"/>
      <c r="O127" s="145"/>
      <c r="P127" s="162"/>
      <c r="Q127" s="78"/>
      <c r="R127" s="78"/>
      <c r="S127" s="78"/>
      <c r="T127" s="78"/>
      <c r="U127" s="78"/>
      <c r="V127" s="167"/>
      <c r="W127" s="78"/>
      <c r="X127" s="78"/>
      <c r="Y127" s="162"/>
      <c r="Z127" s="162"/>
      <c r="AA127" s="162"/>
      <c r="AB127" s="86"/>
      <c r="AC127" s="145"/>
    </row>
    <row r="128" spans="1:29" ht="15.75">
      <c r="A128" s="25"/>
      <c r="B128" s="160"/>
      <c r="C128" s="129"/>
      <c r="D128" s="161"/>
      <c r="E128" s="62"/>
      <c r="F128" s="162"/>
      <c r="G128" s="161"/>
      <c r="H128" s="163"/>
      <c r="I128" s="164"/>
      <c r="J128" s="165"/>
      <c r="K128" s="166"/>
      <c r="L128" s="78"/>
      <c r="M128" s="162"/>
      <c r="N128" s="162"/>
      <c r="O128" s="145"/>
      <c r="P128" s="162"/>
      <c r="Q128" s="78"/>
      <c r="R128" s="78"/>
      <c r="S128" s="78"/>
      <c r="T128" s="78"/>
      <c r="U128" s="78"/>
      <c r="V128" s="167"/>
      <c r="W128" s="78"/>
      <c r="X128" s="78"/>
      <c r="Y128" s="162"/>
      <c r="Z128" s="162"/>
      <c r="AA128" s="162"/>
      <c r="AB128" s="145"/>
      <c r="AC128" s="145"/>
    </row>
  </sheetData>
  <autoFilter ref="A1:AC115" xr:uid="{00000000-0009-0000-0000-000000000000}"/>
  <conditionalFormatting sqref="D52 D72:D75">
    <cfRule type="expression" dxfId="91" priority="1">
      <formula>#REF!=1</formula>
    </cfRule>
  </conditionalFormatting>
  <conditionalFormatting sqref="D52 D72:D75">
    <cfRule type="expression" dxfId="90" priority="2">
      <formula>#REF!=2</formula>
    </cfRule>
  </conditionalFormatting>
  <conditionalFormatting sqref="D52 D72:D75">
    <cfRule type="expression" dxfId="89" priority="3">
      <formula>#REF!=3</formula>
    </cfRule>
  </conditionalFormatting>
  <conditionalFormatting sqref="D42:D44">
    <cfRule type="expression" dxfId="88" priority="4">
      <formula>#REF!=1</formula>
    </cfRule>
  </conditionalFormatting>
  <conditionalFormatting sqref="D42:D44">
    <cfRule type="expression" dxfId="87" priority="5">
      <formula>#REF!=2</formula>
    </cfRule>
  </conditionalFormatting>
  <conditionalFormatting sqref="D42:D44">
    <cfRule type="expression" dxfId="86" priority="6">
      <formula>#REF!=3</formula>
    </cfRule>
  </conditionalFormatting>
  <conditionalFormatting sqref="D5:D38 D40 D42:D44 D46:D52 D54:D75">
    <cfRule type="expression" dxfId="85" priority="7">
      <formula>"D7=1"</formula>
    </cfRule>
  </conditionalFormatting>
  <conditionalFormatting sqref="D5:D38 D40 D46:D51 D54:D71 D73">
    <cfRule type="expression" dxfId="84" priority="8">
      <formula>#REF!=1</formula>
    </cfRule>
  </conditionalFormatting>
  <conditionalFormatting sqref="D5:D38 D40 D46:D51 D54:D71 D73">
    <cfRule type="expression" dxfId="83" priority="9">
      <formula>#REF!=2</formula>
    </cfRule>
  </conditionalFormatting>
  <conditionalFormatting sqref="D5:D38 D40 D46:D51 D54:D71 D73">
    <cfRule type="expression" dxfId="82" priority="10">
      <formula>#REF!=3</formula>
    </cfRule>
  </conditionalFormatting>
  <conditionalFormatting sqref="J1">
    <cfRule type="containsBlanks" dxfId="81" priority="11">
      <formula>LEN(TRIM(J1))=0</formula>
    </cfRule>
  </conditionalFormatting>
  <dataValidations count="11">
    <dataValidation type="list" allowBlank="1" showErrorMessage="1" sqref="I2:I128" xr:uid="{00000000-0002-0000-0000-000000000000}">
      <formula1>"FHEMIG,UFMG,EINSTEIN,UI PAULSTA BOTUCATU,CIENCIAS MÉDICAS,FELUMA,HCFMUSP,FIOCRUZ,FUNDAÇÃO GERALDO CORREA,HCOR,HUPES/UFBA/EBSERH,UNIV PROF ED ANT VEL UNIFENAS,HOSPITAL SÍRIO LIBANÊS,INSTITUTO DO CANCET E PEDIAD ESPECIALIZADA(ICPE),INSTITUTO DO CANCER INFAN"&amp;"TIL E PEDITARIA ESPECIALIZADA (ICIPE)"</formula1>
    </dataValidation>
    <dataValidation type="list" allowBlank="1" showErrorMessage="1" sqref="S2:S86 S88:S91 S93:S95 S97:S111" xr:uid="{00000000-0002-0000-0000-000001000000}">
      <formula1>"SIM,NÃO ,NÃO SE APLICA( RELATOS DE CASO PRONTOS)"</formula1>
    </dataValidation>
    <dataValidation type="list" allowBlank="1" showErrorMessage="1" sqref="A48" xr:uid="{00000000-0002-0000-0000-000002000000}">
      <formula1>"ASSINAT DIRETOR?,EM APRECIACAO CIP,APROVADO CIP,PENDENCIA CIP,REPROVADO CIP,AGUARDANDO TA ASS,AGUARDANDO FR ASS,AGUARDANDO CEP PROPONENTE,REPROVADO CEP,APROVADO CEP PROP,EM APRECIACAO CEP PROP,APROVADO CEP FHEMIG,CHECAR CEP FHEMIG,EM COLETA DE DADOS,CHECA"&amp;"R PUBLICAÇÃO"</formula1>
    </dataValidation>
    <dataValidation type="list" allowBlank="1" showErrorMessage="1" sqref="U1:U128" xr:uid="{00000000-0002-0000-0000-000003000000}">
      <formula1>"Relato de Caso,Série de casos,Transversal prospectivo,Observacional retrospectivo, Observacional prospectivo,Qualitativa obser/entrevista,Transversal retrospectivo,Observacional descritivo,Relato de Experiência,ECCR ,Observacional prospectivo,Survey"</formula1>
    </dataValidation>
    <dataValidation type="list" allowBlank="1" showErrorMessage="1" sqref="J2:J128" xr:uid="{00000000-0002-0000-0000-000004000000}">
      <formula1>"HIJPII,HJXIII,HMAL,CHU,HJK"</formula1>
    </dataValidation>
    <dataValidation type="list" allowBlank="1" showErrorMessage="1" sqref="L2:L91 L93:L111" xr:uid="{00000000-0002-0000-0000-000005000000}">
      <formula1>"Aprovado no 1 PT,Aprovado no 3 PT,Aprovado no 2 PT,Aprovado no 4 PT,Pendência ,Reprovado,Anuência FHEMIG,EMENDA/NÃO SE APLICA,PT + TAnuencia"</formula1>
    </dataValidation>
    <dataValidation type="list" allowBlank="1" showErrorMessage="1" sqref="K2:K128" xr:uid="{00000000-0002-0000-0000-000006000000}">
      <formula1>"CONGRESSO/DIVULGAÇÃO/PUBLICAÇÃO,TCC,TCR,MESTRADO,BOLSISTA FAPEMIG,DOUTORADO,EMENDA PROJ INTERNO,EMENDA PROJ EXTERNO,EMENDA TCR,DESEMVOL PESQUISA CLÍNICA???"</formula1>
    </dataValidation>
    <dataValidation type="list" allowBlank="1" showErrorMessage="1" sqref="A2:A6 A8:A47 A49:A128" xr:uid="{00000000-0002-0000-0000-000007000000}">
      <formula1>"APROVADO,REPROVADO,CHECAR CEP FHEMIG,APROVADO CEP FHEMIG,APROVADO CEP PROP,EM APRECIACAO CIP,EM COLETA DE DADOS,EM APRECIACAO CEP PROP,AGUARDANDO FR ASS,AGUARDANDO TA ASS,PENDENCIA CIP,AGUARDANDO CEP PROPONENTE,ASSINAT DIRETOR?,DADOS COLETADOS,FOLHA DE RO"&amp;"STO ERRADA,PARECER CEP FHEMIG??,NOVA VERSÃO?,CHECAR PUBLICAÇÃO,PUBLICADO,PROJETO SUSPENSO PELO PESQU"</formula1>
    </dataValidation>
    <dataValidation type="list" allowBlank="1" showInputMessage="1" showErrorMessage="1" prompt="Clique e digite um valor da lista de itens" sqref="H2:H128" xr:uid="{00000000-0002-0000-0000-000008000000}">
      <formula1>"SERVIDOR,PESQ EXTERNO,RESIDENTE MULTI,RESIDENTE BUCO,RESIDENTE MÉDIC"</formula1>
    </dataValidation>
    <dataValidation type="list" allowBlank="1" showErrorMessage="1" sqref="AB55 AB75 AB83:AB88 AB90:AB127" xr:uid="{00000000-0002-0000-0000-000009000000}">
      <formula1>"SIM,SUBMETIDO A REVISTA,EM ESCRITA DO ARTIGO,NÃO"</formula1>
    </dataValidation>
    <dataValidation type="custom" allowBlank="1" showDropDown="1" sqref="Y46" xr:uid="{00000000-0002-0000-0000-00000A000000}">
      <formula1>OR(NOT(ISERROR(DATEVALUE(Y46))), AND(ISNUMBER(Y46), LEFT(CELL("format", Y46))="D"))</formula1>
    </dataValidation>
  </dataValidations>
  <hyperlinks>
    <hyperlink ref="T72" r:id="rId1" xr:uid="{00000000-0004-0000-0000-000000000000}"/>
  </hyperlinks>
  <pageMargins left="0.511811024" right="0.511811024" top="0.78740157499999996" bottom="0.78740157499999996" header="0" footer="0"/>
  <pageSetup orientation="landscape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65"/>
  <sheetViews>
    <sheetView tabSelected="1" workbookViewId="0">
      <pane ySplit="1" topLeftCell="A2" activePane="bottomLeft" state="frozen"/>
      <selection pane="bottomLeft" activeCell="O28" sqref="O28"/>
    </sheetView>
  </sheetViews>
  <sheetFormatPr defaultColWidth="12.5703125" defaultRowHeight="15" customHeight="1"/>
  <cols>
    <col min="1" max="1" width="24.140625" customWidth="1"/>
    <col min="2" max="2" width="16.140625" customWidth="1"/>
    <col min="3" max="3" width="17.42578125" style="201" customWidth="1"/>
    <col min="4" max="4" width="16.42578125" customWidth="1"/>
    <col min="5" max="5" width="24.42578125" customWidth="1"/>
    <col min="6" max="6" width="21.42578125" customWidth="1"/>
    <col min="7" max="7" width="21.28515625" customWidth="1"/>
    <col min="8" max="8" width="21.28515625" style="201" customWidth="1"/>
    <col min="9" max="9" width="22" customWidth="1"/>
    <col min="10" max="10" width="21.5703125" style="254" customWidth="1"/>
    <col min="11" max="11" width="23.140625" style="254" customWidth="1"/>
  </cols>
  <sheetData>
    <row r="1" spans="1:11" ht="64.5">
      <c r="A1" s="168" t="s">
        <v>4</v>
      </c>
      <c r="B1" s="169" t="s">
        <v>8</v>
      </c>
      <c r="C1" s="170" t="s">
        <v>5</v>
      </c>
      <c r="D1" s="171" t="s">
        <v>25</v>
      </c>
      <c r="E1" s="172" t="s">
        <v>624</v>
      </c>
      <c r="F1" s="173" t="s">
        <v>625</v>
      </c>
      <c r="G1" s="174" t="s">
        <v>626</v>
      </c>
      <c r="H1" s="175" t="s">
        <v>627</v>
      </c>
      <c r="I1" s="176" t="s">
        <v>628</v>
      </c>
      <c r="J1" s="177" t="s">
        <v>629</v>
      </c>
      <c r="K1" s="178" t="s">
        <v>630</v>
      </c>
    </row>
    <row r="2" spans="1:11" ht="12.75">
      <c r="A2" s="179" t="s">
        <v>32</v>
      </c>
      <c r="B2" s="180" t="s">
        <v>35</v>
      </c>
      <c r="C2" s="181">
        <v>44616</v>
      </c>
      <c r="D2" s="182" t="s">
        <v>38</v>
      </c>
      <c r="E2" s="183" t="s">
        <v>631</v>
      </c>
      <c r="F2" s="184" t="s">
        <v>38</v>
      </c>
      <c r="G2" s="185" t="s">
        <v>38</v>
      </c>
      <c r="H2" s="186">
        <v>45346</v>
      </c>
      <c r="I2" s="187">
        <v>0</v>
      </c>
      <c r="J2" s="188">
        <v>0</v>
      </c>
      <c r="K2" s="187">
        <f t="shared" ref="K2:K5" si="0">(H2-C2)</f>
        <v>730</v>
      </c>
    </row>
    <row r="3" spans="1:11" ht="12.75">
      <c r="A3" s="179" t="s">
        <v>50</v>
      </c>
      <c r="B3" s="180" t="s">
        <v>52</v>
      </c>
      <c r="C3" s="181">
        <v>45246</v>
      </c>
      <c r="D3" s="181">
        <v>45247</v>
      </c>
      <c r="E3" s="189">
        <v>45551</v>
      </c>
      <c r="F3" s="190">
        <v>45289</v>
      </c>
      <c r="G3" s="191">
        <v>45552</v>
      </c>
      <c r="H3" s="186">
        <v>45594</v>
      </c>
      <c r="I3" s="187">
        <f t="shared" ref="I3:J3" si="1">(D3-C3)</f>
        <v>1</v>
      </c>
      <c r="J3" s="188">
        <f t="shared" si="1"/>
        <v>304</v>
      </c>
      <c r="K3" s="187">
        <f t="shared" si="0"/>
        <v>348</v>
      </c>
    </row>
    <row r="4" spans="1:11" ht="24">
      <c r="A4" s="179" t="s">
        <v>63</v>
      </c>
      <c r="B4" s="180" t="s">
        <v>66</v>
      </c>
      <c r="C4" s="181">
        <v>45254</v>
      </c>
      <c r="D4" s="181">
        <v>45300</v>
      </c>
      <c r="E4" s="192">
        <v>45308</v>
      </c>
      <c r="F4" s="190">
        <v>45308</v>
      </c>
      <c r="G4" s="191">
        <v>45309</v>
      </c>
      <c r="H4" s="186">
        <v>45320</v>
      </c>
      <c r="I4" s="187">
        <f t="shared" ref="I4:I48" si="2">(D4-C4)</f>
        <v>46</v>
      </c>
      <c r="J4" s="188">
        <f t="shared" ref="J4:J7" si="3">(F4-E4)</f>
        <v>0</v>
      </c>
      <c r="K4" s="187">
        <f t="shared" si="0"/>
        <v>66</v>
      </c>
    </row>
    <row r="5" spans="1:11" ht="12.75">
      <c r="A5" s="179" t="s">
        <v>75</v>
      </c>
      <c r="B5" s="180" t="s">
        <v>77</v>
      </c>
      <c r="C5" s="181">
        <v>45328</v>
      </c>
      <c r="D5" s="181">
        <v>45330</v>
      </c>
      <c r="E5" s="193">
        <v>45364</v>
      </c>
      <c r="F5" s="190">
        <v>45364</v>
      </c>
      <c r="G5" s="191">
        <v>45364</v>
      </c>
      <c r="H5" s="186">
        <v>45448</v>
      </c>
      <c r="I5" s="187">
        <f t="shared" si="2"/>
        <v>2</v>
      </c>
      <c r="J5" s="188">
        <f t="shared" si="3"/>
        <v>0</v>
      </c>
      <c r="K5" s="187">
        <f t="shared" si="0"/>
        <v>120</v>
      </c>
    </row>
    <row r="6" spans="1:11" ht="12.75">
      <c r="A6" s="179" t="s">
        <v>85</v>
      </c>
      <c r="B6" s="180" t="s">
        <v>35</v>
      </c>
      <c r="C6" s="181">
        <v>45337</v>
      </c>
      <c r="D6" s="181">
        <v>45338</v>
      </c>
      <c r="E6" s="193">
        <v>45343</v>
      </c>
      <c r="F6" s="190">
        <v>45349</v>
      </c>
      <c r="G6" s="191">
        <v>45350</v>
      </c>
      <c r="H6" s="194" t="s">
        <v>38</v>
      </c>
      <c r="I6" s="187">
        <f t="shared" si="2"/>
        <v>1</v>
      </c>
      <c r="J6" s="188">
        <f t="shared" si="3"/>
        <v>6</v>
      </c>
      <c r="K6" s="187">
        <v>0</v>
      </c>
    </row>
    <row r="7" spans="1:11" ht="12.75">
      <c r="A7" s="179" t="s">
        <v>92</v>
      </c>
      <c r="B7" s="180" t="s">
        <v>35</v>
      </c>
      <c r="C7" s="181">
        <v>45330</v>
      </c>
      <c r="D7" s="181">
        <v>45343</v>
      </c>
      <c r="E7" s="192">
        <v>45343</v>
      </c>
      <c r="F7" s="190">
        <v>45350</v>
      </c>
      <c r="G7" s="191">
        <v>45350</v>
      </c>
      <c r="H7" s="186">
        <v>45394</v>
      </c>
      <c r="I7" s="187">
        <f t="shared" si="2"/>
        <v>13</v>
      </c>
      <c r="J7" s="188">
        <f t="shared" si="3"/>
        <v>7</v>
      </c>
      <c r="K7" s="187">
        <f>(H7-C7)</f>
        <v>64</v>
      </c>
    </row>
    <row r="8" spans="1:11" ht="24">
      <c r="A8" s="179" t="s">
        <v>95</v>
      </c>
      <c r="B8" s="180" t="s">
        <v>97</v>
      </c>
      <c r="C8" s="181">
        <v>45331</v>
      </c>
      <c r="D8" s="181">
        <v>45360</v>
      </c>
      <c r="E8" s="193">
        <v>45366</v>
      </c>
      <c r="F8" s="190">
        <v>45370</v>
      </c>
      <c r="G8" s="191">
        <v>45370</v>
      </c>
      <c r="H8" s="194" t="s">
        <v>38</v>
      </c>
      <c r="I8" s="187">
        <f t="shared" si="2"/>
        <v>29</v>
      </c>
      <c r="J8" s="188">
        <f>(E8-D8)</f>
        <v>6</v>
      </c>
      <c r="K8" s="187">
        <v>0</v>
      </c>
    </row>
    <row r="9" spans="1:11" ht="12.75">
      <c r="A9" s="179" t="s">
        <v>103</v>
      </c>
      <c r="B9" s="180" t="s">
        <v>35</v>
      </c>
      <c r="C9" s="181">
        <v>45337</v>
      </c>
      <c r="D9" s="181">
        <v>45343</v>
      </c>
      <c r="E9" s="193">
        <v>45343</v>
      </c>
      <c r="F9" s="190">
        <v>45350</v>
      </c>
      <c r="G9" s="191">
        <v>45350</v>
      </c>
      <c r="H9" s="194" t="s">
        <v>38</v>
      </c>
      <c r="I9" s="187">
        <f t="shared" si="2"/>
        <v>6</v>
      </c>
      <c r="J9" s="188">
        <f t="shared" ref="J9:J11" si="4">(F9-E9)</f>
        <v>7</v>
      </c>
      <c r="K9" s="187">
        <v>0</v>
      </c>
    </row>
    <row r="10" spans="1:11" ht="12.75">
      <c r="A10" s="179" t="s">
        <v>105</v>
      </c>
      <c r="B10" s="180" t="s">
        <v>35</v>
      </c>
      <c r="C10" s="181">
        <v>45337</v>
      </c>
      <c r="D10" s="181">
        <v>45343</v>
      </c>
      <c r="E10" s="193">
        <v>45343</v>
      </c>
      <c r="F10" s="190">
        <v>45350</v>
      </c>
      <c r="G10" s="191">
        <v>45350</v>
      </c>
      <c r="H10" s="186">
        <v>45394</v>
      </c>
      <c r="I10" s="187">
        <f t="shared" si="2"/>
        <v>6</v>
      </c>
      <c r="J10" s="188">
        <f t="shared" si="4"/>
        <v>7</v>
      </c>
      <c r="K10" s="187">
        <f>(H10-C10)</f>
        <v>57</v>
      </c>
    </row>
    <row r="11" spans="1:11" ht="12.75">
      <c r="A11" s="179" t="s">
        <v>107</v>
      </c>
      <c r="B11" s="180" t="s">
        <v>35</v>
      </c>
      <c r="C11" s="181">
        <v>45337</v>
      </c>
      <c r="D11" s="181">
        <v>45337</v>
      </c>
      <c r="E11" s="193">
        <v>45338</v>
      </c>
      <c r="F11" s="190">
        <v>45341</v>
      </c>
      <c r="G11" s="191">
        <v>45341</v>
      </c>
      <c r="H11" s="194" t="s">
        <v>38</v>
      </c>
      <c r="I11" s="187">
        <f t="shared" si="2"/>
        <v>0</v>
      </c>
      <c r="J11" s="188">
        <f t="shared" si="4"/>
        <v>3</v>
      </c>
      <c r="K11" s="187">
        <v>0</v>
      </c>
    </row>
    <row r="12" spans="1:11" ht="12.75">
      <c r="A12" s="179" t="s">
        <v>110</v>
      </c>
      <c r="B12" s="180" t="s">
        <v>35</v>
      </c>
      <c r="C12" s="181">
        <v>45337</v>
      </c>
      <c r="D12" s="181">
        <v>45345</v>
      </c>
      <c r="E12" s="193">
        <v>45345</v>
      </c>
      <c r="F12" s="190">
        <v>45364</v>
      </c>
      <c r="G12" s="191">
        <v>45365</v>
      </c>
      <c r="H12" s="186">
        <v>45394</v>
      </c>
      <c r="I12" s="187">
        <f t="shared" si="2"/>
        <v>8</v>
      </c>
      <c r="J12" s="188">
        <f t="shared" ref="J12:J13" si="5">F12-E12</f>
        <v>19</v>
      </c>
      <c r="K12" s="187">
        <f t="shared" ref="K12:K16" si="6">(H12-C12)</f>
        <v>57</v>
      </c>
    </row>
    <row r="13" spans="1:11" ht="12.75">
      <c r="A13" s="179" t="s">
        <v>119</v>
      </c>
      <c r="B13" s="180" t="s">
        <v>77</v>
      </c>
      <c r="C13" s="181">
        <v>45320</v>
      </c>
      <c r="D13" s="181">
        <v>45433</v>
      </c>
      <c r="E13" s="193">
        <v>45433</v>
      </c>
      <c r="F13" s="190">
        <v>45433</v>
      </c>
      <c r="G13" s="191">
        <v>45434</v>
      </c>
      <c r="H13" s="186">
        <v>45494</v>
      </c>
      <c r="I13" s="187">
        <f t="shared" si="2"/>
        <v>113</v>
      </c>
      <c r="J13" s="188">
        <f t="shared" si="5"/>
        <v>0</v>
      </c>
      <c r="K13" s="187">
        <f t="shared" si="6"/>
        <v>174</v>
      </c>
    </row>
    <row r="14" spans="1:11" ht="12.75">
      <c r="A14" s="179" t="s">
        <v>128</v>
      </c>
      <c r="B14" s="180" t="s">
        <v>130</v>
      </c>
      <c r="C14" s="181">
        <v>45365</v>
      </c>
      <c r="D14" s="181">
        <v>45372</v>
      </c>
      <c r="E14" s="193">
        <v>45372</v>
      </c>
      <c r="F14" s="190">
        <v>45411</v>
      </c>
      <c r="G14" s="191">
        <v>45412</v>
      </c>
      <c r="H14" s="186">
        <v>45388</v>
      </c>
      <c r="I14" s="187">
        <f t="shared" si="2"/>
        <v>7</v>
      </c>
      <c r="J14" s="188">
        <f>(F14-E14)</f>
        <v>39</v>
      </c>
      <c r="K14" s="187">
        <f t="shared" si="6"/>
        <v>23</v>
      </c>
    </row>
    <row r="15" spans="1:11" ht="12.75">
      <c r="A15" s="179" t="s">
        <v>137</v>
      </c>
      <c r="B15" s="180" t="s">
        <v>77</v>
      </c>
      <c r="C15" s="181">
        <v>45370</v>
      </c>
      <c r="D15" s="181">
        <v>45370</v>
      </c>
      <c r="E15" s="193">
        <v>45377</v>
      </c>
      <c r="F15" s="190">
        <v>45384</v>
      </c>
      <c r="G15" s="191">
        <v>45384</v>
      </c>
      <c r="H15" s="186">
        <v>45499</v>
      </c>
      <c r="I15" s="187">
        <f t="shared" si="2"/>
        <v>0</v>
      </c>
      <c r="J15" s="188">
        <f t="shared" ref="J15:J16" si="7">F15-E15</f>
        <v>7</v>
      </c>
      <c r="K15" s="187">
        <f t="shared" si="6"/>
        <v>129</v>
      </c>
    </row>
    <row r="16" spans="1:11" ht="12.75">
      <c r="A16" s="179" t="s">
        <v>145</v>
      </c>
      <c r="B16" s="180" t="s">
        <v>130</v>
      </c>
      <c r="C16" s="181">
        <v>45371</v>
      </c>
      <c r="D16" s="181">
        <v>45397</v>
      </c>
      <c r="E16" s="193">
        <v>45394</v>
      </c>
      <c r="F16" s="190">
        <v>45397</v>
      </c>
      <c r="G16" s="191">
        <v>45397</v>
      </c>
      <c r="H16" s="186">
        <v>45421</v>
      </c>
      <c r="I16" s="187">
        <f t="shared" si="2"/>
        <v>26</v>
      </c>
      <c r="J16" s="188">
        <f t="shared" si="7"/>
        <v>3</v>
      </c>
      <c r="K16" s="187">
        <f t="shared" si="6"/>
        <v>50</v>
      </c>
    </row>
    <row r="17" spans="1:11" ht="12.75">
      <c r="A17" s="179" t="s">
        <v>150</v>
      </c>
      <c r="B17" s="180" t="s">
        <v>35</v>
      </c>
      <c r="C17" s="181">
        <v>45390</v>
      </c>
      <c r="D17" s="181">
        <v>45397</v>
      </c>
      <c r="E17" s="193">
        <v>45394</v>
      </c>
      <c r="F17" s="190">
        <v>45412</v>
      </c>
      <c r="G17" s="191">
        <v>45412</v>
      </c>
      <c r="H17" s="194" t="s">
        <v>38</v>
      </c>
      <c r="I17" s="187">
        <f t="shared" si="2"/>
        <v>7</v>
      </c>
      <c r="J17" s="188">
        <f>F17-D17</f>
        <v>15</v>
      </c>
      <c r="K17" s="187">
        <v>0</v>
      </c>
    </row>
    <row r="18" spans="1:11" ht="12.75">
      <c r="A18" s="179" t="s">
        <v>156</v>
      </c>
      <c r="B18" s="180" t="s">
        <v>35</v>
      </c>
      <c r="C18" s="181">
        <v>45393</v>
      </c>
      <c r="D18" s="181">
        <v>45394</v>
      </c>
      <c r="E18" s="193">
        <v>45394</v>
      </c>
      <c r="F18" s="190">
        <v>45412</v>
      </c>
      <c r="G18" s="191">
        <v>45412</v>
      </c>
      <c r="H18" s="186">
        <v>45424</v>
      </c>
      <c r="I18" s="187">
        <f t="shared" si="2"/>
        <v>1</v>
      </c>
      <c r="J18" s="188">
        <f t="shared" ref="J18:J50" si="8">F18-E18</f>
        <v>18</v>
      </c>
      <c r="K18" s="187">
        <f t="shared" ref="K18:K27" si="9">(H18-C18)</f>
        <v>31</v>
      </c>
    </row>
    <row r="19" spans="1:11" ht="24">
      <c r="A19" s="179" t="s">
        <v>162</v>
      </c>
      <c r="B19" s="180" t="s">
        <v>97</v>
      </c>
      <c r="C19" s="181">
        <v>45400</v>
      </c>
      <c r="D19" s="181">
        <v>45462</v>
      </c>
      <c r="E19" s="193">
        <v>45462</v>
      </c>
      <c r="F19" s="190">
        <v>45464</v>
      </c>
      <c r="G19" s="191">
        <v>45464</v>
      </c>
      <c r="H19" s="186">
        <v>45573</v>
      </c>
      <c r="I19" s="187">
        <f t="shared" si="2"/>
        <v>62</v>
      </c>
      <c r="J19" s="188">
        <f t="shared" si="8"/>
        <v>2</v>
      </c>
      <c r="K19" s="187">
        <f t="shared" si="9"/>
        <v>173</v>
      </c>
    </row>
    <row r="20" spans="1:11" ht="12.75">
      <c r="A20" s="179" t="s">
        <v>169</v>
      </c>
      <c r="B20" s="180" t="s">
        <v>35</v>
      </c>
      <c r="C20" s="181">
        <v>45408</v>
      </c>
      <c r="D20" s="181">
        <v>45411</v>
      </c>
      <c r="E20" s="193">
        <v>45411</v>
      </c>
      <c r="F20" s="190">
        <v>45412</v>
      </c>
      <c r="G20" s="191">
        <v>45412</v>
      </c>
      <c r="H20" s="186">
        <v>45421</v>
      </c>
      <c r="I20" s="187">
        <f t="shared" si="2"/>
        <v>3</v>
      </c>
      <c r="J20" s="188">
        <f t="shared" si="8"/>
        <v>1</v>
      </c>
      <c r="K20" s="187">
        <f t="shared" si="9"/>
        <v>13</v>
      </c>
    </row>
    <row r="21" spans="1:11" ht="12.75">
      <c r="A21" s="195" t="s">
        <v>173</v>
      </c>
      <c r="B21" s="180" t="s">
        <v>35</v>
      </c>
      <c r="C21" s="181">
        <v>45418</v>
      </c>
      <c r="D21" s="181">
        <v>45420</v>
      </c>
      <c r="E21" s="193">
        <v>45420</v>
      </c>
      <c r="F21" s="190">
        <v>45422</v>
      </c>
      <c r="G21" s="191">
        <v>45421</v>
      </c>
      <c r="H21" s="186">
        <v>45424</v>
      </c>
      <c r="I21" s="187">
        <f t="shared" si="2"/>
        <v>2</v>
      </c>
      <c r="J21" s="188">
        <f t="shared" si="8"/>
        <v>2</v>
      </c>
      <c r="K21" s="187">
        <f t="shared" si="9"/>
        <v>6</v>
      </c>
    </row>
    <row r="22" spans="1:11" ht="12.75">
      <c r="A22" s="179" t="s">
        <v>179</v>
      </c>
      <c r="B22" s="180" t="s">
        <v>35</v>
      </c>
      <c r="C22" s="181">
        <v>45419</v>
      </c>
      <c r="D22" s="181">
        <v>45421</v>
      </c>
      <c r="E22" s="193">
        <v>45421</v>
      </c>
      <c r="F22" s="190">
        <v>45428</v>
      </c>
      <c r="G22" s="191">
        <v>45429</v>
      </c>
      <c r="H22" s="186">
        <v>45453</v>
      </c>
      <c r="I22" s="187">
        <f t="shared" si="2"/>
        <v>2</v>
      </c>
      <c r="J22" s="188">
        <f t="shared" si="8"/>
        <v>7</v>
      </c>
      <c r="K22" s="187">
        <f t="shared" si="9"/>
        <v>34</v>
      </c>
    </row>
    <row r="23" spans="1:11" ht="12.75">
      <c r="A23" s="179" t="s">
        <v>185</v>
      </c>
      <c r="B23" s="180" t="s">
        <v>35</v>
      </c>
      <c r="C23" s="181">
        <v>45421</v>
      </c>
      <c r="D23" s="181">
        <v>45427</v>
      </c>
      <c r="E23" s="193">
        <v>45427</v>
      </c>
      <c r="F23" s="190">
        <v>45434</v>
      </c>
      <c r="G23" s="191">
        <v>45441</v>
      </c>
      <c r="H23" s="186">
        <v>45508</v>
      </c>
      <c r="I23" s="187">
        <f t="shared" si="2"/>
        <v>6</v>
      </c>
      <c r="J23" s="188">
        <f t="shared" si="8"/>
        <v>7</v>
      </c>
      <c r="K23" s="187">
        <f t="shared" si="9"/>
        <v>87</v>
      </c>
    </row>
    <row r="24" spans="1:11" ht="12.75">
      <c r="A24" s="179" t="s">
        <v>190</v>
      </c>
      <c r="B24" s="180" t="s">
        <v>35</v>
      </c>
      <c r="C24" s="181">
        <v>45420</v>
      </c>
      <c r="D24" s="181">
        <v>45432</v>
      </c>
      <c r="E24" s="193">
        <v>45432</v>
      </c>
      <c r="F24" s="190">
        <v>45440</v>
      </c>
      <c r="G24" s="191">
        <v>45441</v>
      </c>
      <c r="H24" s="186">
        <v>45536</v>
      </c>
      <c r="I24" s="187">
        <f t="shared" si="2"/>
        <v>12</v>
      </c>
      <c r="J24" s="188">
        <f t="shared" si="8"/>
        <v>8</v>
      </c>
      <c r="K24" s="187">
        <f t="shared" si="9"/>
        <v>116</v>
      </c>
    </row>
    <row r="25" spans="1:11" ht="12.75">
      <c r="A25" s="179" t="s">
        <v>194</v>
      </c>
      <c r="B25" s="180" t="s">
        <v>35</v>
      </c>
      <c r="C25" s="181">
        <v>45421</v>
      </c>
      <c r="D25" s="181">
        <v>45426</v>
      </c>
      <c r="E25" s="193">
        <v>45426</v>
      </c>
      <c r="F25" s="190">
        <v>45440</v>
      </c>
      <c r="G25" s="191">
        <v>45441</v>
      </c>
      <c r="H25" s="186">
        <v>45449</v>
      </c>
      <c r="I25" s="187">
        <f t="shared" si="2"/>
        <v>5</v>
      </c>
      <c r="J25" s="188">
        <f t="shared" si="8"/>
        <v>14</v>
      </c>
      <c r="K25" s="187">
        <f t="shared" si="9"/>
        <v>28</v>
      </c>
    </row>
    <row r="26" spans="1:11" ht="12.75">
      <c r="A26" s="195" t="s">
        <v>198</v>
      </c>
      <c r="B26" s="180" t="s">
        <v>35</v>
      </c>
      <c r="C26" s="181">
        <v>45425</v>
      </c>
      <c r="D26" s="181">
        <v>45427</v>
      </c>
      <c r="E26" s="193">
        <v>45426</v>
      </c>
      <c r="F26" s="190">
        <v>45434</v>
      </c>
      <c r="G26" s="191">
        <v>45441</v>
      </c>
      <c r="H26" s="186">
        <v>45449</v>
      </c>
      <c r="I26" s="187">
        <f t="shared" si="2"/>
        <v>2</v>
      </c>
      <c r="J26" s="188">
        <f t="shared" si="8"/>
        <v>8</v>
      </c>
      <c r="K26" s="187">
        <f t="shared" si="9"/>
        <v>24</v>
      </c>
    </row>
    <row r="27" spans="1:11" ht="12.75">
      <c r="A27" s="179" t="s">
        <v>202</v>
      </c>
      <c r="B27" s="180" t="s">
        <v>35</v>
      </c>
      <c r="C27" s="181">
        <v>45425</v>
      </c>
      <c r="D27" s="181">
        <v>45427</v>
      </c>
      <c r="E27" s="193">
        <v>45427</v>
      </c>
      <c r="F27" s="190">
        <v>45434</v>
      </c>
      <c r="G27" s="191">
        <v>45441</v>
      </c>
      <c r="H27" s="186">
        <v>45475</v>
      </c>
      <c r="I27" s="187">
        <f t="shared" si="2"/>
        <v>2</v>
      </c>
      <c r="J27" s="188">
        <f t="shared" si="8"/>
        <v>7</v>
      </c>
      <c r="K27" s="187">
        <f t="shared" si="9"/>
        <v>50</v>
      </c>
    </row>
    <row r="28" spans="1:11" ht="12.75">
      <c r="A28" s="179" t="s">
        <v>207</v>
      </c>
      <c r="B28" s="180" t="s">
        <v>35</v>
      </c>
      <c r="C28" s="181">
        <v>45427</v>
      </c>
      <c r="D28" s="181">
        <v>45441</v>
      </c>
      <c r="E28" s="193">
        <v>45441</v>
      </c>
      <c r="F28" s="190">
        <v>45448</v>
      </c>
      <c r="G28" s="191">
        <v>45448</v>
      </c>
      <c r="H28" s="194" t="s">
        <v>38</v>
      </c>
      <c r="I28" s="187">
        <f t="shared" si="2"/>
        <v>14</v>
      </c>
      <c r="J28" s="188">
        <f t="shared" si="8"/>
        <v>7</v>
      </c>
      <c r="K28" s="187">
        <v>0</v>
      </c>
    </row>
    <row r="29" spans="1:11" ht="12.75">
      <c r="A29" s="179" t="s">
        <v>212</v>
      </c>
      <c r="B29" s="180" t="s">
        <v>35</v>
      </c>
      <c r="C29" s="181">
        <v>45429</v>
      </c>
      <c r="D29" s="181">
        <v>45449</v>
      </c>
      <c r="E29" s="193">
        <v>45449</v>
      </c>
      <c r="F29" s="190">
        <v>45467</v>
      </c>
      <c r="G29" s="191">
        <v>45467</v>
      </c>
      <c r="H29" s="186">
        <v>45508</v>
      </c>
      <c r="I29" s="187">
        <f t="shared" si="2"/>
        <v>20</v>
      </c>
      <c r="J29" s="188">
        <f t="shared" si="8"/>
        <v>18</v>
      </c>
      <c r="K29" s="187">
        <f t="shared" ref="K29:K33" si="10">(H29-C29)</f>
        <v>79</v>
      </c>
    </row>
    <row r="30" spans="1:11" ht="12.75">
      <c r="A30" s="179" t="s">
        <v>217</v>
      </c>
      <c r="B30" s="180" t="s">
        <v>77</v>
      </c>
      <c r="C30" s="181">
        <v>45428</v>
      </c>
      <c r="D30" s="181">
        <v>45566</v>
      </c>
      <c r="E30" s="193">
        <v>45567</v>
      </c>
      <c r="F30" s="190">
        <v>45567</v>
      </c>
      <c r="G30" s="191">
        <v>45567</v>
      </c>
      <c r="H30" s="186">
        <v>45582</v>
      </c>
      <c r="I30" s="187">
        <f t="shared" si="2"/>
        <v>138</v>
      </c>
      <c r="J30" s="188">
        <f t="shared" si="8"/>
        <v>0</v>
      </c>
      <c r="K30" s="187">
        <f t="shared" si="10"/>
        <v>154</v>
      </c>
    </row>
    <row r="31" spans="1:11" ht="12.75">
      <c r="A31" s="179" t="s">
        <v>224</v>
      </c>
      <c r="B31" s="180" t="s">
        <v>35</v>
      </c>
      <c r="C31" s="181">
        <v>45429</v>
      </c>
      <c r="D31" s="181">
        <v>45433</v>
      </c>
      <c r="E31" s="193">
        <v>45433</v>
      </c>
      <c r="F31" s="190">
        <v>45447</v>
      </c>
      <c r="G31" s="191">
        <v>45447</v>
      </c>
      <c r="H31" s="186">
        <v>45449</v>
      </c>
      <c r="I31" s="187">
        <f t="shared" si="2"/>
        <v>4</v>
      </c>
      <c r="J31" s="188">
        <f t="shared" si="8"/>
        <v>14</v>
      </c>
      <c r="K31" s="187">
        <f t="shared" si="10"/>
        <v>20</v>
      </c>
    </row>
    <row r="32" spans="1:11" ht="12.75">
      <c r="A32" s="179" t="s">
        <v>228</v>
      </c>
      <c r="B32" s="180" t="s">
        <v>35</v>
      </c>
      <c r="C32" s="181">
        <v>45432</v>
      </c>
      <c r="D32" s="181">
        <v>45434</v>
      </c>
      <c r="E32" s="193">
        <v>45434</v>
      </c>
      <c r="F32" s="190">
        <v>45448</v>
      </c>
      <c r="G32" s="191">
        <v>45448</v>
      </c>
      <c r="H32" s="186">
        <v>45449</v>
      </c>
      <c r="I32" s="187">
        <f t="shared" si="2"/>
        <v>2</v>
      </c>
      <c r="J32" s="188">
        <f t="shared" si="8"/>
        <v>14</v>
      </c>
      <c r="K32" s="187">
        <f t="shared" si="10"/>
        <v>17</v>
      </c>
    </row>
    <row r="33" spans="1:11" ht="12.75">
      <c r="A33" s="179" t="s">
        <v>232</v>
      </c>
      <c r="B33" s="180" t="s">
        <v>35</v>
      </c>
      <c r="C33" s="181">
        <v>45432</v>
      </c>
      <c r="D33" s="181">
        <v>45434</v>
      </c>
      <c r="E33" s="193">
        <v>45434</v>
      </c>
      <c r="F33" s="190">
        <v>45447</v>
      </c>
      <c r="G33" s="191">
        <v>45447</v>
      </c>
      <c r="H33" s="186">
        <v>45449</v>
      </c>
      <c r="I33" s="187">
        <f t="shared" si="2"/>
        <v>2</v>
      </c>
      <c r="J33" s="188">
        <f t="shared" si="8"/>
        <v>13</v>
      </c>
      <c r="K33" s="187">
        <f t="shared" si="10"/>
        <v>17</v>
      </c>
    </row>
    <row r="34" spans="1:11" ht="12.75">
      <c r="A34" s="179" t="s">
        <v>237</v>
      </c>
      <c r="B34" s="180" t="s">
        <v>35</v>
      </c>
      <c r="C34" s="181">
        <v>45433</v>
      </c>
      <c r="D34" s="181">
        <v>45446</v>
      </c>
      <c r="E34" s="193">
        <v>45446</v>
      </c>
      <c r="F34" s="190">
        <v>45447</v>
      </c>
      <c r="G34" s="191">
        <v>45447</v>
      </c>
      <c r="H34" s="194" t="s">
        <v>38</v>
      </c>
      <c r="I34" s="187">
        <f t="shared" si="2"/>
        <v>13</v>
      </c>
      <c r="J34" s="188">
        <f t="shared" si="8"/>
        <v>1</v>
      </c>
      <c r="K34" s="187">
        <v>0</v>
      </c>
    </row>
    <row r="35" spans="1:11" ht="12.75">
      <c r="A35" s="195" t="s">
        <v>242</v>
      </c>
      <c r="B35" s="180" t="s">
        <v>35</v>
      </c>
      <c r="C35" s="181">
        <v>45434</v>
      </c>
      <c r="D35" s="181">
        <v>45450</v>
      </c>
      <c r="E35" s="193">
        <v>45449</v>
      </c>
      <c r="F35" s="190">
        <v>45475</v>
      </c>
      <c r="G35" s="191">
        <v>45475</v>
      </c>
      <c r="H35" s="186">
        <v>45477</v>
      </c>
      <c r="I35" s="187">
        <f t="shared" si="2"/>
        <v>16</v>
      </c>
      <c r="J35" s="188">
        <f t="shared" si="8"/>
        <v>26</v>
      </c>
      <c r="K35" s="187">
        <f>(H35-C35)</f>
        <v>43</v>
      </c>
    </row>
    <row r="36" spans="1:11" ht="12.75">
      <c r="A36" s="195" t="s">
        <v>247</v>
      </c>
      <c r="B36" s="180" t="s">
        <v>35</v>
      </c>
      <c r="C36" s="181">
        <v>45439</v>
      </c>
      <c r="D36" s="181">
        <v>45455</v>
      </c>
      <c r="E36" s="193">
        <v>45455</v>
      </c>
      <c r="F36" s="190">
        <v>45475</v>
      </c>
      <c r="G36" s="191">
        <v>45475</v>
      </c>
      <c r="H36" s="194" t="s">
        <v>38</v>
      </c>
      <c r="I36" s="187">
        <f t="shared" si="2"/>
        <v>16</v>
      </c>
      <c r="J36" s="188">
        <f t="shared" si="8"/>
        <v>20</v>
      </c>
      <c r="K36" s="187">
        <v>0</v>
      </c>
    </row>
    <row r="37" spans="1:11" ht="12.75">
      <c r="A37" s="179" t="s">
        <v>252</v>
      </c>
      <c r="B37" s="180" t="s">
        <v>35</v>
      </c>
      <c r="C37" s="181">
        <v>45439</v>
      </c>
      <c r="D37" s="181">
        <v>45454</v>
      </c>
      <c r="E37" s="193">
        <v>45476</v>
      </c>
      <c r="F37" s="190">
        <v>45478</v>
      </c>
      <c r="G37" s="191">
        <v>45478</v>
      </c>
      <c r="H37" s="186">
        <v>45536</v>
      </c>
      <c r="I37" s="187">
        <f t="shared" si="2"/>
        <v>15</v>
      </c>
      <c r="J37" s="188">
        <f t="shared" si="8"/>
        <v>2</v>
      </c>
      <c r="K37" s="187">
        <f t="shared" ref="K37:K41" si="11">(H37-C37)</f>
        <v>97</v>
      </c>
    </row>
    <row r="38" spans="1:11" ht="12.75">
      <c r="A38" s="195" t="s">
        <v>258</v>
      </c>
      <c r="B38" s="180" t="s">
        <v>35</v>
      </c>
      <c r="C38" s="181">
        <v>45440</v>
      </c>
      <c r="D38" s="181">
        <v>45456</v>
      </c>
      <c r="E38" s="193">
        <v>45456</v>
      </c>
      <c r="F38" s="190">
        <v>45467</v>
      </c>
      <c r="G38" s="191">
        <v>45467</v>
      </c>
      <c r="H38" s="186">
        <v>45508</v>
      </c>
      <c r="I38" s="187">
        <f t="shared" si="2"/>
        <v>16</v>
      </c>
      <c r="J38" s="188">
        <f t="shared" si="8"/>
        <v>11</v>
      </c>
      <c r="K38" s="187">
        <f t="shared" si="11"/>
        <v>68</v>
      </c>
    </row>
    <row r="39" spans="1:11" ht="12.75">
      <c r="A39" s="195" t="s">
        <v>266</v>
      </c>
      <c r="B39" s="180" t="s">
        <v>35</v>
      </c>
      <c r="C39" s="181">
        <v>45441</v>
      </c>
      <c r="D39" s="181">
        <v>45447</v>
      </c>
      <c r="E39" s="193">
        <v>45476</v>
      </c>
      <c r="F39" s="190">
        <v>45499</v>
      </c>
      <c r="G39" s="191">
        <v>45499</v>
      </c>
      <c r="H39" s="186">
        <v>45512</v>
      </c>
      <c r="I39" s="187">
        <f t="shared" si="2"/>
        <v>6</v>
      </c>
      <c r="J39" s="188">
        <f t="shared" si="8"/>
        <v>23</v>
      </c>
      <c r="K39" s="187">
        <f t="shared" si="11"/>
        <v>71</v>
      </c>
    </row>
    <row r="40" spans="1:11" ht="12.75">
      <c r="A40" s="179" t="s">
        <v>632</v>
      </c>
      <c r="B40" s="180" t="s">
        <v>35</v>
      </c>
      <c r="C40" s="181">
        <v>45440</v>
      </c>
      <c r="D40" s="181">
        <v>45455</v>
      </c>
      <c r="E40" s="193">
        <v>45455</v>
      </c>
      <c r="F40" s="190">
        <v>45475</v>
      </c>
      <c r="G40" s="191">
        <v>45475</v>
      </c>
      <c r="H40" s="186">
        <v>45494</v>
      </c>
      <c r="I40" s="187">
        <f t="shared" si="2"/>
        <v>15</v>
      </c>
      <c r="J40" s="188">
        <f t="shared" si="8"/>
        <v>20</v>
      </c>
      <c r="K40" s="187">
        <f t="shared" si="11"/>
        <v>54</v>
      </c>
    </row>
    <row r="41" spans="1:11" ht="12.75">
      <c r="A41" s="179" t="s">
        <v>276</v>
      </c>
      <c r="B41" s="180" t="s">
        <v>35</v>
      </c>
      <c r="C41" s="181">
        <v>45441</v>
      </c>
      <c r="D41" s="181">
        <v>45456</v>
      </c>
      <c r="E41" s="193">
        <v>45456</v>
      </c>
      <c r="F41" s="190">
        <v>45475</v>
      </c>
      <c r="G41" s="191">
        <v>45475</v>
      </c>
      <c r="H41" s="186">
        <v>45477</v>
      </c>
      <c r="I41" s="187">
        <f t="shared" si="2"/>
        <v>15</v>
      </c>
      <c r="J41" s="188">
        <f t="shared" si="8"/>
        <v>19</v>
      </c>
      <c r="K41" s="187">
        <f t="shared" si="11"/>
        <v>36</v>
      </c>
    </row>
    <row r="42" spans="1:11" ht="12.75">
      <c r="A42" s="179" t="s">
        <v>282</v>
      </c>
      <c r="B42" s="180" t="s">
        <v>35</v>
      </c>
      <c r="C42" s="181">
        <v>45446</v>
      </c>
      <c r="D42" s="181">
        <v>45456</v>
      </c>
      <c r="E42" s="193">
        <v>45456</v>
      </c>
      <c r="F42" s="190">
        <v>45467</v>
      </c>
      <c r="G42" s="191">
        <v>45467</v>
      </c>
      <c r="H42" s="194" t="s">
        <v>38</v>
      </c>
      <c r="I42" s="187">
        <f t="shared" si="2"/>
        <v>10</v>
      </c>
      <c r="J42" s="188">
        <f t="shared" si="8"/>
        <v>11</v>
      </c>
      <c r="K42" s="187">
        <v>0</v>
      </c>
    </row>
    <row r="43" spans="1:11" ht="12.75">
      <c r="A43" s="179" t="s">
        <v>287</v>
      </c>
      <c r="B43" s="180" t="s">
        <v>35</v>
      </c>
      <c r="C43" s="181">
        <v>45446</v>
      </c>
      <c r="D43" s="181">
        <v>45456</v>
      </c>
      <c r="E43" s="193">
        <v>45456</v>
      </c>
      <c r="F43" s="190">
        <v>45467</v>
      </c>
      <c r="G43" s="191">
        <v>45467</v>
      </c>
      <c r="H43" s="186">
        <v>45477</v>
      </c>
      <c r="I43" s="187">
        <f t="shared" si="2"/>
        <v>10</v>
      </c>
      <c r="J43" s="188">
        <f t="shared" si="8"/>
        <v>11</v>
      </c>
      <c r="K43" s="187">
        <f t="shared" ref="K43:K44" si="12">(H43-C43)</f>
        <v>31</v>
      </c>
    </row>
    <row r="44" spans="1:11" ht="12.75">
      <c r="A44" s="179" t="s">
        <v>292</v>
      </c>
      <c r="B44" s="180" t="s">
        <v>35</v>
      </c>
      <c r="C44" s="181">
        <v>45446</v>
      </c>
      <c r="D44" s="181">
        <v>45457</v>
      </c>
      <c r="E44" s="193">
        <v>45457</v>
      </c>
      <c r="F44" s="190">
        <v>45467</v>
      </c>
      <c r="G44" s="191">
        <v>45467</v>
      </c>
      <c r="H44" s="186">
        <v>45477</v>
      </c>
      <c r="I44" s="187">
        <f t="shared" si="2"/>
        <v>11</v>
      </c>
      <c r="J44" s="188">
        <f t="shared" si="8"/>
        <v>10</v>
      </c>
      <c r="K44" s="187">
        <f t="shared" si="12"/>
        <v>31</v>
      </c>
    </row>
    <row r="45" spans="1:11" ht="12.75">
      <c r="A45" s="179" t="s">
        <v>296</v>
      </c>
      <c r="B45" s="180" t="s">
        <v>35</v>
      </c>
      <c r="C45" s="181">
        <v>45450</v>
      </c>
      <c r="D45" s="181">
        <v>45467</v>
      </c>
      <c r="E45" s="193">
        <v>45467</v>
      </c>
      <c r="F45" s="190">
        <v>45476</v>
      </c>
      <c r="G45" s="191">
        <v>45476</v>
      </c>
      <c r="H45" s="194" t="s">
        <v>38</v>
      </c>
      <c r="I45" s="187">
        <f t="shared" si="2"/>
        <v>17</v>
      </c>
      <c r="J45" s="188">
        <f t="shared" si="8"/>
        <v>9</v>
      </c>
      <c r="K45" s="187">
        <v>0</v>
      </c>
    </row>
    <row r="46" spans="1:11" ht="13.5" customHeight="1">
      <c r="A46" s="179" t="s">
        <v>299</v>
      </c>
      <c r="B46" s="180" t="s">
        <v>35</v>
      </c>
      <c r="C46" s="181">
        <v>45450</v>
      </c>
      <c r="D46" s="181">
        <v>45503</v>
      </c>
      <c r="E46" s="193">
        <v>45503</v>
      </c>
      <c r="F46" s="190">
        <v>45535</v>
      </c>
      <c r="G46" s="191">
        <v>45535</v>
      </c>
      <c r="H46" s="186">
        <v>45528</v>
      </c>
      <c r="I46" s="187">
        <f t="shared" si="2"/>
        <v>53</v>
      </c>
      <c r="J46" s="188">
        <f t="shared" si="8"/>
        <v>32</v>
      </c>
      <c r="K46" s="187">
        <f t="shared" ref="K46:K50" si="13">(H46-C46)</f>
        <v>78</v>
      </c>
    </row>
    <row r="47" spans="1:11" ht="12.75">
      <c r="A47" s="179" t="s">
        <v>303</v>
      </c>
      <c r="B47" s="180" t="s">
        <v>305</v>
      </c>
      <c r="C47" s="181">
        <v>45460</v>
      </c>
      <c r="D47" s="181">
        <v>45503</v>
      </c>
      <c r="E47" s="193">
        <v>45503</v>
      </c>
      <c r="F47" s="190">
        <v>45503</v>
      </c>
      <c r="G47" s="191">
        <v>45504</v>
      </c>
      <c r="H47" s="186">
        <v>45525</v>
      </c>
      <c r="I47" s="187">
        <f t="shared" si="2"/>
        <v>43</v>
      </c>
      <c r="J47" s="188">
        <f t="shared" si="8"/>
        <v>0</v>
      </c>
      <c r="K47" s="187">
        <f t="shared" si="13"/>
        <v>65</v>
      </c>
    </row>
    <row r="48" spans="1:11" ht="12.75">
      <c r="A48" s="179" t="s">
        <v>310</v>
      </c>
      <c r="B48" s="180" t="s">
        <v>77</v>
      </c>
      <c r="C48" s="181">
        <v>45460</v>
      </c>
      <c r="D48" s="181">
        <v>45460</v>
      </c>
      <c r="E48" s="193">
        <v>45477</v>
      </c>
      <c r="F48" s="190">
        <v>45496</v>
      </c>
      <c r="G48" s="191">
        <v>45496</v>
      </c>
      <c r="H48" s="186">
        <v>45494</v>
      </c>
      <c r="I48" s="187">
        <f t="shared" si="2"/>
        <v>0</v>
      </c>
      <c r="J48" s="188">
        <f t="shared" si="8"/>
        <v>19</v>
      </c>
      <c r="K48" s="187">
        <f t="shared" si="13"/>
        <v>34</v>
      </c>
    </row>
    <row r="49" spans="1:11" ht="24">
      <c r="A49" s="179" t="s">
        <v>316</v>
      </c>
      <c r="B49" s="180" t="s">
        <v>97</v>
      </c>
      <c r="C49" s="181">
        <v>45461</v>
      </c>
      <c r="D49" s="181">
        <v>43298</v>
      </c>
      <c r="E49" s="193">
        <v>45490</v>
      </c>
      <c r="F49" s="190">
        <v>45490</v>
      </c>
      <c r="G49" s="191">
        <v>45491</v>
      </c>
      <c r="H49" s="186">
        <v>45540</v>
      </c>
      <c r="I49" s="187">
        <v>0</v>
      </c>
      <c r="J49" s="188">
        <f t="shared" si="8"/>
        <v>0</v>
      </c>
      <c r="K49" s="187">
        <f t="shared" si="13"/>
        <v>79</v>
      </c>
    </row>
    <row r="50" spans="1:11" ht="12.75">
      <c r="A50" s="179" t="s">
        <v>321</v>
      </c>
      <c r="B50" s="180" t="s">
        <v>35</v>
      </c>
      <c r="C50" s="181">
        <v>45470</v>
      </c>
      <c r="D50" s="181">
        <v>45471</v>
      </c>
      <c r="E50" s="193">
        <v>45484</v>
      </c>
      <c r="F50" s="190">
        <v>45496</v>
      </c>
      <c r="G50" s="191">
        <v>45496</v>
      </c>
      <c r="H50" s="186">
        <v>45512</v>
      </c>
      <c r="I50" s="187">
        <f t="shared" ref="I50:I68" si="14">(D50-C50)</f>
        <v>1</v>
      </c>
      <c r="J50" s="188">
        <f t="shared" si="8"/>
        <v>12</v>
      </c>
      <c r="K50" s="187">
        <f t="shared" si="13"/>
        <v>42</v>
      </c>
    </row>
    <row r="51" spans="1:11" ht="12.75">
      <c r="A51" s="179" t="s">
        <v>327</v>
      </c>
      <c r="B51" s="180" t="s">
        <v>35</v>
      </c>
      <c r="C51" s="181">
        <v>45474</v>
      </c>
      <c r="D51" s="196">
        <v>45483</v>
      </c>
      <c r="E51" s="197" t="s">
        <v>38</v>
      </c>
      <c r="F51" s="184" t="s">
        <v>38</v>
      </c>
      <c r="G51" s="185" t="s">
        <v>38</v>
      </c>
      <c r="H51" s="194" t="s">
        <v>38</v>
      </c>
      <c r="I51" s="187">
        <f t="shared" si="14"/>
        <v>9</v>
      </c>
      <c r="J51" s="188">
        <v>0</v>
      </c>
      <c r="K51" s="187">
        <v>0</v>
      </c>
    </row>
    <row r="52" spans="1:11" ht="12.75">
      <c r="A52" s="179" t="s">
        <v>331</v>
      </c>
      <c r="B52" s="180" t="s">
        <v>35</v>
      </c>
      <c r="C52" s="181">
        <v>45475</v>
      </c>
      <c r="D52" s="181">
        <v>45483</v>
      </c>
      <c r="E52" s="193">
        <v>45488</v>
      </c>
      <c r="F52" s="190">
        <v>45496</v>
      </c>
      <c r="G52" s="191">
        <v>45496</v>
      </c>
      <c r="H52" s="186">
        <v>45522</v>
      </c>
      <c r="I52" s="187">
        <f t="shared" si="14"/>
        <v>8</v>
      </c>
      <c r="J52" s="188">
        <f t="shared" ref="J52:J57" si="15">F52-E52</f>
        <v>8</v>
      </c>
      <c r="K52" s="187">
        <f t="shared" ref="K52:K56" si="16">(H52-C52)</f>
        <v>47</v>
      </c>
    </row>
    <row r="53" spans="1:11" ht="12.75">
      <c r="A53" s="179" t="s">
        <v>336</v>
      </c>
      <c r="B53" s="180" t="s">
        <v>35</v>
      </c>
      <c r="C53" s="181">
        <v>45481</v>
      </c>
      <c r="D53" s="181">
        <v>45488</v>
      </c>
      <c r="E53" s="193">
        <v>45488</v>
      </c>
      <c r="F53" s="190">
        <v>45496</v>
      </c>
      <c r="G53" s="191">
        <v>45496</v>
      </c>
      <c r="H53" s="186">
        <v>45512</v>
      </c>
      <c r="I53" s="187">
        <f t="shared" si="14"/>
        <v>7</v>
      </c>
      <c r="J53" s="188">
        <f t="shared" si="15"/>
        <v>8</v>
      </c>
      <c r="K53" s="187">
        <f t="shared" si="16"/>
        <v>31</v>
      </c>
    </row>
    <row r="54" spans="1:11" ht="12.75">
      <c r="A54" s="195" t="s">
        <v>342</v>
      </c>
      <c r="B54" s="180" t="s">
        <v>35</v>
      </c>
      <c r="C54" s="181">
        <v>45483</v>
      </c>
      <c r="D54" s="181">
        <v>45484</v>
      </c>
      <c r="E54" s="193">
        <v>45485</v>
      </c>
      <c r="F54" s="190">
        <v>45496</v>
      </c>
      <c r="G54" s="191">
        <v>45496</v>
      </c>
      <c r="H54" s="186">
        <v>45512</v>
      </c>
      <c r="I54" s="187">
        <f t="shared" si="14"/>
        <v>1</v>
      </c>
      <c r="J54" s="188">
        <f t="shared" si="15"/>
        <v>11</v>
      </c>
      <c r="K54" s="187">
        <f t="shared" si="16"/>
        <v>29</v>
      </c>
    </row>
    <row r="55" spans="1:11" ht="12.75">
      <c r="A55" s="179" t="s">
        <v>348</v>
      </c>
      <c r="B55" s="180" t="s">
        <v>35</v>
      </c>
      <c r="C55" s="181">
        <v>45485</v>
      </c>
      <c r="D55" s="181">
        <v>45491</v>
      </c>
      <c r="E55" s="193">
        <v>45492</v>
      </c>
      <c r="F55" s="190">
        <v>45499</v>
      </c>
      <c r="G55" s="191">
        <v>45499</v>
      </c>
      <c r="H55" s="186">
        <v>45540</v>
      </c>
      <c r="I55" s="187">
        <f t="shared" si="14"/>
        <v>6</v>
      </c>
      <c r="J55" s="188">
        <f t="shared" si="15"/>
        <v>7</v>
      </c>
      <c r="K55" s="187">
        <f t="shared" si="16"/>
        <v>55</v>
      </c>
    </row>
    <row r="56" spans="1:11" ht="12.75">
      <c r="A56" s="179" t="s">
        <v>355</v>
      </c>
      <c r="B56" s="180" t="s">
        <v>35</v>
      </c>
      <c r="C56" s="181">
        <v>45488</v>
      </c>
      <c r="D56" s="181">
        <v>45505</v>
      </c>
      <c r="E56" s="193">
        <v>45504</v>
      </c>
      <c r="F56" s="190">
        <v>45511</v>
      </c>
      <c r="G56" s="191">
        <v>45511</v>
      </c>
      <c r="H56" s="186">
        <v>45540</v>
      </c>
      <c r="I56" s="187">
        <f t="shared" si="14"/>
        <v>17</v>
      </c>
      <c r="J56" s="188">
        <f t="shared" si="15"/>
        <v>7</v>
      </c>
      <c r="K56" s="187">
        <f t="shared" si="16"/>
        <v>52</v>
      </c>
    </row>
    <row r="57" spans="1:11" ht="12.75">
      <c r="A57" s="179" t="s">
        <v>362</v>
      </c>
      <c r="B57" s="180" t="s">
        <v>35</v>
      </c>
      <c r="C57" s="181">
        <v>45489</v>
      </c>
      <c r="D57" s="181">
        <v>45489</v>
      </c>
      <c r="E57" s="193">
        <v>45491</v>
      </c>
      <c r="F57" s="190">
        <v>45499</v>
      </c>
      <c r="G57" s="191">
        <v>45499</v>
      </c>
      <c r="H57" s="194" t="s">
        <v>38</v>
      </c>
      <c r="I57" s="187">
        <f t="shared" si="14"/>
        <v>0</v>
      </c>
      <c r="J57" s="188">
        <f t="shared" si="15"/>
        <v>8</v>
      </c>
      <c r="K57" s="187">
        <v>0</v>
      </c>
    </row>
    <row r="58" spans="1:11" ht="12.75">
      <c r="A58" s="179" t="s">
        <v>365</v>
      </c>
      <c r="B58" s="180" t="s">
        <v>35</v>
      </c>
      <c r="C58" s="181">
        <v>45482</v>
      </c>
      <c r="D58" s="181">
        <v>45485</v>
      </c>
      <c r="E58" s="197" t="s">
        <v>633</v>
      </c>
      <c r="F58" s="184" t="s">
        <v>38</v>
      </c>
      <c r="G58" s="185" t="s">
        <v>38</v>
      </c>
      <c r="H58" s="194" t="s">
        <v>38</v>
      </c>
      <c r="I58" s="187">
        <f t="shared" si="14"/>
        <v>3</v>
      </c>
      <c r="J58" s="188">
        <v>0</v>
      </c>
      <c r="K58" s="187">
        <v>0</v>
      </c>
    </row>
    <row r="59" spans="1:11" ht="12.75">
      <c r="A59" s="179" t="s">
        <v>372</v>
      </c>
      <c r="B59" s="180" t="s">
        <v>35</v>
      </c>
      <c r="C59" s="181">
        <v>45489</v>
      </c>
      <c r="D59" s="181">
        <v>45491</v>
      </c>
      <c r="E59" s="193">
        <v>45499</v>
      </c>
      <c r="F59" s="190">
        <v>45503</v>
      </c>
      <c r="G59" s="191">
        <v>45503</v>
      </c>
      <c r="H59" s="186">
        <v>45525</v>
      </c>
      <c r="I59" s="187">
        <f t="shared" si="14"/>
        <v>2</v>
      </c>
      <c r="J59" s="188">
        <f t="shared" ref="J59:J68" si="17">F59-E59</f>
        <v>4</v>
      </c>
      <c r="K59" s="187">
        <f t="shared" ref="K59:K66" si="18">(H59-C59)</f>
        <v>36</v>
      </c>
    </row>
    <row r="60" spans="1:11" ht="12.75">
      <c r="A60" s="179" t="s">
        <v>376</v>
      </c>
      <c r="B60" s="180" t="s">
        <v>35</v>
      </c>
      <c r="C60" s="181">
        <v>45490</v>
      </c>
      <c r="D60" s="181">
        <v>45502</v>
      </c>
      <c r="E60" s="193">
        <v>45544</v>
      </c>
      <c r="F60" s="190">
        <v>45546</v>
      </c>
      <c r="G60" s="191">
        <v>45546</v>
      </c>
      <c r="H60" s="186">
        <v>45586</v>
      </c>
      <c r="I60" s="187">
        <f t="shared" si="14"/>
        <v>12</v>
      </c>
      <c r="J60" s="188">
        <f t="shared" si="17"/>
        <v>2</v>
      </c>
      <c r="K60" s="187">
        <f t="shared" si="18"/>
        <v>96</v>
      </c>
    </row>
    <row r="61" spans="1:11" ht="12.75">
      <c r="A61" s="179" t="s">
        <v>381</v>
      </c>
      <c r="B61" s="180" t="s">
        <v>35</v>
      </c>
      <c r="C61" s="181">
        <v>45490</v>
      </c>
      <c r="D61" s="181">
        <v>45491</v>
      </c>
      <c r="E61" s="193">
        <v>45491</v>
      </c>
      <c r="F61" s="190">
        <v>45499</v>
      </c>
      <c r="G61" s="191">
        <v>45499</v>
      </c>
      <c r="H61" s="186">
        <v>45522</v>
      </c>
      <c r="I61" s="187">
        <f t="shared" si="14"/>
        <v>1</v>
      </c>
      <c r="J61" s="188">
        <f t="shared" si="17"/>
        <v>8</v>
      </c>
      <c r="K61" s="187">
        <f t="shared" si="18"/>
        <v>32</v>
      </c>
    </row>
    <row r="62" spans="1:11" ht="12.75">
      <c r="A62" s="179" t="s">
        <v>385</v>
      </c>
      <c r="B62" s="180" t="s">
        <v>35</v>
      </c>
      <c r="C62" s="181">
        <v>45491</v>
      </c>
      <c r="D62" s="181">
        <v>45491</v>
      </c>
      <c r="E62" s="193">
        <v>45505</v>
      </c>
      <c r="F62" s="190">
        <v>45511</v>
      </c>
      <c r="G62" s="191">
        <v>45511</v>
      </c>
      <c r="H62" s="186">
        <v>45536</v>
      </c>
      <c r="I62" s="187">
        <f t="shared" si="14"/>
        <v>0</v>
      </c>
      <c r="J62" s="188">
        <f t="shared" si="17"/>
        <v>6</v>
      </c>
      <c r="K62" s="187">
        <f t="shared" si="18"/>
        <v>45</v>
      </c>
    </row>
    <row r="63" spans="1:11" ht="12.75">
      <c r="A63" s="179" t="s">
        <v>389</v>
      </c>
      <c r="B63" s="180" t="s">
        <v>35</v>
      </c>
      <c r="C63" s="181">
        <v>45492</v>
      </c>
      <c r="D63" s="181">
        <v>45504</v>
      </c>
      <c r="E63" s="193">
        <v>45505</v>
      </c>
      <c r="F63" s="190">
        <v>45511</v>
      </c>
      <c r="G63" s="191">
        <v>45511</v>
      </c>
      <c r="H63" s="186">
        <v>45540</v>
      </c>
      <c r="I63" s="187">
        <f t="shared" si="14"/>
        <v>12</v>
      </c>
      <c r="J63" s="188">
        <f t="shared" si="17"/>
        <v>6</v>
      </c>
      <c r="K63" s="187">
        <f t="shared" si="18"/>
        <v>48</v>
      </c>
    </row>
    <row r="64" spans="1:11" ht="12.75">
      <c r="A64" s="179" t="s">
        <v>393</v>
      </c>
      <c r="B64" s="180" t="s">
        <v>77</v>
      </c>
      <c r="C64" s="181">
        <v>45495</v>
      </c>
      <c r="D64" s="181">
        <v>45504</v>
      </c>
      <c r="E64" s="192">
        <v>45506</v>
      </c>
      <c r="F64" s="190">
        <v>45506</v>
      </c>
      <c r="G64" s="191">
        <v>45506</v>
      </c>
      <c r="H64" s="186">
        <v>45544</v>
      </c>
      <c r="I64" s="187">
        <f t="shared" si="14"/>
        <v>9</v>
      </c>
      <c r="J64" s="188">
        <f t="shared" si="17"/>
        <v>0</v>
      </c>
      <c r="K64" s="187">
        <f t="shared" si="18"/>
        <v>49</v>
      </c>
    </row>
    <row r="65" spans="1:11" ht="12.75">
      <c r="A65" s="179" t="s">
        <v>401</v>
      </c>
      <c r="B65" s="180" t="s">
        <v>35</v>
      </c>
      <c r="C65" s="181">
        <v>45495</v>
      </c>
      <c r="D65" s="181">
        <v>45504</v>
      </c>
      <c r="E65" s="192">
        <v>45505</v>
      </c>
      <c r="F65" s="190">
        <v>45511</v>
      </c>
      <c r="G65" s="191">
        <v>45511</v>
      </c>
      <c r="H65" s="186">
        <v>45536</v>
      </c>
      <c r="I65" s="187">
        <f t="shared" si="14"/>
        <v>9</v>
      </c>
      <c r="J65" s="188">
        <f t="shared" si="17"/>
        <v>6</v>
      </c>
      <c r="K65" s="187">
        <f t="shared" si="18"/>
        <v>41</v>
      </c>
    </row>
    <row r="66" spans="1:11" ht="12.75">
      <c r="A66" s="179" t="s">
        <v>404</v>
      </c>
      <c r="B66" s="180" t="s">
        <v>35</v>
      </c>
      <c r="C66" s="181">
        <v>45490</v>
      </c>
      <c r="D66" s="181">
        <v>45491</v>
      </c>
      <c r="E66" s="193">
        <v>45505</v>
      </c>
      <c r="F66" s="190">
        <v>45511</v>
      </c>
      <c r="G66" s="191">
        <v>45511</v>
      </c>
      <c r="H66" s="186">
        <v>45553</v>
      </c>
      <c r="I66" s="187">
        <f t="shared" si="14"/>
        <v>1</v>
      </c>
      <c r="J66" s="188">
        <f t="shared" si="17"/>
        <v>6</v>
      </c>
      <c r="K66" s="187">
        <f t="shared" si="18"/>
        <v>63</v>
      </c>
    </row>
    <row r="67" spans="1:11" ht="12.75">
      <c r="A67" s="179" t="s">
        <v>409</v>
      </c>
      <c r="B67" s="180" t="s">
        <v>35</v>
      </c>
      <c r="C67" s="181">
        <v>45498</v>
      </c>
      <c r="D67" s="181">
        <v>45505</v>
      </c>
      <c r="E67" s="193">
        <v>45505</v>
      </c>
      <c r="F67" s="190">
        <v>45511</v>
      </c>
      <c r="G67" s="191">
        <v>45511</v>
      </c>
      <c r="H67" s="194" t="s">
        <v>634</v>
      </c>
      <c r="I67" s="187">
        <f t="shared" si="14"/>
        <v>7</v>
      </c>
      <c r="J67" s="188">
        <f t="shared" si="17"/>
        <v>6</v>
      </c>
      <c r="K67" s="187">
        <v>0</v>
      </c>
    </row>
    <row r="68" spans="1:11" ht="12.75">
      <c r="A68" s="179" t="s">
        <v>414</v>
      </c>
      <c r="B68" s="180" t="s">
        <v>35</v>
      </c>
      <c r="C68" s="181">
        <v>45506</v>
      </c>
      <c r="D68" s="181">
        <v>45506</v>
      </c>
      <c r="E68" s="193">
        <v>45601</v>
      </c>
      <c r="F68" s="190">
        <v>45603</v>
      </c>
      <c r="G68" s="191">
        <v>45603</v>
      </c>
      <c r="H68" s="194" t="s">
        <v>634</v>
      </c>
      <c r="I68" s="187">
        <f t="shared" si="14"/>
        <v>0</v>
      </c>
      <c r="J68" s="188">
        <f t="shared" si="17"/>
        <v>2</v>
      </c>
      <c r="K68" s="187">
        <v>0</v>
      </c>
    </row>
    <row r="69" spans="1:11" ht="12.75">
      <c r="A69" s="179" t="s">
        <v>422</v>
      </c>
      <c r="B69" s="180" t="s">
        <v>35</v>
      </c>
      <c r="C69" s="181">
        <v>45474</v>
      </c>
      <c r="D69" s="182" t="s">
        <v>38</v>
      </c>
      <c r="E69" s="197" t="s">
        <v>38</v>
      </c>
      <c r="F69" s="184" t="s">
        <v>38</v>
      </c>
      <c r="G69" s="185" t="s">
        <v>38</v>
      </c>
      <c r="H69" s="194" t="s">
        <v>38</v>
      </c>
      <c r="I69" s="187">
        <v>0</v>
      </c>
      <c r="J69" s="188">
        <v>0</v>
      </c>
      <c r="K69" s="187">
        <v>0</v>
      </c>
    </row>
    <row r="70" spans="1:11" ht="12.75">
      <c r="A70" s="179" t="s">
        <v>427</v>
      </c>
      <c r="B70" s="180" t="s">
        <v>35</v>
      </c>
      <c r="C70" s="181">
        <v>45509</v>
      </c>
      <c r="D70" s="181">
        <v>45533</v>
      </c>
      <c r="E70" s="193">
        <v>45544</v>
      </c>
      <c r="F70" s="190">
        <v>45551</v>
      </c>
      <c r="G70" s="191">
        <v>45551</v>
      </c>
      <c r="H70" s="186">
        <v>45569</v>
      </c>
      <c r="I70" s="187">
        <f t="shared" ref="I70:I103" si="19">(D70-C70)</f>
        <v>24</v>
      </c>
      <c r="J70" s="188">
        <f t="shared" ref="J70:J71" si="20">F70-E70</f>
        <v>7</v>
      </c>
      <c r="K70" s="187">
        <f t="shared" ref="K70:K71" si="21">(H70-C70)</f>
        <v>60</v>
      </c>
    </row>
    <row r="71" spans="1:11" ht="12.75">
      <c r="A71" s="179" t="s">
        <v>431</v>
      </c>
      <c r="B71" s="180" t="s">
        <v>35</v>
      </c>
      <c r="C71" s="181">
        <v>45513</v>
      </c>
      <c r="D71" s="181">
        <v>45558</v>
      </c>
      <c r="E71" s="193">
        <v>45562</v>
      </c>
      <c r="F71" s="190">
        <v>45567</v>
      </c>
      <c r="G71" s="191">
        <v>45567</v>
      </c>
      <c r="H71" s="186">
        <v>45582</v>
      </c>
      <c r="I71" s="187">
        <f t="shared" si="19"/>
        <v>45</v>
      </c>
      <c r="J71" s="188">
        <f t="shared" si="20"/>
        <v>5</v>
      </c>
      <c r="K71" s="187">
        <f t="shared" si="21"/>
        <v>69</v>
      </c>
    </row>
    <row r="72" spans="1:11" ht="12.75">
      <c r="A72" s="179" t="s">
        <v>436</v>
      </c>
      <c r="B72" s="180" t="s">
        <v>35</v>
      </c>
      <c r="C72" s="181">
        <v>45523</v>
      </c>
      <c r="D72" s="181">
        <v>45538</v>
      </c>
      <c r="E72" s="183" t="s">
        <v>434</v>
      </c>
      <c r="F72" s="184" t="s">
        <v>38</v>
      </c>
      <c r="G72" s="185" t="s">
        <v>38</v>
      </c>
      <c r="H72" s="194" t="s">
        <v>38</v>
      </c>
      <c r="I72" s="187">
        <f t="shared" si="19"/>
        <v>15</v>
      </c>
      <c r="J72" s="188">
        <v>0</v>
      </c>
      <c r="K72" s="187">
        <v>0</v>
      </c>
    </row>
    <row r="73" spans="1:11" ht="12.75">
      <c r="A73" s="179" t="s">
        <v>444</v>
      </c>
      <c r="B73" s="180" t="s">
        <v>35</v>
      </c>
      <c r="C73" s="181">
        <v>45523</v>
      </c>
      <c r="D73" s="181">
        <v>45537</v>
      </c>
      <c r="E73" s="192">
        <v>45552</v>
      </c>
      <c r="F73" s="190">
        <v>45567</v>
      </c>
      <c r="G73" s="191">
        <v>45567</v>
      </c>
      <c r="H73" s="186">
        <v>45580</v>
      </c>
      <c r="I73" s="187">
        <f t="shared" si="19"/>
        <v>14</v>
      </c>
      <c r="J73" s="188">
        <f t="shared" ref="J73:J80" si="22">F73-E73</f>
        <v>15</v>
      </c>
      <c r="K73" s="187">
        <f t="shared" ref="K73:K75" si="23">(H73-C73)</f>
        <v>57</v>
      </c>
    </row>
    <row r="74" spans="1:11" ht="12.75">
      <c r="A74" s="195" t="s">
        <v>449</v>
      </c>
      <c r="B74" s="180" t="s">
        <v>130</v>
      </c>
      <c r="C74" s="181">
        <v>45565</v>
      </c>
      <c r="D74" s="181">
        <v>45586</v>
      </c>
      <c r="E74" s="192">
        <v>45587</v>
      </c>
      <c r="F74" s="190">
        <v>45587</v>
      </c>
      <c r="G74" s="191">
        <v>45587</v>
      </c>
      <c r="H74" s="186">
        <v>45619</v>
      </c>
      <c r="I74" s="187">
        <f t="shared" si="19"/>
        <v>21</v>
      </c>
      <c r="J74" s="188">
        <f t="shared" si="22"/>
        <v>0</v>
      </c>
      <c r="K74" s="187">
        <f t="shared" si="23"/>
        <v>54</v>
      </c>
    </row>
    <row r="75" spans="1:11" ht="24">
      <c r="A75" s="179" t="s">
        <v>454</v>
      </c>
      <c r="B75" s="180" t="s">
        <v>35</v>
      </c>
      <c r="C75" s="181">
        <v>45527</v>
      </c>
      <c r="D75" s="181">
        <v>45533</v>
      </c>
      <c r="E75" s="192">
        <v>45537</v>
      </c>
      <c r="F75" s="190">
        <v>45544</v>
      </c>
      <c r="G75" s="191">
        <v>45544</v>
      </c>
      <c r="H75" s="186">
        <v>45568</v>
      </c>
      <c r="I75" s="187">
        <f t="shared" si="19"/>
        <v>6</v>
      </c>
      <c r="J75" s="188">
        <f t="shared" si="22"/>
        <v>7</v>
      </c>
      <c r="K75" s="187">
        <f t="shared" si="23"/>
        <v>41</v>
      </c>
    </row>
    <row r="76" spans="1:11" ht="12.75">
      <c r="A76" s="179" t="s">
        <v>457</v>
      </c>
      <c r="B76" s="180" t="s">
        <v>35</v>
      </c>
      <c r="C76" s="181">
        <v>45527</v>
      </c>
      <c r="D76" s="181">
        <v>45558</v>
      </c>
      <c r="E76" s="192">
        <v>45537</v>
      </c>
      <c r="F76" s="190">
        <v>45544</v>
      </c>
      <c r="G76" s="191">
        <v>45544</v>
      </c>
      <c r="H76" s="194" t="s">
        <v>634</v>
      </c>
      <c r="I76" s="187">
        <f t="shared" si="19"/>
        <v>31</v>
      </c>
      <c r="J76" s="188">
        <f t="shared" si="22"/>
        <v>7</v>
      </c>
      <c r="K76" s="187">
        <v>0</v>
      </c>
    </row>
    <row r="77" spans="1:11" ht="12.75">
      <c r="A77" s="179" t="s">
        <v>459</v>
      </c>
      <c r="B77" s="180" t="s">
        <v>35</v>
      </c>
      <c r="C77" s="181">
        <v>45530</v>
      </c>
      <c r="D77" s="181">
        <v>45530</v>
      </c>
      <c r="E77" s="192">
        <v>45559</v>
      </c>
      <c r="F77" s="190">
        <v>45566</v>
      </c>
      <c r="G77" s="191">
        <v>45573</v>
      </c>
      <c r="H77" s="186">
        <v>45582</v>
      </c>
      <c r="I77" s="187">
        <f t="shared" si="19"/>
        <v>0</v>
      </c>
      <c r="J77" s="188">
        <f t="shared" si="22"/>
        <v>7</v>
      </c>
      <c r="K77" s="187">
        <f t="shared" ref="K77:K80" si="24">(H77-C77)</f>
        <v>52</v>
      </c>
    </row>
    <row r="78" spans="1:11" ht="12.75">
      <c r="A78" s="179" t="s">
        <v>465</v>
      </c>
      <c r="B78" s="180" t="s">
        <v>35</v>
      </c>
      <c r="C78" s="181">
        <v>45530</v>
      </c>
      <c r="D78" s="181">
        <v>45537</v>
      </c>
      <c r="E78" s="192">
        <v>45537</v>
      </c>
      <c r="F78" s="190">
        <v>45546</v>
      </c>
      <c r="G78" s="191">
        <v>45546</v>
      </c>
      <c r="H78" s="186">
        <v>45568</v>
      </c>
      <c r="I78" s="187">
        <f t="shared" si="19"/>
        <v>7</v>
      </c>
      <c r="J78" s="188">
        <f t="shared" si="22"/>
        <v>9</v>
      </c>
      <c r="K78" s="187">
        <f t="shared" si="24"/>
        <v>38</v>
      </c>
    </row>
    <row r="79" spans="1:11" ht="12.75">
      <c r="A79" s="179" t="s">
        <v>468</v>
      </c>
      <c r="B79" s="180" t="s">
        <v>35</v>
      </c>
      <c r="C79" s="181">
        <v>45551</v>
      </c>
      <c r="D79" s="181">
        <v>45558</v>
      </c>
      <c r="E79" s="192">
        <v>45559</v>
      </c>
      <c r="F79" s="190">
        <v>45565</v>
      </c>
      <c r="G79" s="191">
        <v>45565</v>
      </c>
      <c r="H79" s="186">
        <v>45568</v>
      </c>
      <c r="I79" s="187">
        <f t="shared" si="19"/>
        <v>7</v>
      </c>
      <c r="J79" s="188">
        <f t="shared" si="22"/>
        <v>6</v>
      </c>
      <c r="K79" s="187">
        <f t="shared" si="24"/>
        <v>17</v>
      </c>
    </row>
    <row r="80" spans="1:11" ht="12.75">
      <c r="A80" s="179" t="s">
        <v>472</v>
      </c>
      <c r="B80" s="180" t="s">
        <v>35</v>
      </c>
      <c r="C80" s="181">
        <v>45444</v>
      </c>
      <c r="D80" s="181">
        <v>45468</v>
      </c>
      <c r="E80" s="192">
        <v>45490</v>
      </c>
      <c r="F80" s="190">
        <v>45490</v>
      </c>
      <c r="G80" s="191">
        <v>45490</v>
      </c>
      <c r="H80" s="186">
        <v>45540</v>
      </c>
      <c r="I80" s="187">
        <f t="shared" si="19"/>
        <v>24</v>
      </c>
      <c r="J80" s="188">
        <f t="shared" si="22"/>
        <v>0</v>
      </c>
      <c r="K80" s="187">
        <f t="shared" si="24"/>
        <v>96</v>
      </c>
    </row>
    <row r="81" spans="1:28" ht="12.75">
      <c r="A81" s="179" t="s">
        <v>475</v>
      </c>
      <c r="B81" s="180" t="s">
        <v>35</v>
      </c>
      <c r="C81" s="181">
        <v>45531</v>
      </c>
      <c r="D81" s="181">
        <v>45531</v>
      </c>
      <c r="E81" s="183" t="s">
        <v>633</v>
      </c>
      <c r="F81" s="198" t="s">
        <v>633</v>
      </c>
      <c r="G81" s="199" t="s">
        <v>633</v>
      </c>
      <c r="H81" s="200" t="s">
        <v>633</v>
      </c>
      <c r="I81" s="187">
        <f t="shared" si="19"/>
        <v>0</v>
      </c>
      <c r="J81" s="188">
        <v>0</v>
      </c>
      <c r="K81" s="187">
        <v>0</v>
      </c>
    </row>
    <row r="82" spans="1:28" ht="12.75">
      <c r="A82" s="179" t="s">
        <v>480</v>
      </c>
      <c r="B82" s="180" t="s">
        <v>35</v>
      </c>
      <c r="C82" s="181">
        <v>45607</v>
      </c>
      <c r="D82" s="181">
        <v>45609</v>
      </c>
      <c r="E82" s="193">
        <v>45614</v>
      </c>
      <c r="F82" s="190">
        <v>45617</v>
      </c>
      <c r="G82" s="191">
        <v>45617</v>
      </c>
      <c r="H82" s="194" t="s">
        <v>635</v>
      </c>
      <c r="I82" s="187">
        <f t="shared" si="19"/>
        <v>2</v>
      </c>
      <c r="J82" s="188">
        <f t="shared" ref="J82:J94" si="25">F82-E82</f>
        <v>3</v>
      </c>
      <c r="K82" s="187">
        <v>0</v>
      </c>
    </row>
    <row r="83" spans="1:28" ht="12.75">
      <c r="A83" s="179" t="s">
        <v>486</v>
      </c>
      <c r="B83" s="180" t="s">
        <v>35</v>
      </c>
      <c r="C83" s="181">
        <v>45537</v>
      </c>
      <c r="D83" s="181">
        <v>45566</v>
      </c>
      <c r="E83" s="193">
        <v>45567</v>
      </c>
      <c r="F83" s="190">
        <v>45600</v>
      </c>
      <c r="G83" s="191">
        <v>45600</v>
      </c>
      <c r="H83" s="186">
        <v>45603</v>
      </c>
      <c r="I83" s="187">
        <f t="shared" si="19"/>
        <v>29</v>
      </c>
      <c r="J83" s="188">
        <f t="shared" si="25"/>
        <v>33</v>
      </c>
      <c r="K83" s="187">
        <f t="shared" ref="K83:K87" si="26">(H83-C83)</f>
        <v>66</v>
      </c>
    </row>
    <row r="84" spans="1:28" ht="12.75">
      <c r="A84" s="179" t="s">
        <v>491</v>
      </c>
      <c r="B84" s="180" t="s">
        <v>35</v>
      </c>
      <c r="C84" s="181">
        <v>45544</v>
      </c>
      <c r="D84" s="181">
        <v>45559</v>
      </c>
      <c r="E84" s="192">
        <v>45567</v>
      </c>
      <c r="F84" s="190">
        <v>45567</v>
      </c>
      <c r="G84" s="191">
        <v>45567</v>
      </c>
      <c r="H84" s="186">
        <v>45594</v>
      </c>
      <c r="I84" s="187">
        <f t="shared" si="19"/>
        <v>15</v>
      </c>
      <c r="J84" s="188">
        <f t="shared" si="25"/>
        <v>0</v>
      </c>
      <c r="K84" s="187">
        <f t="shared" si="26"/>
        <v>50</v>
      </c>
    </row>
    <row r="85" spans="1:28" ht="12.75">
      <c r="A85" s="179" t="s">
        <v>497</v>
      </c>
      <c r="B85" s="180" t="s">
        <v>35</v>
      </c>
      <c r="C85" s="181">
        <v>45595</v>
      </c>
      <c r="D85" s="181">
        <v>45600</v>
      </c>
      <c r="E85" s="192">
        <v>45600</v>
      </c>
      <c r="F85" s="190">
        <v>45603</v>
      </c>
      <c r="G85" s="191">
        <v>45603</v>
      </c>
      <c r="H85" s="186">
        <v>45613</v>
      </c>
      <c r="I85" s="187">
        <f t="shared" si="19"/>
        <v>5</v>
      </c>
      <c r="J85" s="188">
        <f t="shared" si="25"/>
        <v>3</v>
      </c>
      <c r="K85" s="187">
        <f t="shared" si="26"/>
        <v>18</v>
      </c>
    </row>
    <row r="86" spans="1:28" ht="72">
      <c r="A86" s="179" t="s">
        <v>500</v>
      </c>
      <c r="B86" s="180" t="s">
        <v>502</v>
      </c>
      <c r="C86" s="181">
        <v>45639</v>
      </c>
      <c r="D86" s="181">
        <v>45639</v>
      </c>
      <c r="E86" s="192">
        <v>45649</v>
      </c>
      <c r="F86" s="190">
        <v>45652</v>
      </c>
      <c r="G86" s="191">
        <v>45652</v>
      </c>
      <c r="H86" s="186">
        <v>45759</v>
      </c>
      <c r="I86" s="187">
        <f t="shared" si="19"/>
        <v>0</v>
      </c>
      <c r="J86" s="188">
        <f t="shared" si="25"/>
        <v>3</v>
      </c>
      <c r="K86" s="187">
        <f t="shared" si="26"/>
        <v>120</v>
      </c>
    </row>
    <row r="87" spans="1:28" ht="36">
      <c r="A87" s="179" t="s">
        <v>507</v>
      </c>
      <c r="B87" s="180" t="s">
        <v>509</v>
      </c>
      <c r="C87" s="181">
        <v>45602</v>
      </c>
      <c r="D87" s="181">
        <v>45603</v>
      </c>
      <c r="E87" s="192">
        <v>45694</v>
      </c>
      <c r="F87" s="190">
        <v>45694</v>
      </c>
      <c r="G87" s="191">
        <v>45694</v>
      </c>
      <c r="H87" s="186">
        <v>45757</v>
      </c>
      <c r="I87" s="187">
        <f t="shared" si="19"/>
        <v>1</v>
      </c>
      <c r="J87" s="188">
        <f t="shared" si="25"/>
        <v>0</v>
      </c>
      <c r="K87" s="187">
        <f t="shared" si="26"/>
        <v>155</v>
      </c>
    </row>
    <row r="88" spans="1:28" ht="12.75">
      <c r="A88" s="179" t="s">
        <v>514</v>
      </c>
      <c r="B88" s="180" t="s">
        <v>35</v>
      </c>
      <c r="C88" s="181">
        <v>45526</v>
      </c>
      <c r="D88" s="181">
        <v>45533</v>
      </c>
      <c r="E88" s="192">
        <v>45561</v>
      </c>
      <c r="F88" s="190">
        <v>45565</v>
      </c>
      <c r="G88" s="191">
        <v>45567</v>
      </c>
      <c r="H88" s="194" t="s">
        <v>634</v>
      </c>
      <c r="I88" s="187">
        <f t="shared" si="19"/>
        <v>7</v>
      </c>
      <c r="J88" s="188">
        <f t="shared" si="25"/>
        <v>4</v>
      </c>
      <c r="K88" s="187">
        <v>0</v>
      </c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</row>
    <row r="89" spans="1:28" ht="12.75">
      <c r="A89" s="179" t="s">
        <v>519</v>
      </c>
      <c r="B89" s="180" t="s">
        <v>77</v>
      </c>
      <c r="C89" s="181">
        <v>45579</v>
      </c>
      <c r="D89" s="181">
        <v>45595</v>
      </c>
      <c r="E89" s="192">
        <v>45595</v>
      </c>
      <c r="F89" s="190">
        <v>45596</v>
      </c>
      <c r="G89" s="191">
        <v>45596</v>
      </c>
      <c r="H89" s="186">
        <v>46053</v>
      </c>
      <c r="I89" s="187">
        <f t="shared" si="19"/>
        <v>16</v>
      </c>
      <c r="J89" s="188">
        <f t="shared" si="25"/>
        <v>1</v>
      </c>
      <c r="K89" s="187">
        <f>(H89-C89)</f>
        <v>474</v>
      </c>
      <c r="L89" s="252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</row>
    <row r="90" spans="1:28" ht="12.75">
      <c r="A90" s="179" t="s">
        <v>523</v>
      </c>
      <c r="B90" s="180" t="s">
        <v>77</v>
      </c>
      <c r="C90" s="181">
        <v>45531</v>
      </c>
      <c r="D90" s="181">
        <v>45531</v>
      </c>
      <c r="E90" s="192">
        <v>45573</v>
      </c>
      <c r="F90" s="190">
        <v>45573</v>
      </c>
      <c r="G90" s="191">
        <v>45573</v>
      </c>
      <c r="H90" s="194" t="s">
        <v>634</v>
      </c>
      <c r="I90" s="187">
        <f t="shared" si="19"/>
        <v>0</v>
      </c>
      <c r="J90" s="188">
        <f t="shared" si="25"/>
        <v>0</v>
      </c>
      <c r="K90" s="187">
        <v>0</v>
      </c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</row>
    <row r="91" spans="1:28" ht="12.75">
      <c r="A91" s="179" t="s">
        <v>530</v>
      </c>
      <c r="B91" s="180" t="s">
        <v>35</v>
      </c>
      <c r="C91" s="181">
        <v>45639</v>
      </c>
      <c r="D91" s="181">
        <v>45639</v>
      </c>
      <c r="E91" s="192">
        <v>45667</v>
      </c>
      <c r="F91" s="190">
        <v>45670</v>
      </c>
      <c r="G91" s="191">
        <v>45672</v>
      </c>
      <c r="H91" s="194" t="s">
        <v>634</v>
      </c>
      <c r="I91" s="187">
        <f t="shared" si="19"/>
        <v>0</v>
      </c>
      <c r="J91" s="188">
        <f t="shared" si="25"/>
        <v>3</v>
      </c>
      <c r="K91" s="187">
        <v>0</v>
      </c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</row>
    <row r="92" spans="1:28" ht="12.75">
      <c r="A92" s="179" t="s">
        <v>533</v>
      </c>
      <c r="B92" s="180" t="s">
        <v>35</v>
      </c>
      <c r="C92" s="181">
        <v>45590</v>
      </c>
      <c r="D92" s="181">
        <v>45601</v>
      </c>
      <c r="E92" s="192">
        <v>45673</v>
      </c>
      <c r="F92" s="190">
        <v>45695</v>
      </c>
      <c r="G92" s="191">
        <v>45698</v>
      </c>
      <c r="H92" s="194" t="s">
        <v>634</v>
      </c>
      <c r="I92" s="187">
        <f t="shared" si="19"/>
        <v>11</v>
      </c>
      <c r="J92" s="188">
        <f t="shared" si="25"/>
        <v>22</v>
      </c>
      <c r="K92" s="187">
        <v>0</v>
      </c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</row>
    <row r="93" spans="1:28" ht="12.75">
      <c r="A93" s="179" t="s">
        <v>538</v>
      </c>
      <c r="B93" s="180" t="s">
        <v>35</v>
      </c>
      <c r="C93" s="181">
        <v>45551</v>
      </c>
      <c r="D93" s="181">
        <v>45558</v>
      </c>
      <c r="E93" s="192">
        <v>45566</v>
      </c>
      <c r="F93" s="190">
        <v>45567</v>
      </c>
      <c r="G93" s="191">
        <v>45567</v>
      </c>
      <c r="H93" s="186">
        <v>45582</v>
      </c>
      <c r="I93" s="187">
        <f t="shared" si="19"/>
        <v>7</v>
      </c>
      <c r="J93" s="188">
        <f t="shared" si="25"/>
        <v>1</v>
      </c>
      <c r="K93" s="187">
        <f t="shared" ref="K93:K94" si="27">(H93-C93)</f>
        <v>31</v>
      </c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</row>
    <row r="94" spans="1:28" ht="12.75">
      <c r="A94" s="179" t="s">
        <v>543</v>
      </c>
      <c r="B94" s="180" t="s">
        <v>545</v>
      </c>
      <c r="C94" s="181">
        <v>45581</v>
      </c>
      <c r="D94" s="181">
        <v>45582</v>
      </c>
      <c r="E94" s="189">
        <v>45583</v>
      </c>
      <c r="F94" s="190">
        <v>45583</v>
      </c>
      <c r="G94" s="191">
        <v>45586</v>
      </c>
      <c r="H94" s="186">
        <v>45695</v>
      </c>
      <c r="I94" s="187">
        <f t="shared" si="19"/>
        <v>1</v>
      </c>
      <c r="J94" s="188">
        <f t="shared" si="25"/>
        <v>0</v>
      </c>
      <c r="K94" s="187">
        <f t="shared" si="27"/>
        <v>114</v>
      </c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</row>
    <row r="95" spans="1:28" ht="12.75">
      <c r="A95" s="179" t="s">
        <v>552</v>
      </c>
      <c r="B95" s="180" t="s">
        <v>77</v>
      </c>
      <c r="C95" s="181">
        <v>45638</v>
      </c>
      <c r="D95" s="181">
        <v>45659</v>
      </c>
      <c r="E95" s="183" t="s">
        <v>633</v>
      </c>
      <c r="F95" s="184" t="s">
        <v>633</v>
      </c>
      <c r="G95" s="185" t="s">
        <v>633</v>
      </c>
      <c r="H95" s="194" t="s">
        <v>633</v>
      </c>
      <c r="I95" s="187">
        <f t="shared" si="19"/>
        <v>21</v>
      </c>
      <c r="J95" s="188">
        <v>0</v>
      </c>
      <c r="K95" s="187">
        <v>0</v>
      </c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</row>
    <row r="96" spans="1:28" ht="24">
      <c r="A96" s="179" t="s">
        <v>556</v>
      </c>
      <c r="B96" s="180" t="s">
        <v>558</v>
      </c>
      <c r="C96" s="181">
        <v>45582</v>
      </c>
      <c r="D96" s="181">
        <v>45586</v>
      </c>
      <c r="E96" s="192">
        <v>45706</v>
      </c>
      <c r="F96" s="190">
        <v>45706</v>
      </c>
      <c r="G96" s="191">
        <v>45712</v>
      </c>
      <c r="H96" s="186">
        <v>45709</v>
      </c>
      <c r="I96" s="187">
        <f t="shared" si="19"/>
        <v>4</v>
      </c>
      <c r="J96" s="188">
        <f>F96-E96</f>
        <v>0</v>
      </c>
      <c r="K96" s="187">
        <f t="shared" ref="K96:K98" si="28">(H96-C96)</f>
        <v>127</v>
      </c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</row>
    <row r="97" spans="1:28" ht="12.75">
      <c r="A97" s="179" t="s">
        <v>562</v>
      </c>
      <c r="B97" s="180" t="s">
        <v>35</v>
      </c>
      <c r="C97" s="181">
        <v>45621</v>
      </c>
      <c r="D97" s="181">
        <v>45628</v>
      </c>
      <c r="E97" s="192">
        <v>45630</v>
      </c>
      <c r="F97" s="184" t="s">
        <v>38</v>
      </c>
      <c r="G97" s="191">
        <v>45659</v>
      </c>
      <c r="H97" s="186">
        <v>45666</v>
      </c>
      <c r="I97" s="187">
        <f t="shared" si="19"/>
        <v>7</v>
      </c>
      <c r="J97" s="188">
        <v>0</v>
      </c>
      <c r="K97" s="187">
        <f t="shared" si="28"/>
        <v>45</v>
      </c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</row>
    <row r="98" spans="1:28" ht="12.75">
      <c r="A98" s="179" t="s">
        <v>567</v>
      </c>
      <c r="B98" s="180" t="s">
        <v>35</v>
      </c>
      <c r="C98" s="181">
        <v>45539</v>
      </c>
      <c r="D98" s="181">
        <v>45558</v>
      </c>
      <c r="E98" s="192">
        <v>45567</v>
      </c>
      <c r="F98" s="190">
        <v>45567</v>
      </c>
      <c r="G98" s="191">
        <v>45567</v>
      </c>
      <c r="H98" s="186">
        <v>45582</v>
      </c>
      <c r="I98" s="187">
        <f t="shared" si="19"/>
        <v>19</v>
      </c>
      <c r="J98" s="188">
        <f t="shared" ref="J98:J103" si="29">F98-E98</f>
        <v>0</v>
      </c>
      <c r="K98" s="187">
        <f t="shared" si="28"/>
        <v>43</v>
      </c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</row>
    <row r="99" spans="1:28" ht="12.75">
      <c r="A99" s="179" t="s">
        <v>570</v>
      </c>
      <c r="B99" s="180" t="s">
        <v>35</v>
      </c>
      <c r="C99" s="181">
        <v>45621</v>
      </c>
      <c r="D99" s="181">
        <v>45628</v>
      </c>
      <c r="E99" s="192">
        <v>45636</v>
      </c>
      <c r="F99" s="190">
        <v>45639</v>
      </c>
      <c r="G99" s="191">
        <v>45639</v>
      </c>
      <c r="H99" s="194" t="s">
        <v>634</v>
      </c>
      <c r="I99" s="187">
        <f t="shared" si="19"/>
        <v>7</v>
      </c>
      <c r="J99" s="188">
        <f t="shared" si="29"/>
        <v>3</v>
      </c>
      <c r="K99" s="187">
        <v>0</v>
      </c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</row>
    <row r="100" spans="1:28" ht="24">
      <c r="A100" s="179" t="s">
        <v>575</v>
      </c>
      <c r="B100" s="180" t="s">
        <v>97</v>
      </c>
      <c r="C100" s="181">
        <v>45545</v>
      </c>
      <c r="D100" s="181">
        <v>45565</v>
      </c>
      <c r="E100" s="192">
        <v>45734</v>
      </c>
      <c r="F100" s="190">
        <v>45734</v>
      </c>
      <c r="G100" s="191">
        <v>45734</v>
      </c>
      <c r="H100" s="186">
        <v>45743</v>
      </c>
      <c r="I100" s="187">
        <f t="shared" si="19"/>
        <v>20</v>
      </c>
      <c r="J100" s="188">
        <f t="shared" si="29"/>
        <v>0</v>
      </c>
      <c r="K100" s="187">
        <f>(H100-C100)</f>
        <v>198</v>
      </c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</row>
    <row r="101" spans="1:28" ht="12.75">
      <c r="A101" s="179" t="s">
        <v>581</v>
      </c>
      <c r="B101" s="180" t="s">
        <v>35</v>
      </c>
      <c r="C101" s="181">
        <v>45597</v>
      </c>
      <c r="D101" s="181">
        <v>45600</v>
      </c>
      <c r="E101" s="192">
        <v>45600</v>
      </c>
      <c r="F101" s="190">
        <v>45601</v>
      </c>
      <c r="G101" s="191">
        <v>45603</v>
      </c>
      <c r="H101" s="194" t="s">
        <v>634</v>
      </c>
      <c r="I101" s="187">
        <f t="shared" si="19"/>
        <v>3</v>
      </c>
      <c r="J101" s="188">
        <f t="shared" si="29"/>
        <v>1</v>
      </c>
      <c r="K101" s="187">
        <v>0</v>
      </c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</row>
    <row r="102" spans="1:28" ht="12.75">
      <c r="A102" s="179" t="s">
        <v>584</v>
      </c>
      <c r="B102" s="180" t="s">
        <v>35</v>
      </c>
      <c r="C102" s="181">
        <v>45597</v>
      </c>
      <c r="D102" s="181">
        <v>45600</v>
      </c>
      <c r="E102" s="192">
        <v>45600</v>
      </c>
      <c r="F102" s="190">
        <v>45601</v>
      </c>
      <c r="G102" s="191">
        <v>45603</v>
      </c>
      <c r="H102" s="194" t="s">
        <v>634</v>
      </c>
      <c r="I102" s="187">
        <f t="shared" si="19"/>
        <v>3</v>
      </c>
      <c r="J102" s="188">
        <f t="shared" si="29"/>
        <v>1</v>
      </c>
      <c r="K102" s="187">
        <v>0</v>
      </c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</row>
    <row r="103" spans="1:28" ht="12.75">
      <c r="A103" s="179" t="s">
        <v>586</v>
      </c>
      <c r="B103" s="180" t="s">
        <v>35</v>
      </c>
      <c r="C103" s="181">
        <v>45596</v>
      </c>
      <c r="D103" s="181">
        <v>45600</v>
      </c>
      <c r="E103" s="192">
        <v>45600</v>
      </c>
      <c r="F103" s="190">
        <v>45600</v>
      </c>
      <c r="G103" s="191">
        <v>45617</v>
      </c>
      <c r="H103" s="194" t="s">
        <v>634</v>
      </c>
      <c r="I103" s="187">
        <f t="shared" si="19"/>
        <v>4</v>
      </c>
      <c r="J103" s="188">
        <f t="shared" si="29"/>
        <v>0</v>
      </c>
      <c r="K103" s="187">
        <v>0</v>
      </c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</row>
    <row r="104" spans="1:28" ht="12.75">
      <c r="A104" s="195" t="s">
        <v>636</v>
      </c>
      <c r="B104" s="180" t="s">
        <v>35</v>
      </c>
      <c r="C104" s="181">
        <v>45505</v>
      </c>
      <c r="D104" s="182" t="s">
        <v>56</v>
      </c>
      <c r="E104" s="183" t="s">
        <v>38</v>
      </c>
      <c r="F104" s="184" t="s">
        <v>38</v>
      </c>
      <c r="G104" s="185" t="s">
        <v>38</v>
      </c>
      <c r="H104" s="186">
        <v>45508</v>
      </c>
      <c r="I104" s="187">
        <v>0</v>
      </c>
      <c r="J104" s="188">
        <v>0</v>
      </c>
      <c r="K104" s="187">
        <f t="shared" ref="K104:K106" si="30">(H104-C104)</f>
        <v>3</v>
      </c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</row>
    <row r="105" spans="1:28" ht="12.75">
      <c r="A105" s="179" t="s">
        <v>596</v>
      </c>
      <c r="B105" s="180" t="s">
        <v>598</v>
      </c>
      <c r="C105" s="181">
        <v>45608</v>
      </c>
      <c r="D105" s="181">
        <v>45608</v>
      </c>
      <c r="E105" s="192">
        <v>45614</v>
      </c>
      <c r="F105" s="190">
        <v>45614</v>
      </c>
      <c r="G105" s="191">
        <v>45684</v>
      </c>
      <c r="H105" s="186">
        <v>45701</v>
      </c>
      <c r="I105" s="187">
        <f t="shared" ref="I105:I110" si="31">(D105-C105)</f>
        <v>0</v>
      </c>
      <c r="J105" s="188">
        <f t="shared" ref="J105:J110" si="32">F105-E105</f>
        <v>0</v>
      </c>
      <c r="K105" s="187">
        <f t="shared" si="30"/>
        <v>93</v>
      </c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</row>
    <row r="106" spans="1:28" ht="36">
      <c r="A106" s="179" t="s">
        <v>602</v>
      </c>
      <c r="B106" s="180" t="s">
        <v>604</v>
      </c>
      <c r="C106" s="181">
        <v>45617</v>
      </c>
      <c r="D106" s="202">
        <v>45628</v>
      </c>
      <c r="E106" s="192">
        <v>45646</v>
      </c>
      <c r="F106" s="190">
        <v>45666</v>
      </c>
      <c r="G106" s="191">
        <v>45660</v>
      </c>
      <c r="H106" s="186">
        <v>45737</v>
      </c>
      <c r="I106" s="187">
        <f t="shared" si="31"/>
        <v>11</v>
      </c>
      <c r="J106" s="188">
        <f t="shared" si="32"/>
        <v>20</v>
      </c>
      <c r="K106" s="187">
        <f t="shared" si="30"/>
        <v>120</v>
      </c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</row>
    <row r="107" spans="1:28" ht="12.75">
      <c r="A107" s="179" t="s">
        <v>608</v>
      </c>
      <c r="B107" s="180" t="s">
        <v>35</v>
      </c>
      <c r="C107" s="181">
        <v>45532</v>
      </c>
      <c r="D107" s="181">
        <v>45537</v>
      </c>
      <c r="E107" s="192">
        <v>45537</v>
      </c>
      <c r="F107" s="190">
        <v>45537</v>
      </c>
      <c r="G107" s="191">
        <v>45546</v>
      </c>
      <c r="H107" s="194" t="s">
        <v>634</v>
      </c>
      <c r="I107" s="187">
        <f t="shared" si="31"/>
        <v>5</v>
      </c>
      <c r="J107" s="188">
        <f t="shared" si="32"/>
        <v>0</v>
      </c>
      <c r="K107" s="187">
        <v>0</v>
      </c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</row>
    <row r="108" spans="1:28" ht="12.75">
      <c r="A108" s="179" t="s">
        <v>612</v>
      </c>
      <c r="B108" s="180" t="s">
        <v>35</v>
      </c>
      <c r="C108" s="181">
        <v>45597</v>
      </c>
      <c r="D108" s="181">
        <v>45597</v>
      </c>
      <c r="E108" s="192">
        <v>45600</v>
      </c>
      <c r="F108" s="190">
        <v>45615</v>
      </c>
      <c r="G108" s="191">
        <v>45617</v>
      </c>
      <c r="H108" s="194" t="s">
        <v>634</v>
      </c>
      <c r="I108" s="187">
        <f t="shared" si="31"/>
        <v>0</v>
      </c>
      <c r="J108" s="188">
        <f t="shared" si="32"/>
        <v>15</v>
      </c>
      <c r="K108" s="187">
        <v>0</v>
      </c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</row>
    <row r="109" spans="1:28" ht="12.75">
      <c r="A109" s="179" t="s">
        <v>614</v>
      </c>
      <c r="B109" s="180" t="s">
        <v>35</v>
      </c>
      <c r="C109" s="181">
        <v>45575</v>
      </c>
      <c r="D109" s="181">
        <v>45575</v>
      </c>
      <c r="E109" s="192">
        <v>45576</v>
      </c>
      <c r="F109" s="190">
        <v>45611</v>
      </c>
      <c r="G109" s="191">
        <v>45612</v>
      </c>
      <c r="H109" s="186">
        <v>45625</v>
      </c>
      <c r="I109" s="187">
        <f t="shared" si="31"/>
        <v>0</v>
      </c>
      <c r="J109" s="188">
        <f t="shared" si="32"/>
        <v>35</v>
      </c>
      <c r="K109" s="187">
        <f t="shared" ref="K109:K110" si="33">(H109-C109)</f>
        <v>50</v>
      </c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</row>
    <row r="110" spans="1:28" ht="12.75">
      <c r="A110" s="179" t="s">
        <v>620</v>
      </c>
      <c r="B110" s="180" t="s">
        <v>35</v>
      </c>
      <c r="C110" s="181">
        <v>45587</v>
      </c>
      <c r="D110" s="181">
        <v>45600</v>
      </c>
      <c r="E110" s="192">
        <v>45601</v>
      </c>
      <c r="F110" s="190">
        <v>45603</v>
      </c>
      <c r="G110" s="191">
        <v>45603</v>
      </c>
      <c r="H110" s="186">
        <v>45630</v>
      </c>
      <c r="I110" s="187">
        <f t="shared" si="31"/>
        <v>13</v>
      </c>
      <c r="J110" s="188">
        <f t="shared" si="32"/>
        <v>2</v>
      </c>
      <c r="K110" s="187">
        <f t="shared" si="33"/>
        <v>43</v>
      </c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</row>
    <row r="111" spans="1:28" ht="12.75">
      <c r="A111" s="203"/>
      <c r="B111" s="203"/>
      <c r="D111" s="204"/>
      <c r="E111" s="205"/>
      <c r="F111" s="204"/>
      <c r="G111" s="204"/>
      <c r="I111" s="253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</row>
    <row r="112" spans="1:28" ht="12.75">
      <c r="A112" s="203"/>
      <c r="B112" s="203"/>
      <c r="D112" s="204"/>
      <c r="E112" s="205"/>
      <c r="F112" s="204"/>
      <c r="G112" s="204"/>
      <c r="I112" s="253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</row>
    <row r="113" spans="1:28" ht="12.75">
      <c r="A113" s="203"/>
      <c r="B113" s="203"/>
      <c r="D113" s="204"/>
      <c r="E113" s="205"/>
      <c r="F113" s="204"/>
      <c r="G113" s="204"/>
      <c r="I113" s="253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</row>
    <row r="114" spans="1:28" ht="12.75">
      <c r="A114" s="203"/>
      <c r="B114" s="203"/>
      <c r="D114" s="204"/>
      <c r="E114" s="205"/>
      <c r="F114" s="204"/>
      <c r="G114" s="204"/>
      <c r="I114" s="254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</row>
    <row r="115" spans="1:28" ht="12.75">
      <c r="A115" s="203"/>
      <c r="B115" s="203"/>
      <c r="D115" s="204"/>
      <c r="E115" s="205"/>
      <c r="F115" s="204"/>
      <c r="G115" s="204"/>
      <c r="I115" s="254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</row>
    <row r="116" spans="1:28" ht="12.75">
      <c r="A116" s="206"/>
      <c r="B116" s="206"/>
      <c r="D116" s="204"/>
      <c r="E116" s="255"/>
      <c r="F116" s="204"/>
      <c r="G116" s="204"/>
      <c r="I116" s="254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</row>
    <row r="117" spans="1:28" ht="12.75">
      <c r="A117" s="203"/>
      <c r="B117" s="203"/>
      <c r="D117" s="204"/>
      <c r="E117" s="205"/>
      <c r="F117" s="204"/>
      <c r="G117" s="204"/>
      <c r="I117" s="254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</row>
    <row r="118" spans="1:28" ht="12.75">
      <c r="A118" s="203"/>
      <c r="B118" s="203"/>
      <c r="D118" s="204"/>
      <c r="E118" s="205"/>
      <c r="F118" s="204"/>
      <c r="G118" s="204"/>
      <c r="I118" s="254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</row>
    <row r="119" spans="1:28" ht="12.75">
      <c r="A119" s="203"/>
      <c r="B119" s="203"/>
      <c r="D119" s="204"/>
      <c r="E119" s="205"/>
      <c r="F119" s="204"/>
      <c r="G119" s="204"/>
      <c r="I119" s="254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</row>
    <row r="120" spans="1:28" ht="12.75">
      <c r="A120" s="203"/>
      <c r="B120" s="203"/>
      <c r="D120" s="204"/>
      <c r="E120" s="205"/>
      <c r="F120" s="204"/>
      <c r="G120" s="204"/>
      <c r="I120" s="254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</row>
    <row r="121" spans="1:28" ht="12.75">
      <c r="A121" s="203"/>
      <c r="B121" s="203"/>
      <c r="D121" s="204"/>
      <c r="E121" s="205"/>
      <c r="F121" s="204"/>
      <c r="G121" s="204"/>
      <c r="I121" s="254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</row>
    <row r="122" spans="1:28" ht="12.75">
      <c r="A122" s="203"/>
      <c r="B122" s="203"/>
      <c r="D122" s="204"/>
      <c r="E122" s="205"/>
      <c r="F122" s="204"/>
      <c r="G122" s="204"/>
      <c r="I122" s="254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</row>
    <row r="123" spans="1:28" ht="12.75">
      <c r="A123" s="203"/>
      <c r="B123" s="203"/>
      <c r="D123" s="204"/>
      <c r="E123" s="205"/>
      <c r="F123" s="204"/>
      <c r="G123" s="204"/>
      <c r="I123" s="254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</row>
    <row r="124" spans="1:28" ht="12.75">
      <c r="A124" s="203"/>
      <c r="B124" s="203"/>
      <c r="D124" s="204"/>
      <c r="E124" s="205"/>
      <c r="F124" s="204"/>
      <c r="G124" s="204"/>
      <c r="I124" s="254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</row>
    <row r="125" spans="1:28" ht="12.75">
      <c r="A125" s="203"/>
      <c r="B125" s="203"/>
      <c r="D125" s="204"/>
      <c r="E125" s="205"/>
      <c r="F125" s="204"/>
      <c r="G125" s="204"/>
      <c r="I125" s="254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</row>
    <row r="126" spans="1:28" ht="12.75">
      <c r="A126" s="203"/>
      <c r="B126" s="203"/>
      <c r="D126" s="204"/>
      <c r="E126" s="205"/>
      <c r="F126" s="204"/>
      <c r="G126" s="204"/>
      <c r="I126" s="254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</row>
    <row r="127" spans="1:28" ht="12.75">
      <c r="A127" s="203"/>
      <c r="B127" s="203"/>
      <c r="D127" s="41"/>
      <c r="E127" s="205"/>
      <c r="F127" s="204"/>
      <c r="G127" s="204"/>
      <c r="I127" s="254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</row>
    <row r="128" spans="1:28" ht="12.75">
      <c r="A128" s="203"/>
      <c r="B128" s="203"/>
      <c r="D128" s="204"/>
      <c r="E128" s="205"/>
      <c r="F128" s="204"/>
      <c r="G128" s="204"/>
      <c r="I128" s="254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</row>
    <row r="129" spans="1:28" ht="12.75">
      <c r="A129" s="203"/>
      <c r="B129" s="203"/>
      <c r="D129" s="207"/>
      <c r="E129" s="205"/>
      <c r="F129" s="207"/>
      <c r="G129" s="207"/>
      <c r="I129" s="254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</row>
    <row r="130" spans="1:28" ht="12.75">
      <c r="A130" s="203"/>
      <c r="B130" s="203"/>
      <c r="D130" s="204"/>
      <c r="E130" s="205"/>
      <c r="F130" s="204"/>
      <c r="G130" s="204"/>
      <c r="I130" s="254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</row>
    <row r="131" spans="1:28" ht="12.75">
      <c r="A131" s="203"/>
      <c r="B131" s="203"/>
      <c r="D131" s="204"/>
      <c r="E131" s="205"/>
      <c r="F131" s="204"/>
      <c r="G131" s="204"/>
      <c r="I131" s="254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</row>
    <row r="132" spans="1:28" ht="12.75">
      <c r="A132" s="203"/>
      <c r="B132" s="203"/>
      <c r="D132" s="204"/>
      <c r="E132" s="205"/>
      <c r="F132" s="204"/>
      <c r="G132" s="204"/>
      <c r="I132" s="254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</row>
    <row r="133" spans="1:28" ht="12.75">
      <c r="A133" s="203"/>
      <c r="B133" s="203"/>
      <c r="D133" s="204"/>
      <c r="E133" s="205"/>
      <c r="F133" s="204"/>
      <c r="G133" s="204"/>
      <c r="I133" s="254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</row>
    <row r="134" spans="1:28" ht="12.75">
      <c r="A134" s="203"/>
      <c r="B134" s="203"/>
      <c r="D134" s="204"/>
      <c r="E134" s="205"/>
      <c r="F134" s="204"/>
      <c r="G134" s="204"/>
      <c r="I134" s="254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</row>
    <row r="135" spans="1:28" ht="12.75">
      <c r="A135" s="203"/>
      <c r="B135" s="203"/>
      <c r="D135" s="204"/>
      <c r="E135" s="205"/>
      <c r="F135" s="204"/>
      <c r="G135" s="204"/>
      <c r="I135" s="254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</row>
    <row r="136" spans="1:28" ht="12.75">
      <c r="A136" s="203"/>
      <c r="B136" s="203"/>
      <c r="D136" s="204"/>
      <c r="E136" s="205"/>
      <c r="F136" s="204"/>
      <c r="G136" s="204"/>
      <c r="I136" s="254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</row>
    <row r="137" spans="1:28" ht="12.75">
      <c r="A137" s="203"/>
      <c r="B137" s="203"/>
      <c r="D137" s="204"/>
      <c r="E137" s="205"/>
      <c r="F137" s="204"/>
      <c r="G137" s="204"/>
      <c r="I137" s="254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</row>
    <row r="138" spans="1:28" ht="12.75">
      <c r="A138" s="203"/>
      <c r="B138" s="203"/>
      <c r="D138" s="204"/>
      <c r="E138" s="205"/>
      <c r="F138" s="204"/>
      <c r="G138" s="204"/>
      <c r="I138" s="254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</row>
    <row r="139" spans="1:28" ht="12.75">
      <c r="A139" s="203"/>
      <c r="B139" s="203"/>
      <c r="D139" s="204"/>
      <c r="E139" s="205"/>
      <c r="F139" s="204"/>
      <c r="G139" s="204"/>
      <c r="I139" s="254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</row>
    <row r="140" spans="1:28" ht="12.75">
      <c r="A140" s="203"/>
      <c r="B140" s="203"/>
      <c r="D140" s="204"/>
      <c r="E140" s="205"/>
      <c r="F140" s="204"/>
      <c r="G140" s="204"/>
      <c r="I140" s="254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</row>
    <row r="141" spans="1:28" ht="12.75">
      <c r="A141" s="203"/>
      <c r="B141" s="203"/>
      <c r="D141" s="204"/>
      <c r="E141" s="205"/>
      <c r="F141" s="204"/>
      <c r="G141" s="204"/>
      <c r="I141" s="254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</row>
    <row r="142" spans="1:28" ht="12.75">
      <c r="A142" s="203"/>
      <c r="B142" s="203"/>
      <c r="D142" s="204"/>
      <c r="E142" s="205"/>
      <c r="F142" s="204"/>
      <c r="G142" s="204"/>
      <c r="I142" s="254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</row>
    <row r="143" spans="1:28" ht="12.75">
      <c r="A143" s="203"/>
      <c r="B143" s="203"/>
      <c r="D143" s="204"/>
      <c r="E143" s="205"/>
      <c r="F143" s="204"/>
      <c r="G143" s="204"/>
      <c r="I143" s="254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</row>
    <row r="144" spans="1:28" ht="12.75">
      <c r="A144" s="203"/>
      <c r="B144" s="203"/>
      <c r="D144" s="204"/>
      <c r="E144" s="205"/>
      <c r="F144" s="204"/>
      <c r="G144" s="204"/>
      <c r="I144" s="254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</row>
    <row r="145" spans="1:28" ht="12.75">
      <c r="A145" s="203"/>
      <c r="B145" s="203"/>
      <c r="D145" s="204"/>
      <c r="E145" s="205"/>
      <c r="F145" s="204"/>
      <c r="G145" s="204"/>
      <c r="I145" s="254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</row>
    <row r="146" spans="1:28" ht="12.75">
      <c r="A146" s="203"/>
      <c r="B146" s="203"/>
      <c r="D146" s="204"/>
      <c r="E146" s="205"/>
      <c r="F146" s="204"/>
      <c r="G146" s="204"/>
      <c r="I146" s="254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</row>
    <row r="147" spans="1:28" ht="12.75">
      <c r="A147" s="203"/>
      <c r="B147" s="203"/>
      <c r="D147" s="204"/>
      <c r="E147" s="205"/>
      <c r="F147" s="204"/>
      <c r="G147" s="204"/>
      <c r="I147" s="254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</row>
    <row r="148" spans="1:28" ht="12.75">
      <c r="A148" s="203"/>
      <c r="B148" s="203"/>
      <c r="D148" s="204"/>
      <c r="E148" s="205"/>
      <c r="F148" s="204"/>
      <c r="G148" s="204"/>
      <c r="I148" s="254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</row>
    <row r="149" spans="1:28" ht="12.75">
      <c r="A149" s="203"/>
      <c r="B149" s="203"/>
      <c r="D149" s="204"/>
      <c r="E149" s="205"/>
      <c r="F149" s="204"/>
      <c r="G149" s="208"/>
      <c r="I149" s="254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</row>
    <row r="150" spans="1:28" ht="12.75">
      <c r="A150" s="203"/>
      <c r="B150" s="203"/>
      <c r="D150" s="204"/>
      <c r="E150" s="205"/>
      <c r="F150" s="205"/>
      <c r="G150" s="208"/>
      <c r="I150" s="254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</row>
    <row r="151" spans="1:28" ht="12.75">
      <c r="A151" s="203"/>
      <c r="B151" s="203"/>
      <c r="D151" s="204"/>
      <c r="E151" s="205"/>
      <c r="F151" s="204"/>
      <c r="G151" s="208"/>
      <c r="I151" s="254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</row>
    <row r="152" spans="1:28" ht="12.75">
      <c r="A152" s="203"/>
      <c r="B152" s="203"/>
      <c r="D152" s="204"/>
      <c r="E152" s="205"/>
      <c r="F152" s="204"/>
      <c r="G152" s="208"/>
      <c r="I152" s="254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</row>
    <row r="153" spans="1:28" ht="12.75">
      <c r="A153" s="203"/>
      <c r="B153" s="203"/>
      <c r="D153" s="208"/>
      <c r="E153" s="205"/>
      <c r="F153" s="208"/>
      <c r="G153" s="208"/>
      <c r="I153" s="254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</row>
    <row r="154" spans="1:28" ht="12.75">
      <c r="A154" s="203"/>
      <c r="B154" s="203"/>
      <c r="D154" s="204"/>
      <c r="E154" s="205"/>
      <c r="F154" s="204"/>
      <c r="G154" s="208"/>
      <c r="I154" s="254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</row>
    <row r="155" spans="1:28" ht="12.75">
      <c r="A155" s="203"/>
      <c r="B155" s="203"/>
      <c r="D155" s="204"/>
      <c r="E155" s="205"/>
      <c r="F155" s="204"/>
      <c r="G155" s="204"/>
      <c r="I155" s="254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</row>
    <row r="156" spans="1:28" ht="12.75">
      <c r="A156" s="203"/>
      <c r="B156" s="203"/>
      <c r="D156" s="204"/>
      <c r="E156" s="205"/>
      <c r="F156" s="204"/>
      <c r="G156" s="204"/>
      <c r="I156" s="254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</row>
    <row r="157" spans="1:28" ht="12.75">
      <c r="A157" s="203"/>
      <c r="B157" s="203"/>
      <c r="D157" s="204"/>
      <c r="E157" s="205"/>
      <c r="F157" s="204"/>
      <c r="G157" s="204"/>
      <c r="I157" s="254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</row>
    <row r="158" spans="1:28" ht="12.75">
      <c r="A158" s="203"/>
      <c r="B158" s="203"/>
      <c r="D158" s="204"/>
      <c r="E158" s="205"/>
      <c r="F158" s="204"/>
      <c r="G158" s="204"/>
      <c r="I158" s="254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</row>
    <row r="159" spans="1:28" ht="12.75">
      <c r="A159" s="203"/>
      <c r="B159" s="203"/>
      <c r="D159" s="204"/>
      <c r="E159" s="205"/>
      <c r="F159" s="204"/>
      <c r="G159" s="204"/>
      <c r="I159" s="254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</row>
    <row r="160" spans="1:28" ht="12.75">
      <c r="A160" s="203"/>
      <c r="B160" s="203"/>
      <c r="D160" s="205"/>
      <c r="E160" s="205"/>
      <c r="F160" s="205"/>
      <c r="G160" s="205"/>
      <c r="I160" s="254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</row>
    <row r="161" spans="1:28" ht="12.75">
      <c r="A161" s="203"/>
      <c r="B161" s="203"/>
      <c r="D161" s="205"/>
      <c r="E161" s="205"/>
      <c r="F161" s="205"/>
      <c r="G161" s="205"/>
      <c r="I161" s="254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</row>
    <row r="162" spans="1:28" ht="12.75">
      <c r="A162" s="203"/>
      <c r="B162" s="203"/>
      <c r="D162" s="205"/>
      <c r="E162" s="205"/>
      <c r="F162" s="205"/>
      <c r="G162" s="205"/>
      <c r="I162" s="254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</row>
    <row r="163" spans="1:28" ht="12.75">
      <c r="A163" s="203"/>
      <c r="B163" s="203"/>
      <c r="D163" s="205"/>
      <c r="E163" s="205"/>
      <c r="F163" s="205"/>
      <c r="G163" s="205"/>
      <c r="I163" s="254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</row>
    <row r="164" spans="1:28" ht="12.75">
      <c r="A164" s="203"/>
      <c r="B164" s="203"/>
      <c r="D164" s="205"/>
      <c r="E164" s="205"/>
      <c r="F164" s="205"/>
      <c r="G164" s="205"/>
      <c r="I164" s="254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</row>
    <row r="165" spans="1:28" ht="12.75">
      <c r="A165" s="203"/>
      <c r="B165" s="203"/>
      <c r="D165" s="205"/>
      <c r="E165" s="205"/>
      <c r="F165" s="205"/>
      <c r="G165" s="205"/>
      <c r="I165" s="254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</row>
    <row r="166" spans="1:28" ht="12.75">
      <c r="A166" s="203"/>
      <c r="B166" s="203"/>
      <c r="D166" s="205"/>
      <c r="E166" s="205"/>
      <c r="F166" s="205"/>
      <c r="G166" s="205"/>
      <c r="I166" s="254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</row>
    <row r="167" spans="1:28" ht="12.75">
      <c r="A167" s="203"/>
      <c r="B167" s="203"/>
      <c r="D167" s="205"/>
      <c r="E167" s="205"/>
      <c r="F167" s="205"/>
      <c r="G167" s="205"/>
      <c r="I167" s="254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</row>
    <row r="168" spans="1:28" ht="12.75">
      <c r="A168" s="203"/>
      <c r="B168" s="203"/>
      <c r="D168" s="205"/>
      <c r="E168" s="205"/>
      <c r="F168" s="205"/>
      <c r="G168" s="205"/>
      <c r="I168" s="254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</row>
    <row r="169" spans="1:28" ht="12.75">
      <c r="A169" s="203"/>
      <c r="B169" s="203"/>
      <c r="D169" s="205"/>
      <c r="E169" s="205"/>
      <c r="F169" s="205"/>
      <c r="G169" s="205"/>
      <c r="I169" s="254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</row>
    <row r="170" spans="1:28" ht="12.75">
      <c r="A170" s="203"/>
      <c r="B170" s="203"/>
      <c r="D170" s="204"/>
      <c r="E170" s="205"/>
      <c r="F170" s="204"/>
      <c r="G170" s="204"/>
      <c r="I170" s="254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</row>
    <row r="171" spans="1:28" ht="12.75">
      <c r="A171" s="203"/>
      <c r="B171" s="203"/>
      <c r="D171" s="204"/>
      <c r="E171" s="205"/>
      <c r="F171" s="204"/>
      <c r="G171" s="204"/>
      <c r="I171" s="254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</row>
    <row r="172" spans="1:28" ht="12.75">
      <c r="A172" s="203"/>
      <c r="B172" s="203"/>
      <c r="D172" s="205"/>
      <c r="E172" s="205"/>
      <c r="F172" s="205"/>
      <c r="G172" s="205"/>
      <c r="I172" s="254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</row>
    <row r="173" spans="1:28" ht="12.75">
      <c r="A173" s="203"/>
      <c r="B173" s="203"/>
      <c r="D173" s="205"/>
      <c r="E173" s="205"/>
      <c r="F173" s="205"/>
      <c r="G173" s="205"/>
      <c r="I173" s="254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</row>
    <row r="174" spans="1:28" ht="12.75">
      <c r="A174" s="203"/>
      <c r="B174" s="203"/>
      <c r="D174" s="205"/>
      <c r="E174" s="205"/>
      <c r="F174" s="205"/>
      <c r="G174" s="205"/>
      <c r="I174" s="254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</row>
    <row r="175" spans="1:28" ht="12.75">
      <c r="A175" s="203"/>
      <c r="B175" s="203"/>
      <c r="D175" s="205"/>
      <c r="E175" s="205"/>
      <c r="F175" s="205"/>
      <c r="G175" s="205"/>
      <c r="I175" s="254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</row>
    <row r="176" spans="1:28" ht="12.75">
      <c r="A176" s="203"/>
      <c r="B176" s="203"/>
      <c r="D176" s="209"/>
      <c r="E176" s="205"/>
      <c r="F176" s="209"/>
      <c r="G176" s="209"/>
      <c r="I176" s="254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</row>
    <row r="177" spans="1:28" ht="12.75">
      <c r="A177" s="203"/>
      <c r="B177" s="203"/>
      <c r="D177" s="207"/>
      <c r="E177" s="205"/>
      <c r="F177" s="207"/>
      <c r="G177" s="207"/>
      <c r="I177" s="254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</row>
    <row r="178" spans="1:28" ht="12.75">
      <c r="A178" s="203"/>
      <c r="B178" s="203"/>
      <c r="D178" s="208"/>
      <c r="E178" s="205"/>
      <c r="F178" s="208"/>
      <c r="G178" s="208"/>
      <c r="I178" s="254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</row>
    <row r="179" spans="1:28" ht="12.75">
      <c r="A179" s="203"/>
      <c r="B179" s="203"/>
      <c r="D179" s="208"/>
      <c r="E179" s="205"/>
      <c r="F179" s="208"/>
      <c r="G179" s="208"/>
      <c r="I179" s="254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</row>
    <row r="180" spans="1:28" ht="12.75">
      <c r="A180" s="203"/>
      <c r="B180" s="203"/>
      <c r="D180" s="204"/>
      <c r="E180" s="205"/>
      <c r="F180" s="204"/>
      <c r="G180" s="208"/>
      <c r="I180" s="254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</row>
    <row r="181" spans="1:28" ht="12.75">
      <c r="A181" s="203"/>
      <c r="B181" s="203"/>
      <c r="D181" s="204"/>
      <c r="E181" s="205"/>
      <c r="F181" s="205"/>
      <c r="G181" s="208"/>
      <c r="I181" s="254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</row>
    <row r="182" spans="1:28" ht="12.75">
      <c r="A182" s="203"/>
      <c r="B182" s="203"/>
      <c r="D182" s="204"/>
      <c r="E182" s="205"/>
      <c r="F182" s="204"/>
      <c r="G182" s="208"/>
      <c r="I182" s="254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</row>
    <row r="183" spans="1:28" ht="12.75">
      <c r="A183" s="203"/>
      <c r="B183" s="203"/>
      <c r="D183" s="204"/>
      <c r="E183" s="205"/>
      <c r="F183" s="204"/>
      <c r="G183" s="208"/>
      <c r="I183" s="254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</row>
    <row r="184" spans="1:28" ht="12.75">
      <c r="A184" s="203"/>
      <c r="B184" s="203"/>
      <c r="D184" s="204"/>
      <c r="E184" s="205"/>
      <c r="F184" s="204"/>
      <c r="G184" s="208"/>
      <c r="I184" s="254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</row>
    <row r="185" spans="1:28" ht="12.75">
      <c r="A185" s="203"/>
      <c r="B185" s="203"/>
      <c r="D185" s="204"/>
      <c r="E185" s="205"/>
      <c r="F185" s="204"/>
      <c r="G185" s="208"/>
      <c r="I185" s="254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</row>
    <row r="186" spans="1:28" ht="12.75">
      <c r="A186" s="203"/>
      <c r="B186" s="203"/>
      <c r="D186" s="204"/>
      <c r="E186" s="205"/>
      <c r="F186" s="204"/>
      <c r="G186" s="208"/>
      <c r="I186" s="254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</row>
    <row r="187" spans="1:28" ht="12.75">
      <c r="A187" s="203"/>
      <c r="B187" s="203"/>
      <c r="D187" s="204"/>
      <c r="E187" s="205"/>
      <c r="F187" s="204"/>
      <c r="G187" s="208"/>
      <c r="I187" s="254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</row>
    <row r="188" spans="1:28" ht="12.75">
      <c r="A188" s="203"/>
      <c r="B188" s="203"/>
      <c r="D188" s="204"/>
      <c r="E188" s="205"/>
      <c r="F188" s="204"/>
      <c r="G188" s="208"/>
      <c r="I188" s="254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</row>
    <row r="189" spans="1:28" ht="12.75">
      <c r="A189" s="203"/>
      <c r="B189" s="203"/>
      <c r="D189" s="204"/>
      <c r="E189" s="205"/>
      <c r="F189" s="204"/>
      <c r="G189" s="208"/>
      <c r="I189" s="254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</row>
    <row r="190" spans="1:28" ht="12.75">
      <c r="A190" s="203"/>
      <c r="B190" s="203"/>
      <c r="D190" s="204"/>
      <c r="E190" s="205"/>
      <c r="F190" s="204"/>
      <c r="G190" s="207"/>
      <c r="I190" s="254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</row>
    <row r="191" spans="1:28" ht="12.75">
      <c r="A191" s="203"/>
      <c r="B191" s="203"/>
      <c r="D191" s="204"/>
      <c r="E191" s="205"/>
      <c r="F191" s="204"/>
      <c r="G191" s="208"/>
      <c r="I191" s="254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</row>
    <row r="192" spans="1:28" ht="12.75">
      <c r="A192" s="203"/>
      <c r="B192" s="203"/>
      <c r="D192" s="204"/>
      <c r="E192" s="205"/>
      <c r="F192" s="204"/>
      <c r="G192" s="204"/>
      <c r="I192" s="254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</row>
    <row r="193" spans="1:28" ht="12.75">
      <c r="A193" s="203"/>
      <c r="B193" s="203"/>
      <c r="D193" s="204"/>
      <c r="E193" s="205"/>
      <c r="F193" s="204"/>
      <c r="G193" s="208"/>
      <c r="I193" s="254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</row>
    <row r="194" spans="1:28" ht="12.75">
      <c r="A194" s="203"/>
      <c r="B194" s="203"/>
      <c r="D194" s="204"/>
      <c r="E194" s="205"/>
      <c r="F194" s="204"/>
      <c r="G194" s="204"/>
      <c r="I194" s="254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</row>
    <row r="195" spans="1:28" ht="12.75">
      <c r="A195" s="203"/>
      <c r="B195" s="203"/>
      <c r="D195" s="204"/>
      <c r="E195" s="205"/>
      <c r="F195" s="204"/>
      <c r="G195" s="204"/>
      <c r="I195" s="254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</row>
    <row r="196" spans="1:28" ht="12.75">
      <c r="A196" s="203"/>
      <c r="B196" s="203"/>
      <c r="D196" s="204"/>
      <c r="E196" s="205"/>
      <c r="F196" s="204"/>
      <c r="G196" s="204"/>
      <c r="I196" s="254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</row>
    <row r="197" spans="1:28" ht="12.75">
      <c r="A197" s="203"/>
      <c r="B197" s="203"/>
      <c r="D197" s="204"/>
      <c r="E197" s="205"/>
      <c r="F197" s="204"/>
      <c r="G197" s="204"/>
      <c r="I197" s="254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</row>
    <row r="198" spans="1:28" ht="12.75">
      <c r="A198" s="203"/>
      <c r="B198" s="203"/>
      <c r="D198" s="204"/>
      <c r="E198" s="205"/>
      <c r="F198" s="204"/>
      <c r="G198" s="204"/>
      <c r="I198" s="254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</row>
    <row r="199" spans="1:28" ht="12.75">
      <c r="A199" s="203"/>
      <c r="B199" s="203"/>
      <c r="D199" s="204"/>
      <c r="E199" s="205"/>
      <c r="F199" s="204"/>
      <c r="G199" s="204"/>
      <c r="I199" s="254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</row>
    <row r="200" spans="1:28" ht="12.75">
      <c r="A200" s="203"/>
      <c r="B200" s="203"/>
      <c r="D200" s="204"/>
      <c r="E200" s="205"/>
      <c r="F200" s="204"/>
      <c r="G200" s="204"/>
      <c r="I200" s="254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</row>
    <row r="201" spans="1:28" ht="12.75">
      <c r="A201" s="203"/>
      <c r="B201" s="203"/>
      <c r="D201" s="204"/>
      <c r="E201" s="205"/>
      <c r="F201" s="204"/>
      <c r="G201" s="204"/>
      <c r="I201" s="254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</row>
    <row r="202" spans="1:28" ht="12.75">
      <c r="A202" s="203"/>
      <c r="B202" s="203"/>
      <c r="D202" s="204"/>
      <c r="E202" s="205"/>
      <c r="F202" s="204"/>
      <c r="G202" s="204"/>
      <c r="I202" s="254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</row>
    <row r="203" spans="1:28" ht="12.75">
      <c r="A203" s="203"/>
      <c r="B203" s="203"/>
      <c r="D203" s="204"/>
      <c r="E203" s="205"/>
      <c r="F203" s="204"/>
      <c r="G203" s="204"/>
      <c r="I203" s="254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</row>
    <row r="204" spans="1:28" ht="12.75">
      <c r="A204" s="203"/>
      <c r="B204" s="203"/>
      <c r="D204" s="204"/>
      <c r="E204" s="205"/>
      <c r="F204" s="204"/>
      <c r="G204" s="204"/>
      <c r="I204" s="254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</row>
    <row r="205" spans="1:28" ht="12.75">
      <c r="A205" s="203"/>
      <c r="B205" s="203"/>
      <c r="D205" s="204"/>
      <c r="E205" s="205"/>
      <c r="F205" s="204"/>
      <c r="G205" s="204"/>
      <c r="I205" s="254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</row>
    <row r="206" spans="1:28" ht="12.75">
      <c r="A206" s="203"/>
      <c r="B206" s="203"/>
      <c r="D206" s="204"/>
      <c r="E206" s="205"/>
      <c r="F206" s="204"/>
      <c r="G206" s="204"/>
      <c r="I206" s="254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</row>
    <row r="207" spans="1:28" ht="12.75">
      <c r="A207" s="203"/>
      <c r="B207" s="203"/>
      <c r="D207" s="204"/>
      <c r="E207" s="205"/>
      <c r="F207" s="204"/>
      <c r="G207" s="204"/>
      <c r="I207" s="254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</row>
    <row r="208" spans="1:28" ht="12.75">
      <c r="A208" s="203"/>
      <c r="B208" s="203"/>
      <c r="D208" s="204"/>
      <c r="E208" s="205"/>
      <c r="F208" s="204"/>
      <c r="G208" s="204"/>
      <c r="I208" s="254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</row>
    <row r="209" spans="1:28" ht="12.75">
      <c r="A209" s="203"/>
      <c r="B209" s="203"/>
      <c r="D209" s="204"/>
      <c r="E209" s="205"/>
      <c r="F209" s="204"/>
      <c r="G209" s="204"/>
      <c r="I209" s="254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</row>
    <row r="210" spans="1:28" ht="12.75">
      <c r="A210" s="203"/>
      <c r="B210" s="203"/>
      <c r="D210" s="204"/>
      <c r="E210" s="205"/>
      <c r="F210" s="204"/>
      <c r="G210" s="204"/>
      <c r="I210" s="254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  <c r="AB210" s="201"/>
    </row>
    <row r="211" spans="1:28" ht="12.75">
      <c r="A211" s="203"/>
      <c r="B211" s="203"/>
      <c r="D211" s="204"/>
      <c r="E211" s="205"/>
      <c r="F211" s="204"/>
      <c r="G211" s="204"/>
      <c r="I211" s="254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</row>
    <row r="212" spans="1:28" ht="12.75">
      <c r="A212" s="203"/>
      <c r="B212" s="203"/>
      <c r="D212" s="204"/>
      <c r="E212" s="205"/>
      <c r="F212" s="204"/>
      <c r="G212" s="204"/>
      <c r="I212" s="254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</row>
    <row r="213" spans="1:28" ht="12.75">
      <c r="A213" s="203"/>
      <c r="B213" s="203"/>
      <c r="D213" s="204"/>
      <c r="E213" s="205"/>
      <c r="F213" s="204"/>
      <c r="G213" s="204"/>
      <c r="I213" s="254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</row>
    <row r="214" spans="1:28" ht="12.75">
      <c r="A214" s="203"/>
      <c r="B214" s="203"/>
      <c r="D214" s="204"/>
      <c r="E214" s="205"/>
      <c r="F214" s="204"/>
      <c r="G214" s="204"/>
      <c r="I214" s="254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</row>
    <row r="215" spans="1:28" ht="12.75">
      <c r="A215" s="203"/>
      <c r="B215" s="203"/>
      <c r="D215" s="41"/>
      <c r="E215" s="205"/>
      <c r="F215" s="204"/>
      <c r="G215" s="204"/>
      <c r="I215" s="254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</row>
    <row r="216" spans="1:28" ht="12.75">
      <c r="A216" s="203"/>
      <c r="B216" s="203"/>
      <c r="D216" s="204"/>
      <c r="E216" s="205"/>
      <c r="F216" s="204"/>
      <c r="G216" s="204"/>
      <c r="I216" s="254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</row>
    <row r="217" spans="1:28" ht="12.75">
      <c r="A217" s="203"/>
      <c r="B217" s="203"/>
      <c r="D217" s="207"/>
      <c r="E217" s="205"/>
      <c r="F217" s="207"/>
      <c r="G217" s="207"/>
      <c r="I217" s="254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</row>
    <row r="218" spans="1:28" ht="12.75">
      <c r="A218" s="203"/>
      <c r="B218" s="203"/>
      <c r="D218" s="204"/>
      <c r="E218" s="205"/>
      <c r="F218" s="204"/>
      <c r="G218" s="204"/>
      <c r="I218" s="254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</row>
    <row r="219" spans="1:28" ht="12.75">
      <c r="A219" s="203"/>
      <c r="B219" s="203"/>
      <c r="D219" s="204"/>
      <c r="E219" s="205"/>
      <c r="F219" s="204"/>
      <c r="G219" s="204"/>
      <c r="I219" s="254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</row>
    <row r="220" spans="1:28" ht="12.75">
      <c r="A220" s="203"/>
      <c r="B220" s="203"/>
      <c r="D220" s="204"/>
      <c r="E220" s="205"/>
      <c r="F220" s="204"/>
      <c r="G220" s="204"/>
      <c r="I220" s="254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</row>
    <row r="221" spans="1:28" ht="12.75">
      <c r="A221" s="203"/>
      <c r="B221" s="203"/>
      <c r="D221" s="204"/>
      <c r="E221" s="205"/>
      <c r="F221" s="204"/>
      <c r="G221" s="204"/>
      <c r="I221" s="254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</row>
    <row r="222" spans="1:28" ht="12.75">
      <c r="A222" s="203"/>
      <c r="B222" s="203"/>
      <c r="D222" s="204"/>
      <c r="E222" s="205"/>
      <c r="F222" s="204"/>
      <c r="G222" s="204"/>
      <c r="I222" s="254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</row>
    <row r="223" spans="1:28" ht="12.75">
      <c r="A223" s="203"/>
      <c r="B223" s="203"/>
      <c r="D223" s="204"/>
      <c r="E223" s="205"/>
      <c r="F223" s="204"/>
      <c r="G223" s="204"/>
      <c r="I223" s="254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</row>
    <row r="224" spans="1:28" ht="12.75">
      <c r="A224" s="203"/>
      <c r="B224" s="203"/>
      <c r="D224" s="204"/>
      <c r="E224" s="205"/>
      <c r="F224" s="204"/>
      <c r="G224" s="204"/>
      <c r="I224" s="254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</row>
    <row r="225" spans="1:28" ht="12.75">
      <c r="A225" s="203"/>
      <c r="B225" s="203"/>
      <c r="D225" s="204"/>
      <c r="E225" s="205"/>
      <c r="F225" s="204"/>
      <c r="G225" s="204"/>
      <c r="I225" s="254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</row>
    <row r="226" spans="1:28" ht="12.75">
      <c r="A226" s="203"/>
      <c r="B226" s="203"/>
      <c r="D226" s="204"/>
      <c r="E226" s="205"/>
      <c r="F226" s="204"/>
      <c r="G226" s="204"/>
      <c r="I226" s="254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</row>
    <row r="227" spans="1:28" ht="12.75">
      <c r="A227" s="203"/>
      <c r="B227" s="203"/>
      <c r="D227" s="204"/>
      <c r="E227" s="205"/>
      <c r="F227" s="204"/>
      <c r="G227" s="204"/>
      <c r="I227" s="254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</row>
    <row r="228" spans="1:28" ht="12.75">
      <c r="A228" s="203"/>
      <c r="B228" s="203"/>
      <c r="D228" s="204"/>
      <c r="E228" s="205"/>
      <c r="F228" s="204"/>
      <c r="G228" s="204"/>
      <c r="I228" s="254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</row>
    <row r="229" spans="1:28" ht="12.75">
      <c r="A229" s="203"/>
      <c r="B229" s="203"/>
      <c r="D229" s="204"/>
      <c r="E229" s="205"/>
      <c r="F229" s="204"/>
      <c r="G229" s="204"/>
      <c r="I229" s="254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</row>
    <row r="230" spans="1:28" ht="12.75">
      <c r="A230" s="203"/>
      <c r="B230" s="203"/>
      <c r="D230" s="204"/>
      <c r="E230" s="205"/>
      <c r="F230" s="204"/>
      <c r="G230" s="204"/>
      <c r="I230" s="254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</row>
    <row r="231" spans="1:28" ht="12.75">
      <c r="A231" s="203"/>
      <c r="B231" s="203"/>
      <c r="D231" s="204"/>
      <c r="E231" s="205"/>
      <c r="F231" s="204"/>
      <c r="G231" s="204"/>
      <c r="I231" s="254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</row>
    <row r="232" spans="1:28" ht="12.75">
      <c r="A232" s="203"/>
      <c r="B232" s="203"/>
      <c r="D232" s="204"/>
      <c r="E232" s="205"/>
      <c r="F232" s="204"/>
      <c r="G232" s="204"/>
      <c r="I232" s="254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</row>
    <row r="233" spans="1:28" ht="12.75">
      <c r="A233" s="203"/>
      <c r="B233" s="203"/>
      <c r="D233" s="204"/>
      <c r="E233" s="205"/>
      <c r="F233" s="204"/>
      <c r="G233" s="204"/>
      <c r="I233" s="254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</row>
    <row r="234" spans="1:28" ht="12.75">
      <c r="A234" s="203"/>
      <c r="B234" s="203"/>
      <c r="D234" s="204"/>
      <c r="E234" s="205"/>
      <c r="F234" s="204"/>
      <c r="G234" s="204"/>
      <c r="I234" s="254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</row>
    <row r="235" spans="1:28" ht="12.75">
      <c r="A235" s="203"/>
      <c r="B235" s="203"/>
      <c r="D235" s="204"/>
      <c r="E235" s="205"/>
      <c r="F235" s="204"/>
      <c r="G235" s="204"/>
      <c r="I235" s="254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</row>
    <row r="236" spans="1:28" ht="12.75">
      <c r="A236" s="203"/>
      <c r="B236" s="203"/>
      <c r="D236" s="204"/>
      <c r="E236" s="205"/>
      <c r="F236" s="204"/>
      <c r="G236" s="204"/>
      <c r="I236" s="254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</row>
    <row r="237" spans="1:28" ht="12.75">
      <c r="A237" s="203"/>
      <c r="B237" s="203"/>
      <c r="D237" s="204"/>
      <c r="E237" s="205"/>
      <c r="F237" s="204"/>
      <c r="G237" s="208"/>
      <c r="I237" s="254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</row>
    <row r="238" spans="1:28" ht="12.75">
      <c r="A238" s="203"/>
      <c r="B238" s="203"/>
      <c r="D238" s="204"/>
      <c r="E238" s="205"/>
      <c r="F238" s="205"/>
      <c r="G238" s="208"/>
      <c r="I238" s="254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</row>
    <row r="239" spans="1:28" ht="12.75">
      <c r="A239" s="203"/>
      <c r="B239" s="203"/>
      <c r="D239" s="204"/>
      <c r="E239" s="205"/>
      <c r="F239" s="204"/>
      <c r="G239" s="208"/>
      <c r="I239" s="254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</row>
    <row r="240" spans="1:28" ht="12.75">
      <c r="A240" s="203"/>
      <c r="B240" s="203"/>
      <c r="D240" s="204"/>
      <c r="E240" s="205"/>
      <c r="F240" s="204"/>
      <c r="G240" s="208"/>
      <c r="I240" s="254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</row>
    <row r="241" spans="1:28" ht="12.75">
      <c r="A241" s="203"/>
      <c r="B241" s="203"/>
      <c r="D241" s="208"/>
      <c r="E241" s="205"/>
      <c r="F241" s="208"/>
      <c r="G241" s="208"/>
      <c r="I241" s="254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</row>
    <row r="242" spans="1:28" ht="12.75">
      <c r="A242" s="203"/>
      <c r="B242" s="203"/>
      <c r="D242" s="204"/>
      <c r="E242" s="205"/>
      <c r="F242" s="204"/>
      <c r="G242" s="208"/>
      <c r="I242" s="254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</row>
    <row r="243" spans="1:28" ht="12.75">
      <c r="A243" s="203"/>
      <c r="B243" s="203"/>
      <c r="D243" s="204"/>
      <c r="E243" s="205"/>
      <c r="F243" s="204"/>
      <c r="G243" s="204"/>
      <c r="I243" s="254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</row>
    <row r="244" spans="1:28" ht="12.75">
      <c r="A244" s="203"/>
      <c r="B244" s="203"/>
      <c r="D244" s="204"/>
      <c r="E244" s="205"/>
      <c r="F244" s="204"/>
      <c r="G244" s="204"/>
      <c r="I244" s="254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</row>
    <row r="245" spans="1:28" ht="12.75">
      <c r="A245" s="203"/>
      <c r="B245" s="203"/>
      <c r="D245" s="204"/>
      <c r="E245" s="205"/>
      <c r="F245" s="204"/>
      <c r="G245" s="204"/>
      <c r="I245" s="254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</row>
    <row r="246" spans="1:28" ht="12.75">
      <c r="A246" s="203"/>
      <c r="B246" s="203"/>
      <c r="D246" s="204"/>
      <c r="E246" s="205"/>
      <c r="F246" s="204"/>
      <c r="G246" s="204"/>
      <c r="I246" s="254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</row>
    <row r="247" spans="1:28" ht="12.75">
      <c r="A247" s="203"/>
      <c r="B247" s="203"/>
      <c r="D247" s="204"/>
      <c r="E247" s="205"/>
      <c r="F247" s="204"/>
      <c r="G247" s="204"/>
      <c r="I247" s="254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</row>
    <row r="248" spans="1:28" ht="12.75">
      <c r="A248" s="203"/>
      <c r="B248" s="203"/>
      <c r="D248" s="205"/>
      <c r="E248" s="205"/>
      <c r="F248" s="205"/>
      <c r="G248" s="205"/>
      <c r="I248" s="254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</row>
    <row r="249" spans="1:28" ht="12.75">
      <c r="A249" s="203"/>
      <c r="B249" s="203"/>
      <c r="D249" s="205"/>
      <c r="E249" s="205"/>
      <c r="F249" s="205"/>
      <c r="G249" s="205"/>
      <c r="I249" s="254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</row>
    <row r="250" spans="1:28" ht="12.75">
      <c r="A250" s="203"/>
      <c r="B250" s="203"/>
      <c r="D250" s="205"/>
      <c r="E250" s="205"/>
      <c r="F250" s="205"/>
      <c r="G250" s="205"/>
      <c r="I250" s="254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</row>
    <row r="251" spans="1:28" ht="12.75">
      <c r="A251" s="203"/>
      <c r="B251" s="203"/>
      <c r="D251" s="205"/>
      <c r="E251" s="205"/>
      <c r="F251" s="205"/>
      <c r="G251" s="205"/>
      <c r="I251" s="254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</row>
    <row r="252" spans="1:28" ht="12.75">
      <c r="A252" s="203"/>
      <c r="B252" s="203"/>
      <c r="D252" s="205"/>
      <c r="E252" s="205"/>
      <c r="F252" s="205"/>
      <c r="G252" s="205"/>
      <c r="I252" s="254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</row>
    <row r="253" spans="1:28" ht="12.75">
      <c r="A253" s="203"/>
      <c r="B253" s="203"/>
      <c r="D253" s="205"/>
      <c r="E253" s="205"/>
      <c r="F253" s="205"/>
      <c r="G253" s="205"/>
      <c r="I253" s="254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</row>
    <row r="254" spans="1:28" ht="12.75">
      <c r="A254" s="203"/>
      <c r="B254" s="203"/>
      <c r="D254" s="205"/>
      <c r="E254" s="205"/>
      <c r="F254" s="205"/>
      <c r="G254" s="205"/>
      <c r="I254" s="254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</row>
    <row r="255" spans="1:28" ht="12.75">
      <c r="A255" s="203"/>
      <c r="B255" s="203"/>
      <c r="D255" s="205"/>
      <c r="E255" s="205"/>
      <c r="F255" s="205"/>
      <c r="G255" s="205"/>
      <c r="I255" s="254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</row>
    <row r="256" spans="1:28" ht="12.75">
      <c r="A256" s="203"/>
      <c r="B256" s="203"/>
      <c r="D256" s="205"/>
      <c r="E256" s="205"/>
      <c r="F256" s="205"/>
      <c r="G256" s="205"/>
      <c r="I256" s="254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</row>
    <row r="257" spans="1:28" ht="12.75">
      <c r="A257" s="203"/>
      <c r="B257" s="203"/>
      <c r="D257" s="205"/>
      <c r="E257" s="205"/>
      <c r="F257" s="205"/>
      <c r="G257" s="205"/>
      <c r="I257" s="254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</row>
    <row r="258" spans="1:28" ht="12.75">
      <c r="A258" s="203"/>
      <c r="B258" s="203"/>
      <c r="D258" s="204"/>
      <c r="E258" s="205"/>
      <c r="F258" s="204"/>
      <c r="G258" s="204"/>
      <c r="I258" s="254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</row>
    <row r="259" spans="1:28" ht="12.75">
      <c r="A259" s="203"/>
      <c r="B259" s="203"/>
      <c r="D259" s="204"/>
      <c r="E259" s="205"/>
      <c r="F259" s="204"/>
      <c r="G259" s="204"/>
      <c r="I259" s="254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</row>
    <row r="260" spans="1:28" ht="12.75">
      <c r="A260" s="203"/>
      <c r="B260" s="203"/>
      <c r="D260" s="205"/>
      <c r="E260" s="205"/>
      <c r="F260" s="205"/>
      <c r="G260" s="205"/>
      <c r="I260" s="254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</row>
    <row r="261" spans="1:28" ht="12.75">
      <c r="A261" s="203"/>
      <c r="B261" s="203"/>
      <c r="D261" s="205"/>
      <c r="E261" s="205"/>
      <c r="F261" s="205"/>
      <c r="G261" s="205"/>
      <c r="I261" s="254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</row>
    <row r="262" spans="1:28" ht="12.75">
      <c r="A262" s="203"/>
      <c r="B262" s="203"/>
      <c r="D262" s="205"/>
      <c r="E262" s="205"/>
      <c r="F262" s="205"/>
      <c r="G262" s="205"/>
      <c r="I262" s="254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</row>
    <row r="263" spans="1:28" ht="12.75">
      <c r="A263" s="203"/>
      <c r="B263" s="203"/>
      <c r="D263" s="205"/>
      <c r="E263" s="205"/>
      <c r="F263" s="205"/>
      <c r="G263" s="205"/>
      <c r="I263" s="254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</row>
    <row r="264" spans="1:28" ht="12.75">
      <c r="A264" s="203"/>
      <c r="B264" s="203"/>
      <c r="D264" s="209"/>
      <c r="E264" s="205"/>
      <c r="F264" s="209"/>
      <c r="G264" s="209"/>
      <c r="I264" s="254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</row>
    <row r="265" spans="1:28" ht="12.75">
      <c r="A265" s="203"/>
      <c r="B265" s="203"/>
      <c r="D265" s="207"/>
      <c r="E265" s="205"/>
      <c r="F265" s="207"/>
      <c r="G265" s="207"/>
      <c r="I265" s="254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</row>
    <row r="266" spans="1:28" ht="12.75">
      <c r="A266" s="203"/>
      <c r="B266" s="203"/>
      <c r="D266" s="208"/>
      <c r="E266" s="205"/>
      <c r="F266" s="208"/>
      <c r="G266" s="208"/>
      <c r="I266" s="254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</row>
    <row r="267" spans="1:28" ht="12.75">
      <c r="A267" s="203"/>
      <c r="B267" s="203"/>
      <c r="D267" s="208"/>
      <c r="E267" s="205"/>
      <c r="F267" s="208"/>
      <c r="G267" s="208"/>
      <c r="I267" s="254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</row>
    <row r="268" spans="1:28" ht="12.75">
      <c r="A268" s="203"/>
      <c r="B268" s="203"/>
      <c r="D268" s="204"/>
      <c r="E268" s="205"/>
      <c r="F268" s="204"/>
      <c r="G268" s="208"/>
      <c r="I268" s="254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</row>
    <row r="269" spans="1:28" ht="12.75">
      <c r="A269" s="203"/>
      <c r="B269" s="203"/>
      <c r="D269" s="204"/>
      <c r="E269" s="205"/>
      <c r="F269" s="205"/>
      <c r="G269" s="208"/>
      <c r="I269" s="254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</row>
    <row r="270" spans="1:28" ht="12.75">
      <c r="A270" s="203"/>
      <c r="B270" s="203"/>
      <c r="D270" s="204"/>
      <c r="E270" s="205"/>
      <c r="F270" s="204"/>
      <c r="G270" s="208"/>
      <c r="I270" s="254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</row>
    <row r="271" spans="1:28" ht="12.75">
      <c r="A271" s="203"/>
      <c r="B271" s="203"/>
      <c r="D271" s="204"/>
      <c r="E271" s="205"/>
      <c r="F271" s="204"/>
      <c r="G271" s="208"/>
      <c r="I271" s="254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</row>
    <row r="272" spans="1:28" ht="12.75">
      <c r="A272" s="203"/>
      <c r="B272" s="203"/>
      <c r="D272" s="204"/>
      <c r="E272" s="205"/>
      <c r="F272" s="204"/>
      <c r="G272" s="208"/>
      <c r="I272" s="254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</row>
    <row r="273" spans="1:28" ht="12.75">
      <c r="A273" s="203"/>
      <c r="B273" s="203"/>
      <c r="D273" s="204"/>
      <c r="E273" s="205"/>
      <c r="F273" s="204"/>
      <c r="G273" s="208"/>
      <c r="I273" s="254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</row>
    <row r="274" spans="1:28" ht="12.75">
      <c r="A274" s="203"/>
      <c r="B274" s="203"/>
      <c r="D274" s="204"/>
      <c r="E274" s="205"/>
      <c r="F274" s="204"/>
      <c r="G274" s="208"/>
      <c r="I274" s="254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</row>
    <row r="275" spans="1:28" ht="12.75">
      <c r="A275" s="203"/>
      <c r="B275" s="203"/>
      <c r="D275" s="204"/>
      <c r="E275" s="205"/>
      <c r="F275" s="204"/>
      <c r="G275" s="208"/>
      <c r="I275" s="254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</row>
    <row r="276" spans="1:28" ht="12.75">
      <c r="A276" s="203"/>
      <c r="B276" s="203"/>
      <c r="D276" s="204"/>
      <c r="E276" s="205"/>
      <c r="F276" s="204"/>
      <c r="G276" s="208"/>
      <c r="I276" s="254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</row>
    <row r="277" spans="1:28" ht="12.75">
      <c r="A277" s="203"/>
      <c r="B277" s="203"/>
      <c r="D277" s="204"/>
      <c r="E277" s="205"/>
      <c r="F277" s="204"/>
      <c r="G277" s="208"/>
      <c r="I277" s="254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</row>
    <row r="278" spans="1:28" ht="12.75">
      <c r="A278" s="203"/>
      <c r="B278" s="203"/>
      <c r="D278" s="204"/>
      <c r="E278" s="205"/>
      <c r="F278" s="204"/>
      <c r="G278" s="207"/>
      <c r="I278" s="254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</row>
    <row r="279" spans="1:28" ht="12.75">
      <c r="A279" s="203"/>
      <c r="B279" s="203"/>
      <c r="D279" s="204"/>
      <c r="E279" s="205"/>
      <c r="F279" s="204"/>
      <c r="G279" s="208"/>
      <c r="I279" s="254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</row>
    <row r="280" spans="1:28" ht="12.75">
      <c r="A280" s="203"/>
      <c r="B280" s="203"/>
      <c r="D280" s="204"/>
      <c r="E280" s="205"/>
      <c r="F280" s="204"/>
      <c r="G280" s="204"/>
      <c r="I280" s="254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</row>
    <row r="281" spans="1:28" ht="12.75">
      <c r="A281" s="203"/>
      <c r="B281" s="203"/>
      <c r="D281" s="204"/>
      <c r="E281" s="205"/>
      <c r="F281" s="204"/>
      <c r="G281" s="208"/>
      <c r="I281" s="254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</row>
    <row r="282" spans="1:28" ht="12.75">
      <c r="A282" s="203"/>
      <c r="B282" s="203"/>
      <c r="D282" s="204"/>
      <c r="E282" s="205"/>
      <c r="F282" s="204"/>
      <c r="G282" s="204"/>
      <c r="I282" s="254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</row>
    <row r="283" spans="1:28" ht="12.75">
      <c r="A283" s="203"/>
      <c r="B283" s="203"/>
      <c r="D283" s="204"/>
      <c r="E283" s="205"/>
      <c r="F283" s="204"/>
      <c r="G283" s="204"/>
      <c r="I283" s="254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</row>
    <row r="284" spans="1:28" ht="12.75">
      <c r="A284" s="203"/>
      <c r="B284" s="203"/>
      <c r="D284" s="204"/>
      <c r="E284" s="205"/>
      <c r="F284" s="204"/>
      <c r="G284" s="204"/>
      <c r="I284" s="254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</row>
    <row r="285" spans="1:28" ht="12.75">
      <c r="A285" s="203"/>
      <c r="B285" s="203"/>
      <c r="D285" s="204"/>
      <c r="E285" s="205"/>
      <c r="F285" s="204"/>
      <c r="G285" s="204"/>
      <c r="I285" s="254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</row>
    <row r="286" spans="1:28" ht="12.75">
      <c r="A286" s="203"/>
      <c r="B286" s="203"/>
      <c r="D286" s="204"/>
      <c r="E286" s="205"/>
      <c r="F286" s="204"/>
      <c r="G286" s="204"/>
      <c r="I286" s="254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</row>
    <row r="287" spans="1:28" ht="12.75">
      <c r="A287" s="203"/>
      <c r="B287" s="203"/>
      <c r="D287" s="204"/>
      <c r="E287" s="205"/>
      <c r="F287" s="204"/>
      <c r="G287" s="204"/>
      <c r="I287" s="254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</row>
    <row r="288" spans="1:28" ht="12.75">
      <c r="A288" s="203"/>
      <c r="B288" s="203"/>
      <c r="D288" s="204"/>
      <c r="E288" s="205"/>
      <c r="F288" s="204"/>
      <c r="G288" s="204"/>
      <c r="I288" s="254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</row>
    <row r="289" spans="1:28" ht="12.75">
      <c r="A289" s="203"/>
      <c r="B289" s="203"/>
      <c r="D289" s="204"/>
      <c r="E289" s="205"/>
      <c r="F289" s="204"/>
      <c r="G289" s="204"/>
      <c r="I289" s="254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</row>
    <row r="290" spans="1:28" ht="12.75">
      <c r="A290" s="203"/>
      <c r="B290" s="203"/>
      <c r="D290" s="204"/>
      <c r="E290" s="205"/>
      <c r="F290" s="204"/>
      <c r="G290" s="204"/>
      <c r="I290" s="254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</row>
    <row r="291" spans="1:28" ht="12.75">
      <c r="A291" s="203"/>
      <c r="B291" s="203"/>
      <c r="D291" s="204"/>
      <c r="E291" s="205"/>
      <c r="F291" s="204"/>
      <c r="G291" s="204"/>
      <c r="I291" s="254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</row>
    <row r="292" spans="1:28" ht="12.75">
      <c r="A292" s="203"/>
      <c r="B292" s="203"/>
      <c r="D292" s="204"/>
      <c r="E292" s="205"/>
      <c r="F292" s="204"/>
      <c r="G292" s="204"/>
      <c r="I292" s="254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</row>
    <row r="293" spans="1:28" ht="12.75">
      <c r="A293" s="203"/>
      <c r="B293" s="203"/>
      <c r="D293" s="204"/>
      <c r="E293" s="205"/>
      <c r="F293" s="204"/>
      <c r="G293" s="204"/>
      <c r="I293" s="254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</row>
    <row r="294" spans="1:28" ht="12.75">
      <c r="A294" s="203"/>
      <c r="B294" s="203"/>
      <c r="D294" s="204"/>
      <c r="E294" s="205"/>
      <c r="F294" s="204"/>
      <c r="G294" s="204"/>
      <c r="I294" s="254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</row>
    <row r="295" spans="1:28" ht="12.75">
      <c r="A295" s="203"/>
      <c r="B295" s="203"/>
      <c r="D295" s="204"/>
      <c r="E295" s="205"/>
      <c r="F295" s="204"/>
      <c r="G295" s="204"/>
      <c r="I295" s="254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</row>
    <row r="296" spans="1:28" ht="12.75">
      <c r="A296" s="203"/>
      <c r="B296" s="203"/>
      <c r="D296" s="204"/>
      <c r="E296" s="205"/>
      <c r="F296" s="204"/>
      <c r="G296" s="204"/>
      <c r="I296" s="254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</row>
    <row r="297" spans="1:28" ht="12.75">
      <c r="A297" s="203"/>
      <c r="B297" s="203"/>
      <c r="D297" s="204"/>
      <c r="E297" s="205"/>
      <c r="F297" s="204"/>
      <c r="G297" s="204"/>
      <c r="I297" s="254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</row>
    <row r="298" spans="1:28" ht="12.75">
      <c r="A298" s="203"/>
      <c r="B298" s="203"/>
      <c r="D298" s="204"/>
      <c r="E298" s="205"/>
      <c r="F298" s="204"/>
      <c r="G298" s="204"/>
      <c r="I298" s="254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</row>
    <row r="299" spans="1:28" ht="12.75">
      <c r="A299" s="203"/>
      <c r="B299" s="203"/>
      <c r="D299" s="204"/>
      <c r="E299" s="205"/>
      <c r="F299" s="204"/>
      <c r="G299" s="204"/>
      <c r="I299" s="254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</row>
    <row r="300" spans="1:28" ht="12.75">
      <c r="A300" s="203"/>
      <c r="B300" s="203"/>
      <c r="D300" s="204"/>
      <c r="E300" s="205"/>
      <c r="F300" s="204"/>
      <c r="G300" s="204"/>
      <c r="I300" s="254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</row>
    <row r="301" spans="1:28" ht="12.75">
      <c r="A301" s="203"/>
      <c r="B301" s="203"/>
      <c r="D301" s="204"/>
      <c r="E301" s="205"/>
      <c r="F301" s="204"/>
      <c r="G301" s="204"/>
      <c r="I301" s="254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</row>
    <row r="302" spans="1:28" ht="12.75">
      <c r="A302" s="203"/>
      <c r="B302" s="203"/>
      <c r="D302" s="204"/>
      <c r="E302" s="205"/>
      <c r="F302" s="204"/>
      <c r="G302" s="204"/>
      <c r="I302" s="254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</row>
    <row r="303" spans="1:28" ht="12.75">
      <c r="A303" s="203"/>
      <c r="B303" s="203"/>
      <c r="D303" s="41"/>
      <c r="E303" s="205"/>
      <c r="F303" s="204"/>
      <c r="G303" s="204"/>
      <c r="I303" s="254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</row>
    <row r="304" spans="1:28" ht="12.75">
      <c r="A304" s="203"/>
      <c r="B304" s="203"/>
      <c r="D304" s="204"/>
      <c r="E304" s="205"/>
      <c r="F304" s="204"/>
      <c r="G304" s="204"/>
      <c r="I304" s="254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</row>
    <row r="305" spans="1:28" ht="12.75">
      <c r="A305" s="203"/>
      <c r="B305" s="203"/>
      <c r="D305" s="207"/>
      <c r="E305" s="205"/>
      <c r="F305" s="207"/>
      <c r="G305" s="207"/>
      <c r="I305" s="254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</row>
    <row r="306" spans="1:28" ht="12.75">
      <c r="A306" s="203"/>
      <c r="B306" s="203"/>
      <c r="D306" s="204"/>
      <c r="E306" s="205"/>
      <c r="F306" s="204"/>
      <c r="G306" s="204"/>
      <c r="I306" s="254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</row>
    <row r="307" spans="1:28" ht="12.75">
      <c r="A307" s="203"/>
      <c r="B307" s="203"/>
      <c r="D307" s="204"/>
      <c r="E307" s="205"/>
      <c r="F307" s="204"/>
      <c r="G307" s="204"/>
      <c r="I307" s="254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</row>
    <row r="308" spans="1:28" ht="12.75">
      <c r="A308" s="203"/>
      <c r="B308" s="203"/>
      <c r="D308" s="204"/>
      <c r="E308" s="205"/>
      <c r="F308" s="204"/>
      <c r="G308" s="204"/>
      <c r="I308" s="254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</row>
    <row r="309" spans="1:28" ht="12.75">
      <c r="A309" s="203"/>
      <c r="B309" s="203"/>
      <c r="D309" s="204"/>
      <c r="E309" s="205"/>
      <c r="F309" s="204"/>
      <c r="G309" s="204"/>
      <c r="I309" s="254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</row>
    <row r="310" spans="1:28" ht="12.75">
      <c r="A310" s="203"/>
      <c r="B310" s="203"/>
      <c r="D310" s="204"/>
      <c r="E310" s="205"/>
      <c r="F310" s="204"/>
      <c r="G310" s="204"/>
      <c r="I310" s="254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</row>
    <row r="311" spans="1:28" ht="12.75">
      <c r="A311" s="203"/>
      <c r="B311" s="203"/>
      <c r="D311" s="204"/>
      <c r="E311" s="205"/>
      <c r="F311" s="204"/>
      <c r="G311" s="204"/>
      <c r="I311" s="254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</row>
    <row r="312" spans="1:28" ht="12.75">
      <c r="A312" s="203"/>
      <c r="B312" s="203"/>
      <c r="D312" s="204"/>
      <c r="E312" s="205"/>
      <c r="F312" s="204"/>
      <c r="G312" s="204"/>
      <c r="I312" s="254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</row>
    <row r="313" spans="1:28" ht="12.75">
      <c r="A313" s="203"/>
      <c r="B313" s="203"/>
      <c r="D313" s="204"/>
      <c r="E313" s="205"/>
      <c r="F313" s="204"/>
      <c r="G313" s="204"/>
      <c r="I313" s="254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</row>
    <row r="314" spans="1:28" ht="12.75">
      <c r="A314" s="203"/>
      <c r="B314" s="203"/>
      <c r="D314" s="204"/>
      <c r="E314" s="205"/>
      <c r="F314" s="204"/>
      <c r="G314" s="204"/>
      <c r="I314" s="254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</row>
    <row r="315" spans="1:28" ht="12.75">
      <c r="A315" s="203"/>
      <c r="B315" s="203"/>
      <c r="D315" s="204"/>
      <c r="E315" s="205"/>
      <c r="F315" s="204"/>
      <c r="G315" s="204"/>
      <c r="I315" s="254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</row>
    <row r="316" spans="1:28" ht="12.75">
      <c r="A316" s="203"/>
      <c r="B316" s="203"/>
      <c r="D316" s="204"/>
      <c r="E316" s="205"/>
      <c r="F316" s="204"/>
      <c r="G316" s="204"/>
      <c r="I316" s="254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</row>
    <row r="317" spans="1:28" ht="12.75">
      <c r="A317" s="203"/>
      <c r="B317" s="203"/>
      <c r="D317" s="204"/>
      <c r="E317" s="205"/>
      <c r="F317" s="204"/>
      <c r="G317" s="204"/>
      <c r="I317" s="254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</row>
    <row r="318" spans="1:28" ht="12.75">
      <c r="A318" s="203"/>
      <c r="B318" s="203"/>
      <c r="D318" s="204"/>
      <c r="E318" s="205"/>
      <c r="F318" s="204"/>
      <c r="G318" s="204"/>
      <c r="I318" s="254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</row>
    <row r="319" spans="1:28" ht="12.75">
      <c r="A319" s="203"/>
      <c r="B319" s="203"/>
      <c r="D319" s="204"/>
      <c r="E319" s="205"/>
      <c r="F319" s="204"/>
      <c r="G319" s="204"/>
      <c r="I319" s="254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</row>
    <row r="320" spans="1:28" ht="12.75">
      <c r="A320" s="203"/>
      <c r="B320" s="203"/>
      <c r="D320" s="204"/>
      <c r="E320" s="205"/>
      <c r="F320" s="204"/>
      <c r="G320" s="204"/>
      <c r="I320" s="254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</row>
    <row r="321" spans="1:28" ht="12.75">
      <c r="A321" s="203"/>
      <c r="B321" s="203"/>
      <c r="D321" s="204"/>
      <c r="E321" s="205"/>
      <c r="F321" s="204"/>
      <c r="G321" s="204"/>
      <c r="I321" s="254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</row>
    <row r="322" spans="1:28" ht="12.75">
      <c r="A322" s="203"/>
      <c r="B322" s="203"/>
      <c r="D322" s="204"/>
      <c r="E322" s="205"/>
      <c r="F322" s="204"/>
      <c r="G322" s="204"/>
      <c r="I322" s="254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</row>
    <row r="323" spans="1:28" ht="12.75">
      <c r="A323" s="203"/>
      <c r="B323" s="203"/>
      <c r="D323" s="204"/>
      <c r="E323" s="205"/>
      <c r="F323" s="204"/>
      <c r="G323" s="204"/>
      <c r="I323" s="254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</row>
    <row r="324" spans="1:28" ht="12.75">
      <c r="A324" s="203"/>
      <c r="B324" s="203"/>
      <c r="D324" s="204"/>
      <c r="E324" s="205"/>
      <c r="F324" s="204"/>
      <c r="G324" s="204"/>
      <c r="I324" s="254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</row>
    <row r="325" spans="1:28" ht="12.75">
      <c r="A325" s="203"/>
      <c r="B325" s="203"/>
      <c r="D325" s="204"/>
      <c r="E325" s="205"/>
      <c r="F325" s="204"/>
      <c r="G325" s="208"/>
      <c r="I325" s="254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</row>
    <row r="326" spans="1:28" ht="12.75">
      <c r="A326" s="203"/>
      <c r="B326" s="203"/>
      <c r="D326" s="204"/>
      <c r="E326" s="205"/>
      <c r="F326" s="205"/>
      <c r="G326" s="208"/>
      <c r="I326" s="254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</row>
    <row r="327" spans="1:28" ht="12.75">
      <c r="A327" s="203"/>
      <c r="B327" s="203"/>
      <c r="D327" s="204"/>
      <c r="E327" s="205"/>
      <c r="F327" s="204"/>
      <c r="G327" s="208"/>
      <c r="I327" s="254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</row>
    <row r="328" spans="1:28" ht="12.75">
      <c r="A328" s="203"/>
      <c r="B328" s="203"/>
      <c r="D328" s="204"/>
      <c r="E328" s="205"/>
      <c r="F328" s="204"/>
      <c r="G328" s="208"/>
      <c r="I328" s="254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</row>
    <row r="329" spans="1:28" ht="12.75">
      <c r="A329" s="203"/>
      <c r="B329" s="203"/>
      <c r="D329" s="208"/>
      <c r="E329" s="205"/>
      <c r="F329" s="208"/>
      <c r="G329" s="208"/>
      <c r="I329" s="254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</row>
    <row r="330" spans="1:28" ht="12.75">
      <c r="A330" s="203"/>
      <c r="B330" s="203"/>
      <c r="D330" s="204"/>
      <c r="E330" s="205"/>
      <c r="F330" s="204"/>
      <c r="G330" s="208"/>
      <c r="I330" s="254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</row>
    <row r="331" spans="1:28" ht="12.75">
      <c r="A331" s="203"/>
      <c r="B331" s="203"/>
      <c r="D331" s="204"/>
      <c r="E331" s="205"/>
      <c r="F331" s="204"/>
      <c r="G331" s="204"/>
      <c r="I331" s="254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</row>
    <row r="332" spans="1:28" ht="12.75">
      <c r="A332" s="203"/>
      <c r="B332" s="203"/>
      <c r="D332" s="204"/>
      <c r="E332" s="205"/>
      <c r="F332" s="204"/>
      <c r="G332" s="204"/>
      <c r="I332" s="254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</row>
    <row r="333" spans="1:28" ht="12.75">
      <c r="A333" s="203"/>
      <c r="B333" s="203"/>
      <c r="D333" s="204"/>
      <c r="E333" s="205"/>
      <c r="F333" s="204"/>
      <c r="G333" s="204"/>
      <c r="I333" s="254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</row>
    <row r="334" spans="1:28" ht="12.75">
      <c r="A334" s="203"/>
      <c r="B334" s="203"/>
      <c r="D334" s="204"/>
      <c r="E334" s="205"/>
      <c r="F334" s="204"/>
      <c r="G334" s="204"/>
      <c r="I334" s="254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</row>
    <row r="335" spans="1:28" ht="12.75">
      <c r="A335" s="203"/>
      <c r="B335" s="203"/>
      <c r="D335" s="204"/>
      <c r="E335" s="205"/>
      <c r="F335" s="204"/>
      <c r="G335" s="204"/>
      <c r="I335" s="254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</row>
    <row r="336" spans="1:28" ht="12.75">
      <c r="A336" s="203"/>
      <c r="B336" s="203"/>
      <c r="D336" s="205"/>
      <c r="E336" s="205"/>
      <c r="F336" s="205"/>
      <c r="G336" s="205"/>
      <c r="I336" s="254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</row>
    <row r="337" spans="1:28" ht="12.75">
      <c r="A337" s="203"/>
      <c r="B337" s="203"/>
      <c r="D337" s="205"/>
      <c r="E337" s="205"/>
      <c r="F337" s="205"/>
      <c r="G337" s="205"/>
      <c r="I337" s="254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</row>
    <row r="338" spans="1:28" ht="12.75">
      <c r="A338" s="203"/>
      <c r="B338" s="203"/>
      <c r="D338" s="205"/>
      <c r="E338" s="205"/>
      <c r="F338" s="205"/>
      <c r="G338" s="205"/>
      <c r="I338" s="254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</row>
    <row r="339" spans="1:28" ht="12.75">
      <c r="A339" s="203"/>
      <c r="B339" s="203"/>
      <c r="D339" s="205"/>
      <c r="E339" s="205"/>
      <c r="F339" s="205"/>
      <c r="G339" s="205"/>
      <c r="I339" s="254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</row>
    <row r="340" spans="1:28" ht="12.75">
      <c r="A340" s="203"/>
      <c r="B340" s="203"/>
      <c r="D340" s="205"/>
      <c r="E340" s="205"/>
      <c r="F340" s="205"/>
      <c r="G340" s="205"/>
      <c r="I340" s="254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</row>
    <row r="341" spans="1:28" ht="12.75">
      <c r="A341" s="203"/>
      <c r="B341" s="203"/>
      <c r="D341" s="205"/>
      <c r="E341" s="205"/>
      <c r="F341" s="205"/>
      <c r="G341" s="205"/>
      <c r="I341" s="254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</row>
    <row r="342" spans="1:28" ht="12.75">
      <c r="A342" s="203"/>
      <c r="B342" s="203"/>
      <c r="D342" s="205"/>
      <c r="E342" s="205"/>
      <c r="F342" s="205"/>
      <c r="G342" s="205"/>
      <c r="I342" s="254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</row>
    <row r="343" spans="1:28" ht="12.75">
      <c r="A343" s="203"/>
      <c r="B343" s="203"/>
      <c r="D343" s="205"/>
      <c r="E343" s="205"/>
      <c r="F343" s="205"/>
      <c r="G343" s="205"/>
      <c r="I343" s="254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</row>
    <row r="344" spans="1:28" ht="12.75">
      <c r="A344" s="203"/>
      <c r="B344" s="203"/>
      <c r="D344" s="205"/>
      <c r="E344" s="205"/>
      <c r="F344" s="205"/>
      <c r="G344" s="205"/>
      <c r="I344" s="254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</row>
    <row r="345" spans="1:28" ht="12.75">
      <c r="A345" s="203"/>
      <c r="B345" s="203"/>
      <c r="D345" s="205"/>
      <c r="E345" s="205"/>
      <c r="F345" s="205"/>
      <c r="G345" s="205"/>
      <c r="I345" s="254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</row>
    <row r="346" spans="1:28" ht="12.75">
      <c r="A346" s="203"/>
      <c r="B346" s="203"/>
      <c r="D346" s="204"/>
      <c r="E346" s="205"/>
      <c r="F346" s="204"/>
      <c r="G346" s="204"/>
      <c r="I346" s="254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</row>
    <row r="347" spans="1:28" ht="12.75">
      <c r="A347" s="203"/>
      <c r="B347" s="203"/>
      <c r="D347" s="204"/>
      <c r="E347" s="205"/>
      <c r="F347" s="204"/>
      <c r="G347" s="204"/>
      <c r="I347" s="254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</row>
    <row r="348" spans="1:28" ht="12.75">
      <c r="A348" s="203"/>
      <c r="B348" s="203"/>
      <c r="D348" s="205"/>
      <c r="E348" s="205"/>
      <c r="F348" s="205"/>
      <c r="G348" s="205"/>
      <c r="I348" s="254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</row>
    <row r="349" spans="1:28" ht="12.75">
      <c r="A349" s="203"/>
      <c r="B349" s="203"/>
      <c r="D349" s="205"/>
      <c r="E349" s="205"/>
      <c r="F349" s="205"/>
      <c r="G349" s="205"/>
      <c r="I349" s="254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</row>
    <row r="350" spans="1:28" ht="12.75">
      <c r="A350" s="203"/>
      <c r="B350" s="203"/>
      <c r="D350" s="205"/>
      <c r="E350" s="205"/>
      <c r="F350" s="205"/>
      <c r="G350" s="205"/>
      <c r="I350" s="254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</row>
    <row r="351" spans="1:28" ht="12.75">
      <c r="A351" s="203"/>
      <c r="B351" s="203"/>
      <c r="D351" s="205"/>
      <c r="E351" s="205"/>
      <c r="F351" s="205"/>
      <c r="G351" s="205"/>
      <c r="I351" s="254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</row>
    <row r="352" spans="1:28" ht="12.75">
      <c r="A352" s="203"/>
      <c r="B352" s="203"/>
      <c r="D352" s="209"/>
      <c r="E352" s="205"/>
      <c r="F352" s="209"/>
      <c r="G352" s="209"/>
      <c r="I352" s="254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</row>
    <row r="353" spans="1:28" ht="12.75">
      <c r="A353" s="203"/>
      <c r="B353" s="203"/>
      <c r="D353" s="207"/>
      <c r="E353" s="205"/>
      <c r="F353" s="207"/>
      <c r="G353" s="207"/>
      <c r="I353" s="254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</row>
    <row r="354" spans="1:28" ht="12.75">
      <c r="A354" s="203"/>
      <c r="B354" s="203"/>
      <c r="D354" s="208"/>
      <c r="E354" s="205"/>
      <c r="F354" s="208"/>
      <c r="G354" s="208"/>
      <c r="I354" s="254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</row>
    <row r="355" spans="1:28" ht="12.75">
      <c r="A355" s="203"/>
      <c r="B355" s="203"/>
      <c r="D355" s="208"/>
      <c r="E355" s="205"/>
      <c r="F355" s="208"/>
      <c r="G355" s="208"/>
      <c r="I355" s="254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</row>
    <row r="356" spans="1:28" ht="12.75">
      <c r="A356" s="203"/>
      <c r="B356" s="203"/>
      <c r="D356" s="204"/>
      <c r="E356" s="205"/>
      <c r="F356" s="204"/>
      <c r="G356" s="208"/>
      <c r="I356" s="254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</row>
    <row r="357" spans="1:28" ht="12.75">
      <c r="A357" s="203"/>
      <c r="B357" s="203"/>
      <c r="D357" s="204"/>
      <c r="E357" s="205"/>
      <c r="F357" s="205"/>
      <c r="G357" s="208"/>
      <c r="I357" s="254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</row>
    <row r="358" spans="1:28" ht="12.75">
      <c r="A358" s="203"/>
      <c r="B358" s="203"/>
      <c r="D358" s="204"/>
      <c r="E358" s="205"/>
      <c r="F358" s="204"/>
      <c r="G358" s="208"/>
      <c r="I358" s="254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</row>
    <row r="359" spans="1:28" ht="12.75">
      <c r="A359" s="203"/>
      <c r="B359" s="203"/>
      <c r="D359" s="204"/>
      <c r="E359" s="205"/>
      <c r="F359" s="204"/>
      <c r="G359" s="208"/>
      <c r="I359" s="254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</row>
    <row r="360" spans="1:28" ht="12.75">
      <c r="A360" s="203"/>
      <c r="B360" s="203"/>
      <c r="D360" s="204"/>
      <c r="E360" s="205"/>
      <c r="F360" s="204"/>
      <c r="G360" s="208"/>
      <c r="I360" s="254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</row>
    <row r="361" spans="1:28" ht="12.75">
      <c r="A361" s="203"/>
      <c r="B361" s="203"/>
      <c r="D361" s="204"/>
      <c r="E361" s="205"/>
      <c r="F361" s="204"/>
      <c r="G361" s="208"/>
      <c r="I361" s="254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</row>
    <row r="362" spans="1:28" ht="12.75">
      <c r="A362" s="203"/>
      <c r="B362" s="203"/>
      <c r="D362" s="204"/>
      <c r="E362" s="205"/>
      <c r="F362" s="204"/>
      <c r="G362" s="208"/>
      <c r="I362" s="254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</row>
    <row r="363" spans="1:28" ht="12.75">
      <c r="A363" s="203"/>
      <c r="B363" s="203"/>
      <c r="D363" s="204"/>
      <c r="E363" s="205"/>
      <c r="F363" s="204"/>
      <c r="G363" s="208"/>
      <c r="I363" s="254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</row>
    <row r="364" spans="1:28" ht="12.75">
      <c r="A364" s="203"/>
      <c r="B364" s="203"/>
      <c r="D364" s="204"/>
      <c r="E364" s="205"/>
      <c r="F364" s="204"/>
      <c r="G364" s="208"/>
      <c r="I364" s="254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</row>
    <row r="365" spans="1:28" ht="12.75">
      <c r="A365" s="203"/>
      <c r="B365" s="203"/>
      <c r="D365" s="204"/>
      <c r="E365" s="205"/>
      <c r="F365" s="204"/>
      <c r="G365" s="208"/>
      <c r="I365" s="254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</row>
    <row r="366" spans="1:28" ht="12.75">
      <c r="A366" s="203"/>
      <c r="B366" s="203"/>
      <c r="D366" s="204"/>
      <c r="E366" s="205"/>
      <c r="F366" s="204"/>
      <c r="G366" s="207"/>
      <c r="I366" s="254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</row>
    <row r="367" spans="1:28" ht="12.75">
      <c r="A367" s="203"/>
      <c r="B367" s="203"/>
      <c r="D367" s="204"/>
      <c r="E367" s="205"/>
      <c r="F367" s="204"/>
      <c r="G367" s="208"/>
      <c r="I367" s="254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</row>
    <row r="368" spans="1:28" ht="12.75">
      <c r="A368" s="203"/>
      <c r="B368" s="203"/>
      <c r="D368" s="204"/>
      <c r="E368" s="205"/>
      <c r="F368" s="204"/>
      <c r="G368" s="204"/>
      <c r="I368" s="254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</row>
    <row r="369" spans="1:28" ht="12.75">
      <c r="A369" s="203"/>
      <c r="B369" s="203"/>
      <c r="D369" s="204"/>
      <c r="E369" s="205"/>
      <c r="F369" s="204"/>
      <c r="G369" s="208"/>
      <c r="I369" s="254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</row>
    <row r="370" spans="1:28" ht="12.75">
      <c r="A370" s="203"/>
      <c r="B370" s="203"/>
      <c r="D370" s="204"/>
      <c r="E370" s="205"/>
      <c r="F370" s="204"/>
      <c r="G370" s="204"/>
      <c r="I370" s="254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</row>
    <row r="371" spans="1:28" ht="12.75">
      <c r="A371" s="203"/>
      <c r="B371" s="203"/>
      <c r="D371" s="204"/>
      <c r="E371" s="205"/>
      <c r="F371" s="204"/>
      <c r="G371" s="204"/>
      <c r="I371" s="254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</row>
    <row r="372" spans="1:28" ht="12.75">
      <c r="A372" s="203"/>
      <c r="B372" s="203"/>
      <c r="D372" s="204"/>
      <c r="E372" s="205"/>
      <c r="F372" s="204"/>
      <c r="G372" s="204"/>
      <c r="I372" s="254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</row>
    <row r="373" spans="1:28" ht="12.75">
      <c r="A373" s="203"/>
      <c r="B373" s="203"/>
      <c r="D373" s="204"/>
      <c r="E373" s="205"/>
      <c r="F373" s="204"/>
      <c r="G373" s="204"/>
      <c r="I373" s="254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</row>
    <row r="374" spans="1:28" ht="12.75">
      <c r="A374" s="203"/>
      <c r="B374" s="203"/>
      <c r="D374" s="204"/>
      <c r="E374" s="205"/>
      <c r="F374" s="204"/>
      <c r="G374" s="204"/>
      <c r="I374" s="254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</row>
    <row r="375" spans="1:28" ht="12.75">
      <c r="A375" s="203"/>
      <c r="B375" s="203"/>
      <c r="D375" s="204"/>
      <c r="E375" s="205"/>
      <c r="F375" s="204"/>
      <c r="G375" s="204"/>
      <c r="I375" s="254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</row>
    <row r="376" spans="1:28" ht="12.75">
      <c r="A376" s="203"/>
      <c r="B376" s="203"/>
      <c r="D376" s="204"/>
      <c r="E376" s="205"/>
      <c r="F376" s="204"/>
      <c r="G376" s="204"/>
      <c r="I376" s="254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</row>
    <row r="377" spans="1:28" ht="12.75">
      <c r="A377" s="203"/>
      <c r="B377" s="203"/>
      <c r="D377" s="204"/>
      <c r="E377" s="205"/>
      <c r="F377" s="204"/>
      <c r="G377" s="204"/>
      <c r="I377" s="254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</row>
    <row r="378" spans="1:28" ht="12.75">
      <c r="A378" s="203"/>
      <c r="B378" s="203"/>
      <c r="D378" s="204"/>
      <c r="E378" s="205"/>
      <c r="F378" s="204"/>
      <c r="G378" s="204"/>
      <c r="I378" s="254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</row>
    <row r="379" spans="1:28" ht="12.75">
      <c r="A379" s="203"/>
      <c r="B379" s="203"/>
      <c r="D379" s="204"/>
      <c r="E379" s="205"/>
      <c r="F379" s="204"/>
      <c r="G379" s="204"/>
      <c r="I379" s="254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</row>
    <row r="380" spans="1:28" ht="12.75">
      <c r="A380" s="203"/>
      <c r="B380" s="203"/>
      <c r="D380" s="204"/>
      <c r="E380" s="205"/>
      <c r="F380" s="204"/>
      <c r="G380" s="204"/>
      <c r="I380" s="254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</row>
    <row r="381" spans="1:28" ht="12.75">
      <c r="A381" s="203"/>
      <c r="B381" s="203"/>
      <c r="D381" s="204"/>
      <c r="E381" s="205"/>
      <c r="F381" s="204"/>
      <c r="G381" s="204"/>
      <c r="I381" s="254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</row>
    <row r="382" spans="1:28" ht="12.75">
      <c r="A382" s="203"/>
      <c r="B382" s="203"/>
      <c r="D382" s="204"/>
      <c r="E382" s="205"/>
      <c r="F382" s="204"/>
      <c r="G382" s="204"/>
      <c r="I382" s="254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</row>
    <row r="383" spans="1:28" ht="12.75">
      <c r="A383" s="203"/>
      <c r="B383" s="203"/>
      <c r="D383" s="204"/>
      <c r="E383" s="205"/>
      <c r="F383" s="204"/>
      <c r="G383" s="204"/>
      <c r="I383" s="254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</row>
    <row r="384" spans="1:28" ht="12.75">
      <c r="A384" s="203"/>
      <c r="B384" s="203"/>
      <c r="D384" s="204"/>
      <c r="E384" s="205"/>
      <c r="F384" s="204"/>
      <c r="G384" s="204"/>
      <c r="I384" s="254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</row>
    <row r="385" spans="1:28" ht="12.75">
      <c r="A385" s="203"/>
      <c r="B385" s="203"/>
      <c r="D385" s="204"/>
      <c r="E385" s="205"/>
      <c r="F385" s="204"/>
      <c r="G385" s="204"/>
      <c r="I385" s="254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</row>
    <row r="386" spans="1:28" ht="12.75">
      <c r="A386" s="203"/>
      <c r="B386" s="203"/>
      <c r="D386" s="204"/>
      <c r="E386" s="205"/>
      <c r="F386" s="204"/>
      <c r="G386" s="204"/>
      <c r="I386" s="254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</row>
    <row r="387" spans="1:28" ht="12.75">
      <c r="A387" s="203"/>
      <c r="B387" s="203"/>
      <c r="D387" s="204"/>
      <c r="E387" s="205"/>
      <c r="F387" s="204"/>
      <c r="G387" s="204"/>
      <c r="I387" s="254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</row>
    <row r="388" spans="1:28" ht="12.75">
      <c r="A388" s="203"/>
      <c r="B388" s="203"/>
      <c r="D388" s="204"/>
      <c r="E388" s="205"/>
      <c r="F388" s="204"/>
      <c r="G388" s="204"/>
      <c r="I388" s="254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</row>
    <row r="389" spans="1:28" ht="12.75">
      <c r="A389" s="203"/>
      <c r="B389" s="203"/>
      <c r="D389" s="204"/>
      <c r="E389" s="205"/>
      <c r="F389" s="204"/>
      <c r="G389" s="204"/>
      <c r="I389" s="254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</row>
    <row r="390" spans="1:28" ht="12.75">
      <c r="A390" s="203"/>
      <c r="B390" s="203"/>
      <c r="D390" s="204"/>
      <c r="E390" s="205"/>
      <c r="F390" s="204"/>
      <c r="G390" s="204"/>
      <c r="I390" s="254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</row>
    <row r="391" spans="1:28" ht="12.75">
      <c r="A391" s="203"/>
      <c r="B391" s="203"/>
      <c r="D391" s="41"/>
      <c r="E391" s="205"/>
      <c r="F391" s="204"/>
      <c r="G391" s="204"/>
      <c r="I391" s="254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</row>
    <row r="392" spans="1:28" ht="12.75">
      <c r="A392" s="203"/>
      <c r="B392" s="203"/>
      <c r="D392" s="204"/>
      <c r="E392" s="205"/>
      <c r="F392" s="204"/>
      <c r="G392" s="204"/>
      <c r="I392" s="254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</row>
    <row r="393" spans="1:28" ht="12.75">
      <c r="A393" s="203"/>
      <c r="B393" s="203"/>
      <c r="D393" s="207"/>
      <c r="E393" s="205"/>
      <c r="F393" s="207"/>
      <c r="G393" s="207"/>
      <c r="I393" s="254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</row>
    <row r="394" spans="1:28" ht="12.75">
      <c r="A394" s="203"/>
      <c r="B394" s="203"/>
      <c r="D394" s="204"/>
      <c r="E394" s="205"/>
      <c r="F394" s="204"/>
      <c r="G394" s="204"/>
      <c r="I394" s="254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</row>
    <row r="395" spans="1:28" ht="12.75">
      <c r="A395" s="203"/>
      <c r="B395" s="203"/>
      <c r="D395" s="204"/>
      <c r="E395" s="205"/>
      <c r="F395" s="204"/>
      <c r="G395" s="204"/>
      <c r="I395" s="254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</row>
    <row r="396" spans="1:28" ht="12.75">
      <c r="A396" s="203"/>
      <c r="B396" s="203"/>
      <c r="D396" s="204"/>
      <c r="E396" s="205"/>
      <c r="F396" s="204"/>
      <c r="G396" s="204"/>
      <c r="I396" s="254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</row>
    <row r="397" spans="1:28" ht="12.75">
      <c r="A397" s="203"/>
      <c r="B397" s="203"/>
      <c r="D397" s="204"/>
      <c r="E397" s="205"/>
      <c r="F397" s="204"/>
      <c r="G397" s="204"/>
      <c r="I397" s="254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</row>
    <row r="398" spans="1:28" ht="12.75">
      <c r="A398" s="203"/>
      <c r="B398" s="203"/>
      <c r="D398" s="204"/>
      <c r="E398" s="205"/>
      <c r="F398" s="204"/>
      <c r="G398" s="204"/>
      <c r="I398" s="254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</row>
    <row r="399" spans="1:28" ht="12.75">
      <c r="A399" s="203"/>
      <c r="B399" s="203"/>
      <c r="D399" s="204"/>
      <c r="E399" s="205"/>
      <c r="F399" s="204"/>
      <c r="G399" s="204"/>
      <c r="I399" s="254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</row>
    <row r="400" spans="1:28" ht="12.75">
      <c r="A400" s="203"/>
      <c r="B400" s="203"/>
      <c r="D400" s="204"/>
      <c r="E400" s="205"/>
      <c r="F400" s="204"/>
      <c r="G400" s="204"/>
      <c r="I400" s="254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</row>
    <row r="401" spans="1:28" ht="12.75">
      <c r="A401" s="203"/>
      <c r="B401" s="203"/>
      <c r="D401" s="204"/>
      <c r="E401" s="205"/>
      <c r="F401" s="204"/>
      <c r="G401" s="204"/>
      <c r="I401" s="254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</row>
    <row r="402" spans="1:28" ht="12.75">
      <c r="A402" s="203"/>
      <c r="B402" s="203"/>
      <c r="D402" s="204"/>
      <c r="E402" s="205"/>
      <c r="F402" s="204"/>
      <c r="G402" s="204"/>
      <c r="I402" s="254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</row>
    <row r="403" spans="1:28" ht="12.75">
      <c r="A403" s="203"/>
      <c r="B403" s="203"/>
      <c r="D403" s="204"/>
      <c r="E403" s="205"/>
      <c r="F403" s="204"/>
      <c r="G403" s="204"/>
      <c r="I403" s="254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</row>
    <row r="404" spans="1:28" ht="12.75">
      <c r="A404" s="203"/>
      <c r="B404" s="203"/>
      <c r="D404" s="204"/>
      <c r="E404" s="205"/>
      <c r="F404" s="204"/>
      <c r="G404" s="204"/>
      <c r="I404" s="254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</row>
    <row r="405" spans="1:28" ht="12.75">
      <c r="A405" s="203"/>
      <c r="B405" s="203"/>
      <c r="D405" s="204"/>
      <c r="E405" s="205"/>
      <c r="F405" s="204"/>
      <c r="G405" s="204"/>
      <c r="I405" s="254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</row>
    <row r="406" spans="1:28" ht="12.75">
      <c r="A406" s="203"/>
      <c r="B406" s="203"/>
      <c r="D406" s="204"/>
      <c r="E406" s="205"/>
      <c r="F406" s="204"/>
      <c r="G406" s="204"/>
      <c r="I406" s="254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</row>
    <row r="407" spans="1:28" ht="12.75">
      <c r="A407" s="203"/>
      <c r="B407" s="203"/>
      <c r="D407" s="204"/>
      <c r="E407" s="205"/>
      <c r="F407" s="204"/>
      <c r="G407" s="204"/>
      <c r="I407" s="254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</row>
    <row r="408" spans="1:28" ht="12.75">
      <c r="A408" s="203"/>
      <c r="B408" s="203"/>
      <c r="D408" s="204"/>
      <c r="E408" s="205"/>
      <c r="F408" s="204"/>
      <c r="G408" s="204"/>
      <c r="I408" s="254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</row>
    <row r="409" spans="1:28" ht="12.75">
      <c r="A409" s="203"/>
      <c r="B409" s="203"/>
      <c r="D409" s="204"/>
      <c r="E409" s="205"/>
      <c r="F409" s="204"/>
      <c r="G409" s="204"/>
      <c r="I409" s="254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</row>
    <row r="410" spans="1:28" ht="12.75">
      <c r="A410" s="203"/>
      <c r="B410" s="203"/>
      <c r="D410" s="204"/>
      <c r="E410" s="205"/>
      <c r="F410" s="204"/>
      <c r="G410" s="204"/>
      <c r="I410" s="254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</row>
    <row r="411" spans="1:28" ht="12.75">
      <c r="A411" s="203"/>
      <c r="B411" s="203"/>
      <c r="D411" s="204"/>
      <c r="E411" s="205"/>
      <c r="F411" s="204"/>
      <c r="G411" s="204"/>
      <c r="I411" s="254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</row>
    <row r="412" spans="1:28" ht="12.75">
      <c r="A412" s="203"/>
      <c r="B412" s="203"/>
      <c r="D412" s="204"/>
      <c r="E412" s="205"/>
      <c r="F412" s="204"/>
      <c r="G412" s="204"/>
      <c r="I412" s="254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</row>
    <row r="413" spans="1:28" ht="12.75">
      <c r="A413" s="203"/>
      <c r="B413" s="203"/>
      <c r="D413" s="204"/>
      <c r="E413" s="205"/>
      <c r="F413" s="204"/>
      <c r="G413" s="208"/>
      <c r="I413" s="254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</row>
    <row r="414" spans="1:28" ht="12.75">
      <c r="A414" s="203"/>
      <c r="B414" s="203"/>
      <c r="D414" s="204"/>
      <c r="E414" s="205"/>
      <c r="F414" s="205"/>
      <c r="G414" s="208"/>
      <c r="I414" s="254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</row>
    <row r="415" spans="1:28" ht="12.75">
      <c r="A415" s="203"/>
      <c r="B415" s="203"/>
      <c r="D415" s="204"/>
      <c r="E415" s="205"/>
      <c r="F415" s="204"/>
      <c r="G415" s="208"/>
      <c r="I415" s="254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</row>
    <row r="416" spans="1:28" ht="12.75">
      <c r="A416" s="203"/>
      <c r="B416" s="203"/>
      <c r="D416" s="204"/>
      <c r="E416" s="205"/>
      <c r="F416" s="204"/>
      <c r="G416" s="208"/>
      <c r="I416" s="254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</row>
    <row r="417" spans="1:28" ht="12.75">
      <c r="A417" s="203"/>
      <c r="B417" s="203"/>
      <c r="D417" s="208"/>
      <c r="E417" s="205"/>
      <c r="F417" s="208"/>
      <c r="G417" s="208"/>
      <c r="I417" s="254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</row>
    <row r="418" spans="1:28" ht="12.75">
      <c r="A418" s="203"/>
      <c r="B418" s="203"/>
      <c r="D418" s="204"/>
      <c r="E418" s="205"/>
      <c r="F418" s="204"/>
      <c r="G418" s="208"/>
      <c r="I418" s="254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</row>
    <row r="419" spans="1:28" ht="12.75">
      <c r="A419" s="203"/>
      <c r="B419" s="203"/>
      <c r="D419" s="204"/>
      <c r="E419" s="205"/>
      <c r="F419" s="204"/>
      <c r="G419" s="204"/>
      <c r="I419" s="254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</row>
    <row r="420" spans="1:28" ht="12.75">
      <c r="A420" s="203"/>
      <c r="B420" s="203"/>
      <c r="D420" s="204"/>
      <c r="E420" s="205"/>
      <c r="F420" s="204"/>
      <c r="G420" s="204"/>
      <c r="I420" s="254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</row>
    <row r="421" spans="1:28" ht="12.75">
      <c r="A421" s="203"/>
      <c r="B421" s="203"/>
      <c r="D421" s="204"/>
      <c r="E421" s="205"/>
      <c r="F421" s="204"/>
      <c r="G421" s="204"/>
      <c r="I421" s="254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</row>
    <row r="422" spans="1:28" ht="12.75">
      <c r="A422" s="203"/>
      <c r="B422" s="203"/>
      <c r="D422" s="204"/>
      <c r="E422" s="205"/>
      <c r="F422" s="204"/>
      <c r="G422" s="204"/>
      <c r="I422" s="254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</row>
    <row r="423" spans="1:28" ht="12.75">
      <c r="A423" s="203"/>
      <c r="B423" s="203"/>
      <c r="D423" s="204"/>
      <c r="E423" s="205"/>
      <c r="F423" s="204"/>
      <c r="G423" s="204"/>
      <c r="I423" s="254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</row>
    <row r="424" spans="1:28" ht="12.75">
      <c r="A424" s="203"/>
      <c r="B424" s="203"/>
      <c r="D424" s="205"/>
      <c r="E424" s="205"/>
      <c r="F424" s="205"/>
      <c r="G424" s="205"/>
      <c r="I424" s="254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</row>
    <row r="425" spans="1:28" ht="12.75">
      <c r="A425" s="203"/>
      <c r="B425" s="203"/>
      <c r="D425" s="205"/>
      <c r="E425" s="205"/>
      <c r="F425" s="205"/>
      <c r="G425" s="205"/>
      <c r="I425" s="254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</row>
    <row r="426" spans="1:28" ht="12.75">
      <c r="A426" s="203"/>
      <c r="B426" s="203"/>
      <c r="D426" s="205"/>
      <c r="E426" s="205"/>
      <c r="F426" s="205"/>
      <c r="G426" s="205"/>
      <c r="I426" s="254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</row>
    <row r="427" spans="1:28" ht="12.75">
      <c r="A427" s="203"/>
      <c r="B427" s="203"/>
      <c r="D427" s="205"/>
      <c r="E427" s="205"/>
      <c r="F427" s="205"/>
      <c r="G427" s="205"/>
      <c r="I427" s="254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</row>
    <row r="428" spans="1:28" ht="12.75">
      <c r="A428" s="203"/>
      <c r="B428" s="203"/>
      <c r="D428" s="205"/>
      <c r="E428" s="205"/>
      <c r="F428" s="205"/>
      <c r="G428" s="205"/>
      <c r="I428" s="254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</row>
    <row r="429" spans="1:28" ht="12.75">
      <c r="A429" s="203"/>
      <c r="B429" s="203"/>
      <c r="D429" s="205"/>
      <c r="E429" s="205"/>
      <c r="F429" s="205"/>
      <c r="G429" s="205"/>
      <c r="I429" s="254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</row>
    <row r="430" spans="1:28" ht="12.75">
      <c r="A430" s="203"/>
      <c r="B430" s="203"/>
      <c r="D430" s="205"/>
      <c r="E430" s="205"/>
      <c r="F430" s="205"/>
      <c r="G430" s="205"/>
      <c r="I430" s="254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</row>
    <row r="431" spans="1:28" ht="12.75">
      <c r="A431" s="203"/>
      <c r="B431" s="203"/>
      <c r="D431" s="205"/>
      <c r="E431" s="205"/>
      <c r="F431" s="205"/>
      <c r="G431" s="205"/>
      <c r="I431" s="254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</row>
    <row r="432" spans="1:28" ht="12.75">
      <c r="A432" s="203"/>
      <c r="B432" s="203"/>
      <c r="D432" s="205"/>
      <c r="E432" s="205"/>
      <c r="F432" s="205"/>
      <c r="G432" s="205"/>
      <c r="I432" s="254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</row>
    <row r="433" spans="1:28" ht="12.75">
      <c r="A433" s="203"/>
      <c r="B433" s="203"/>
      <c r="D433" s="205"/>
      <c r="E433" s="205"/>
      <c r="F433" s="205"/>
      <c r="G433" s="205"/>
      <c r="I433" s="254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</row>
    <row r="434" spans="1:28" ht="12.75">
      <c r="A434" s="203"/>
      <c r="B434" s="203"/>
      <c r="D434" s="204"/>
      <c r="E434" s="205"/>
      <c r="F434" s="204"/>
      <c r="G434" s="204"/>
      <c r="I434" s="254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</row>
    <row r="435" spans="1:28" ht="12.75">
      <c r="A435" s="203"/>
      <c r="B435" s="203"/>
      <c r="D435" s="204"/>
      <c r="E435" s="205"/>
      <c r="F435" s="204"/>
      <c r="G435" s="204"/>
      <c r="I435" s="254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</row>
    <row r="436" spans="1:28" ht="12.75">
      <c r="A436" s="203"/>
      <c r="B436" s="203"/>
      <c r="D436" s="205"/>
      <c r="E436" s="205"/>
      <c r="F436" s="205"/>
      <c r="G436" s="205"/>
      <c r="I436" s="254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</row>
    <row r="437" spans="1:28" ht="12.75">
      <c r="A437" s="203"/>
      <c r="B437" s="203"/>
      <c r="D437" s="205"/>
      <c r="E437" s="205"/>
      <c r="F437" s="205"/>
      <c r="G437" s="205"/>
      <c r="I437" s="254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</row>
    <row r="438" spans="1:28" ht="12.75">
      <c r="A438" s="203"/>
      <c r="B438" s="203"/>
      <c r="D438" s="205"/>
      <c r="E438" s="205"/>
      <c r="F438" s="205"/>
      <c r="G438" s="205"/>
      <c r="I438" s="254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</row>
    <row r="439" spans="1:28" ht="12.75">
      <c r="A439" s="203"/>
      <c r="B439" s="203"/>
      <c r="D439" s="205"/>
      <c r="E439" s="205"/>
      <c r="F439" s="205"/>
      <c r="G439" s="205"/>
      <c r="I439" s="254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</row>
    <row r="440" spans="1:28" ht="12.75">
      <c r="A440" s="203"/>
      <c r="B440" s="203"/>
      <c r="D440" s="209"/>
      <c r="E440" s="205"/>
      <c r="F440" s="209"/>
      <c r="G440" s="209"/>
      <c r="I440" s="254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</row>
    <row r="441" spans="1:28" ht="12.75">
      <c r="A441" s="203"/>
      <c r="B441" s="203"/>
      <c r="D441" s="207"/>
      <c r="E441" s="205"/>
      <c r="F441" s="207"/>
      <c r="G441" s="207"/>
      <c r="I441" s="254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</row>
    <row r="442" spans="1:28" ht="12.75">
      <c r="A442" s="203"/>
      <c r="B442" s="203"/>
      <c r="D442" s="208"/>
      <c r="E442" s="205"/>
      <c r="F442" s="208"/>
      <c r="G442" s="208"/>
      <c r="I442" s="254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</row>
    <row r="443" spans="1:28" ht="12.75">
      <c r="A443" s="203"/>
      <c r="B443" s="203"/>
      <c r="D443" s="208"/>
      <c r="E443" s="205"/>
      <c r="F443" s="208"/>
      <c r="G443" s="208"/>
      <c r="I443" s="254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</row>
    <row r="444" spans="1:28" ht="12.75">
      <c r="A444" s="203"/>
      <c r="B444" s="203"/>
      <c r="D444" s="204"/>
      <c r="E444" s="205"/>
      <c r="F444" s="204"/>
      <c r="G444" s="208"/>
      <c r="I444" s="254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</row>
    <row r="445" spans="1:28" ht="12.75">
      <c r="A445" s="203"/>
      <c r="B445" s="203"/>
      <c r="D445" s="204"/>
      <c r="E445" s="205"/>
      <c r="F445" s="205"/>
      <c r="G445" s="208"/>
      <c r="I445" s="254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</row>
    <row r="446" spans="1:28" ht="12.75">
      <c r="A446" s="203"/>
      <c r="B446" s="203"/>
      <c r="D446" s="204"/>
      <c r="E446" s="205"/>
      <c r="F446" s="204"/>
      <c r="G446" s="208"/>
      <c r="I446" s="254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</row>
    <row r="447" spans="1:28" ht="12.75">
      <c r="A447" s="203"/>
      <c r="B447" s="203"/>
      <c r="D447" s="204"/>
      <c r="E447" s="205"/>
      <c r="F447" s="204"/>
      <c r="G447" s="208"/>
      <c r="I447" s="254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</row>
    <row r="448" spans="1:28" ht="12.75">
      <c r="A448" s="203"/>
      <c r="B448" s="203"/>
      <c r="D448" s="204"/>
      <c r="E448" s="205"/>
      <c r="F448" s="204"/>
      <c r="G448" s="208"/>
      <c r="I448" s="254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</row>
    <row r="449" spans="1:28" ht="12.75">
      <c r="A449" s="203"/>
      <c r="B449" s="203"/>
      <c r="D449" s="204"/>
      <c r="E449" s="205"/>
      <c r="F449" s="204"/>
      <c r="G449" s="208"/>
      <c r="I449" s="254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</row>
    <row r="450" spans="1:28" ht="12.75">
      <c r="A450" s="203"/>
      <c r="B450" s="203"/>
      <c r="D450" s="204"/>
      <c r="E450" s="205"/>
      <c r="F450" s="204"/>
      <c r="G450" s="208"/>
      <c r="I450" s="254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</row>
    <row r="451" spans="1:28" ht="12.75">
      <c r="A451" s="203"/>
      <c r="B451" s="203"/>
      <c r="D451" s="204"/>
      <c r="E451" s="205"/>
      <c r="F451" s="204"/>
      <c r="G451" s="208"/>
      <c r="I451" s="254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</row>
    <row r="452" spans="1:28" ht="12.75">
      <c r="A452" s="203"/>
      <c r="B452" s="203"/>
      <c r="D452" s="204"/>
      <c r="E452" s="205"/>
      <c r="F452" s="204"/>
      <c r="G452" s="208"/>
      <c r="I452" s="254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</row>
    <row r="453" spans="1:28" ht="12.75">
      <c r="A453" s="203"/>
      <c r="B453" s="203"/>
      <c r="D453" s="204"/>
      <c r="E453" s="205"/>
      <c r="F453" s="204"/>
      <c r="G453" s="208"/>
      <c r="I453" s="254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</row>
    <row r="454" spans="1:28" ht="12.75">
      <c r="A454" s="203"/>
      <c r="B454" s="203"/>
      <c r="D454" s="204"/>
      <c r="E454" s="205"/>
      <c r="F454" s="204"/>
      <c r="G454" s="207"/>
      <c r="I454" s="254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</row>
    <row r="455" spans="1:28" ht="12.75">
      <c r="A455" s="203"/>
      <c r="B455" s="203"/>
      <c r="D455" s="204"/>
      <c r="E455" s="205"/>
      <c r="F455" s="204"/>
      <c r="G455" s="208"/>
      <c r="I455" s="254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</row>
    <row r="456" spans="1:28" ht="12.75">
      <c r="A456" s="203"/>
      <c r="B456" s="203"/>
      <c r="D456" s="204"/>
      <c r="E456" s="205"/>
      <c r="F456" s="204"/>
      <c r="G456" s="204"/>
      <c r="I456" s="254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</row>
    <row r="457" spans="1:28" ht="12.75">
      <c r="A457" s="203"/>
      <c r="B457" s="203"/>
      <c r="D457" s="204"/>
      <c r="E457" s="205"/>
      <c r="F457" s="204"/>
      <c r="G457" s="208"/>
      <c r="I457" s="254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</row>
    <row r="458" spans="1:28" ht="12.75">
      <c r="A458" s="203"/>
      <c r="B458" s="203"/>
      <c r="D458" s="204"/>
      <c r="E458" s="205"/>
      <c r="F458" s="204"/>
      <c r="G458" s="204"/>
      <c r="I458" s="254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</row>
    <row r="459" spans="1:28" ht="12.75">
      <c r="A459" s="203"/>
      <c r="B459" s="203"/>
      <c r="D459" s="204"/>
      <c r="E459" s="205"/>
      <c r="F459" s="204"/>
      <c r="G459" s="204"/>
      <c r="I459" s="254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</row>
    <row r="460" spans="1:28" ht="12.75">
      <c r="A460" s="203"/>
      <c r="B460" s="203"/>
      <c r="D460" s="204"/>
      <c r="E460" s="205"/>
      <c r="F460" s="204"/>
      <c r="G460" s="204"/>
      <c r="I460" s="254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</row>
    <row r="461" spans="1:28" ht="12.75">
      <c r="A461" s="203"/>
      <c r="B461" s="203"/>
      <c r="D461" s="204"/>
      <c r="E461" s="205"/>
      <c r="F461" s="204"/>
      <c r="G461" s="204"/>
      <c r="I461" s="254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</row>
    <row r="462" spans="1:28" ht="12.75">
      <c r="A462" s="203"/>
      <c r="B462" s="203"/>
      <c r="D462" s="204"/>
      <c r="E462" s="205"/>
      <c r="F462" s="204"/>
      <c r="G462" s="204"/>
      <c r="I462" s="254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</row>
    <row r="463" spans="1:28" ht="12.75">
      <c r="A463" s="203"/>
      <c r="B463" s="203"/>
      <c r="D463" s="204"/>
      <c r="E463" s="205"/>
      <c r="F463" s="204"/>
      <c r="G463" s="204"/>
      <c r="I463" s="254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</row>
    <row r="464" spans="1:28" ht="12.75">
      <c r="A464" s="203"/>
      <c r="B464" s="203"/>
      <c r="D464" s="204"/>
      <c r="E464" s="205"/>
      <c r="F464" s="204"/>
      <c r="G464" s="204"/>
      <c r="I464" s="254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</row>
    <row r="465" spans="1:28" ht="12.75">
      <c r="A465" s="203"/>
      <c r="B465" s="203"/>
      <c r="D465" s="204"/>
      <c r="E465" s="205"/>
      <c r="F465" s="204"/>
      <c r="G465" s="204"/>
      <c r="I465" s="254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</row>
    <row r="466" spans="1:28" ht="12.75">
      <c r="A466" s="203"/>
      <c r="B466" s="203"/>
      <c r="D466" s="204"/>
      <c r="E466" s="205"/>
      <c r="F466" s="204"/>
      <c r="G466" s="204"/>
      <c r="I466" s="254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</row>
    <row r="467" spans="1:28" ht="12.75">
      <c r="A467" s="203"/>
      <c r="B467" s="203"/>
      <c r="D467" s="204"/>
      <c r="E467" s="205"/>
      <c r="F467" s="204"/>
      <c r="G467" s="204"/>
      <c r="I467" s="254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</row>
    <row r="468" spans="1:28" ht="12.75">
      <c r="A468" s="203"/>
      <c r="B468" s="203"/>
      <c r="D468" s="204"/>
      <c r="E468" s="205"/>
      <c r="F468" s="204"/>
      <c r="G468" s="204"/>
      <c r="I468" s="254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</row>
    <row r="469" spans="1:28" ht="12.75">
      <c r="A469" s="203"/>
      <c r="B469" s="203"/>
      <c r="D469" s="204"/>
      <c r="E469" s="205"/>
      <c r="F469" s="204"/>
      <c r="G469" s="204"/>
      <c r="I469" s="254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</row>
    <row r="470" spans="1:28" ht="12.75">
      <c r="A470" s="203"/>
      <c r="B470" s="203"/>
      <c r="D470" s="204"/>
      <c r="E470" s="205"/>
      <c r="F470" s="204"/>
      <c r="G470" s="204"/>
      <c r="I470" s="254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</row>
    <row r="471" spans="1:28" ht="12.75">
      <c r="A471" s="203"/>
      <c r="B471" s="203"/>
      <c r="D471" s="204"/>
      <c r="E471" s="205"/>
      <c r="F471" s="204"/>
      <c r="G471" s="204"/>
      <c r="I471" s="254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</row>
    <row r="472" spans="1:28" ht="12.75">
      <c r="A472" s="203"/>
      <c r="B472" s="203"/>
      <c r="D472" s="204"/>
      <c r="E472" s="205"/>
      <c r="F472" s="204"/>
      <c r="G472" s="204"/>
      <c r="I472" s="254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</row>
    <row r="473" spans="1:28" ht="12.75">
      <c r="A473" s="203"/>
      <c r="B473" s="203"/>
      <c r="D473" s="204"/>
      <c r="E473" s="205"/>
      <c r="F473" s="204"/>
      <c r="G473" s="204"/>
      <c r="I473" s="254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</row>
    <row r="474" spans="1:28" ht="12.75">
      <c r="A474" s="203"/>
      <c r="B474" s="203"/>
      <c r="D474" s="204"/>
      <c r="E474" s="205"/>
      <c r="F474" s="204"/>
      <c r="G474" s="204"/>
      <c r="I474" s="254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</row>
    <row r="475" spans="1:28" ht="12.75">
      <c r="A475" s="203"/>
      <c r="B475" s="203"/>
      <c r="D475" s="204"/>
      <c r="E475" s="205"/>
      <c r="F475" s="204"/>
      <c r="G475" s="204"/>
      <c r="I475" s="254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</row>
    <row r="476" spans="1:28" ht="12.75">
      <c r="A476" s="203"/>
      <c r="B476" s="203"/>
      <c r="D476" s="204"/>
      <c r="E476" s="205"/>
      <c r="F476" s="204"/>
      <c r="G476" s="204"/>
      <c r="I476" s="254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</row>
    <row r="477" spans="1:28" ht="12.75">
      <c r="A477" s="203"/>
      <c r="B477" s="203"/>
      <c r="D477" s="204"/>
      <c r="E477" s="205"/>
      <c r="F477" s="204"/>
      <c r="G477" s="204"/>
      <c r="I477" s="254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</row>
    <row r="478" spans="1:28" ht="12.75">
      <c r="A478" s="203"/>
      <c r="B478" s="203"/>
      <c r="D478" s="204"/>
      <c r="E478" s="205"/>
      <c r="F478" s="204"/>
      <c r="G478" s="204"/>
      <c r="I478" s="254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</row>
    <row r="479" spans="1:28" ht="12.75">
      <c r="A479" s="203"/>
      <c r="B479" s="203"/>
      <c r="D479" s="41"/>
      <c r="E479" s="205"/>
      <c r="F479" s="204"/>
      <c r="G479" s="204"/>
      <c r="I479" s="254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</row>
    <row r="480" spans="1:28" ht="12.75">
      <c r="A480" s="203"/>
      <c r="B480" s="203"/>
      <c r="D480" s="204"/>
      <c r="E480" s="205"/>
      <c r="F480" s="204"/>
      <c r="G480" s="204"/>
      <c r="I480" s="254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</row>
    <row r="481" spans="1:28" ht="12.75">
      <c r="A481" s="203"/>
      <c r="B481" s="203"/>
      <c r="D481" s="207"/>
      <c r="E481" s="205"/>
      <c r="F481" s="207"/>
      <c r="G481" s="207"/>
      <c r="I481" s="254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</row>
    <row r="482" spans="1:28" ht="12.75">
      <c r="A482" s="203"/>
      <c r="B482" s="203"/>
      <c r="D482" s="204"/>
      <c r="E482" s="205"/>
      <c r="F482" s="204"/>
      <c r="G482" s="204"/>
      <c r="I482" s="254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</row>
    <row r="483" spans="1:28" ht="12.75">
      <c r="A483" s="203"/>
      <c r="B483" s="203"/>
      <c r="D483" s="204"/>
      <c r="E483" s="205"/>
      <c r="F483" s="204"/>
      <c r="G483" s="204"/>
      <c r="I483" s="254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</row>
    <row r="484" spans="1:28" ht="12.75">
      <c r="A484" s="203"/>
      <c r="B484" s="203"/>
      <c r="D484" s="204"/>
      <c r="E484" s="205"/>
      <c r="F484" s="204"/>
      <c r="G484" s="204"/>
      <c r="I484" s="254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</row>
    <row r="485" spans="1:28" ht="12.75">
      <c r="A485" s="203"/>
      <c r="B485" s="203"/>
      <c r="D485" s="204"/>
      <c r="E485" s="205"/>
      <c r="F485" s="204"/>
      <c r="G485" s="204"/>
      <c r="I485" s="254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</row>
    <row r="486" spans="1:28" ht="12.75">
      <c r="A486" s="203"/>
      <c r="B486" s="203"/>
      <c r="D486" s="204"/>
      <c r="E486" s="205"/>
      <c r="F486" s="204"/>
      <c r="G486" s="204"/>
      <c r="I486" s="254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</row>
    <row r="487" spans="1:28" ht="12.75">
      <c r="A487" s="203"/>
      <c r="B487" s="203"/>
      <c r="D487" s="204"/>
      <c r="E487" s="205"/>
      <c r="F487" s="204"/>
      <c r="G487" s="204"/>
      <c r="I487" s="254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</row>
    <row r="488" spans="1:28" ht="12.75">
      <c r="A488" s="203"/>
      <c r="B488" s="203"/>
      <c r="D488" s="204"/>
      <c r="E488" s="205"/>
      <c r="F488" s="204"/>
      <c r="G488" s="204"/>
      <c r="I488" s="254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</row>
    <row r="489" spans="1:28" ht="12.75">
      <c r="A489" s="203"/>
      <c r="B489" s="203"/>
      <c r="D489" s="204"/>
      <c r="E489" s="205"/>
      <c r="F489" s="204"/>
      <c r="G489" s="204"/>
      <c r="I489" s="254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</row>
    <row r="490" spans="1:28" ht="12.75">
      <c r="A490" s="203"/>
      <c r="B490" s="203"/>
      <c r="D490" s="204"/>
      <c r="E490" s="205"/>
      <c r="F490" s="204"/>
      <c r="G490" s="204"/>
      <c r="I490" s="254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</row>
    <row r="491" spans="1:28" ht="12.75">
      <c r="A491" s="203"/>
      <c r="B491" s="203"/>
      <c r="D491" s="204"/>
      <c r="E491" s="205"/>
      <c r="F491" s="204"/>
      <c r="G491" s="204"/>
      <c r="I491" s="254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</row>
    <row r="492" spans="1:28" ht="12.75">
      <c r="A492" s="203"/>
      <c r="B492" s="203"/>
      <c r="D492" s="204"/>
      <c r="E492" s="205"/>
      <c r="F492" s="204"/>
      <c r="G492" s="204"/>
      <c r="I492" s="254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</row>
    <row r="493" spans="1:28" ht="12.75">
      <c r="A493" s="203"/>
      <c r="B493" s="203"/>
      <c r="D493" s="204"/>
      <c r="E493" s="205"/>
      <c r="F493" s="204"/>
      <c r="G493" s="204"/>
      <c r="I493" s="254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</row>
    <row r="494" spans="1:28" ht="12.75">
      <c r="A494" s="203"/>
      <c r="B494" s="203"/>
      <c r="D494" s="204"/>
      <c r="E494" s="205"/>
      <c r="F494" s="204"/>
      <c r="G494" s="204"/>
      <c r="I494" s="254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</row>
    <row r="495" spans="1:28" ht="12.75">
      <c r="A495" s="203"/>
      <c r="B495" s="203"/>
      <c r="D495" s="204"/>
      <c r="E495" s="205"/>
      <c r="F495" s="204"/>
      <c r="G495" s="204"/>
      <c r="I495" s="254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</row>
    <row r="496" spans="1:28" ht="12.75">
      <c r="A496" s="203"/>
      <c r="B496" s="203"/>
      <c r="D496" s="204"/>
      <c r="E496" s="205"/>
      <c r="F496" s="204"/>
      <c r="G496" s="204"/>
      <c r="I496" s="254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</row>
    <row r="497" spans="1:28" ht="12.75">
      <c r="A497" s="203"/>
      <c r="B497" s="203"/>
      <c r="D497" s="204"/>
      <c r="E497" s="205"/>
      <c r="F497" s="204"/>
      <c r="G497" s="204"/>
      <c r="I497" s="254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</row>
    <row r="498" spans="1:28" ht="12.75">
      <c r="A498" s="203"/>
      <c r="B498" s="203"/>
      <c r="D498" s="204"/>
      <c r="E498" s="205"/>
      <c r="F498" s="204"/>
      <c r="G498" s="204"/>
      <c r="I498" s="254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</row>
    <row r="499" spans="1:28" ht="12.75">
      <c r="A499" s="203"/>
      <c r="B499" s="203"/>
      <c r="D499" s="204"/>
      <c r="E499" s="205"/>
      <c r="F499" s="204"/>
      <c r="G499" s="204"/>
      <c r="I499" s="254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</row>
    <row r="500" spans="1:28" ht="12.75">
      <c r="A500" s="203"/>
      <c r="B500" s="203"/>
      <c r="D500" s="204"/>
      <c r="E500" s="205"/>
      <c r="F500" s="204"/>
      <c r="G500" s="204"/>
      <c r="I500" s="254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</row>
    <row r="501" spans="1:28" ht="12.75">
      <c r="A501" s="203"/>
      <c r="B501" s="203"/>
      <c r="D501" s="204"/>
      <c r="E501" s="205"/>
      <c r="F501" s="204"/>
      <c r="G501" s="208"/>
      <c r="I501" s="254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</row>
    <row r="502" spans="1:28" ht="12.75">
      <c r="A502" s="203"/>
      <c r="B502" s="203"/>
      <c r="D502" s="204"/>
      <c r="E502" s="205"/>
      <c r="F502" s="205"/>
      <c r="G502" s="208"/>
      <c r="I502" s="254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</row>
    <row r="503" spans="1:28" ht="12.75">
      <c r="A503" s="203"/>
      <c r="B503" s="203"/>
      <c r="D503" s="204"/>
      <c r="E503" s="205"/>
      <c r="F503" s="204"/>
      <c r="G503" s="208"/>
      <c r="I503" s="254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</row>
    <row r="504" spans="1:28" ht="12.75">
      <c r="A504" s="203"/>
      <c r="B504" s="203"/>
      <c r="D504" s="204"/>
      <c r="E504" s="205"/>
      <c r="F504" s="204"/>
      <c r="G504" s="208"/>
      <c r="I504" s="254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</row>
    <row r="505" spans="1:28" ht="12.75">
      <c r="A505" s="203"/>
      <c r="B505" s="203"/>
      <c r="D505" s="208"/>
      <c r="E505" s="205"/>
      <c r="F505" s="208"/>
      <c r="G505" s="208"/>
      <c r="I505" s="254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</row>
    <row r="506" spans="1:28" ht="12.75">
      <c r="A506" s="203"/>
      <c r="B506" s="203"/>
      <c r="D506" s="204"/>
      <c r="E506" s="205"/>
      <c r="F506" s="204"/>
      <c r="G506" s="208"/>
      <c r="I506" s="254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</row>
    <row r="507" spans="1:28" ht="12.75">
      <c r="A507" s="203"/>
      <c r="B507" s="203"/>
      <c r="D507" s="204"/>
      <c r="E507" s="205"/>
      <c r="F507" s="204"/>
      <c r="G507" s="204"/>
      <c r="I507" s="254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</row>
    <row r="508" spans="1:28" ht="12.75">
      <c r="A508" s="203"/>
      <c r="B508" s="203"/>
      <c r="D508" s="204"/>
      <c r="E508" s="205"/>
      <c r="F508" s="204"/>
      <c r="G508" s="204"/>
      <c r="I508" s="254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</row>
    <row r="509" spans="1:28" ht="12.75">
      <c r="A509" s="203"/>
      <c r="B509" s="203"/>
      <c r="D509" s="204"/>
      <c r="E509" s="205"/>
      <c r="F509" s="204"/>
      <c r="G509" s="204"/>
      <c r="I509" s="254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</row>
    <row r="510" spans="1:28" ht="12.75">
      <c r="A510" s="203"/>
      <c r="B510" s="203"/>
      <c r="D510" s="204"/>
      <c r="E510" s="205"/>
      <c r="F510" s="204"/>
      <c r="G510" s="204"/>
      <c r="I510" s="254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</row>
    <row r="511" spans="1:28" ht="12.75">
      <c r="A511" s="203"/>
      <c r="B511" s="203"/>
      <c r="D511" s="204"/>
      <c r="E511" s="205"/>
      <c r="F511" s="204"/>
      <c r="G511" s="204"/>
      <c r="I511" s="254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</row>
    <row r="512" spans="1:28" ht="12.75">
      <c r="A512" s="203"/>
      <c r="B512" s="203"/>
      <c r="D512" s="205"/>
      <c r="E512" s="205"/>
      <c r="F512" s="205"/>
      <c r="G512" s="205"/>
      <c r="I512" s="254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</row>
    <row r="513" spans="1:28" ht="12.75">
      <c r="A513" s="203"/>
      <c r="B513" s="203"/>
      <c r="D513" s="205"/>
      <c r="E513" s="205"/>
      <c r="F513" s="205"/>
      <c r="G513" s="205"/>
      <c r="I513" s="254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</row>
    <row r="514" spans="1:28" ht="12.75">
      <c r="A514" s="203"/>
      <c r="B514" s="203"/>
      <c r="D514" s="205"/>
      <c r="E514" s="205"/>
      <c r="F514" s="205"/>
      <c r="G514" s="205"/>
      <c r="I514" s="254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</row>
    <row r="515" spans="1:28" ht="12.75">
      <c r="A515" s="203"/>
      <c r="B515" s="203"/>
      <c r="D515" s="205"/>
      <c r="E515" s="205"/>
      <c r="F515" s="205"/>
      <c r="G515" s="205"/>
      <c r="I515" s="254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</row>
    <row r="516" spans="1:28" ht="12.75">
      <c r="A516" s="203"/>
      <c r="B516" s="203"/>
      <c r="D516" s="205"/>
      <c r="E516" s="205"/>
      <c r="F516" s="205"/>
      <c r="G516" s="205"/>
      <c r="I516" s="254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</row>
    <row r="517" spans="1:28" ht="12.75">
      <c r="A517" s="203"/>
      <c r="B517" s="203"/>
      <c r="D517" s="205"/>
      <c r="E517" s="205"/>
      <c r="F517" s="205"/>
      <c r="G517" s="205"/>
      <c r="I517" s="254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</row>
    <row r="518" spans="1:28" ht="12.75">
      <c r="A518" s="203"/>
      <c r="B518" s="203"/>
      <c r="D518" s="205"/>
      <c r="E518" s="205"/>
      <c r="F518" s="205"/>
      <c r="G518" s="205"/>
      <c r="I518" s="254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</row>
    <row r="519" spans="1:28" ht="12.75">
      <c r="A519" s="203"/>
      <c r="B519" s="203"/>
      <c r="D519" s="205"/>
      <c r="E519" s="205"/>
      <c r="F519" s="205"/>
      <c r="G519" s="205"/>
      <c r="I519" s="254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</row>
    <row r="520" spans="1:28" ht="12.75">
      <c r="A520" s="203"/>
      <c r="B520" s="203"/>
      <c r="D520" s="205"/>
      <c r="E520" s="205"/>
      <c r="F520" s="205"/>
      <c r="G520" s="205"/>
      <c r="I520" s="254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</row>
    <row r="521" spans="1:28" ht="12.75">
      <c r="A521" s="203"/>
      <c r="B521" s="203"/>
      <c r="D521" s="205"/>
      <c r="E521" s="205"/>
      <c r="F521" s="205"/>
      <c r="G521" s="205"/>
      <c r="I521" s="254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</row>
    <row r="522" spans="1:28" ht="12.75">
      <c r="A522" s="203"/>
      <c r="B522" s="203"/>
      <c r="D522" s="204"/>
      <c r="E522" s="205"/>
      <c r="F522" s="204"/>
      <c r="G522" s="204"/>
      <c r="I522" s="254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</row>
    <row r="523" spans="1:28" ht="12.75">
      <c r="A523" s="203"/>
      <c r="B523" s="203"/>
      <c r="D523" s="204"/>
      <c r="E523" s="205"/>
      <c r="F523" s="204"/>
      <c r="G523" s="204"/>
      <c r="I523" s="254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</row>
    <row r="524" spans="1:28" ht="12.75">
      <c r="A524" s="203"/>
      <c r="B524" s="203"/>
      <c r="D524" s="205"/>
      <c r="E524" s="205"/>
      <c r="F524" s="205"/>
      <c r="G524" s="205"/>
      <c r="I524" s="254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</row>
    <row r="525" spans="1:28" ht="12.75">
      <c r="A525" s="203"/>
      <c r="B525" s="203"/>
      <c r="D525" s="205"/>
      <c r="E525" s="205"/>
      <c r="F525" s="205"/>
      <c r="G525" s="205"/>
      <c r="I525" s="254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</row>
    <row r="526" spans="1:28" ht="12.75">
      <c r="A526" s="203"/>
      <c r="B526" s="203"/>
      <c r="D526" s="205"/>
      <c r="E526" s="205"/>
      <c r="F526" s="205"/>
      <c r="G526" s="205"/>
      <c r="I526" s="254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</row>
    <row r="527" spans="1:28" ht="12.75">
      <c r="A527" s="203"/>
      <c r="B527" s="203"/>
      <c r="D527" s="205"/>
      <c r="E527" s="205"/>
      <c r="F527" s="205"/>
      <c r="G527" s="205"/>
      <c r="I527" s="254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</row>
    <row r="528" spans="1:28" ht="12.75">
      <c r="A528" s="203"/>
      <c r="B528" s="203"/>
      <c r="D528" s="209"/>
      <c r="E528" s="205"/>
      <c r="F528" s="209"/>
      <c r="G528" s="209"/>
      <c r="I528" s="254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</row>
    <row r="529" spans="1:28" ht="12.75">
      <c r="A529" s="203"/>
      <c r="B529" s="203"/>
      <c r="D529" s="207"/>
      <c r="E529" s="205"/>
      <c r="F529" s="207"/>
      <c r="G529" s="207"/>
      <c r="I529" s="254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</row>
    <row r="530" spans="1:28" ht="12.75">
      <c r="A530" s="203"/>
      <c r="B530" s="203"/>
      <c r="D530" s="208"/>
      <c r="E530" s="205"/>
      <c r="F530" s="208"/>
      <c r="G530" s="208"/>
      <c r="I530" s="254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</row>
    <row r="531" spans="1:28" ht="12.75">
      <c r="A531" s="203"/>
      <c r="B531" s="203"/>
      <c r="D531" s="208"/>
      <c r="E531" s="205"/>
      <c r="F531" s="208"/>
      <c r="G531" s="208"/>
      <c r="I531" s="254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</row>
    <row r="532" spans="1:28" ht="12.75">
      <c r="A532" s="203"/>
      <c r="B532" s="203"/>
      <c r="D532" s="204"/>
      <c r="E532" s="205"/>
      <c r="F532" s="204"/>
      <c r="G532" s="208"/>
      <c r="I532" s="254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</row>
    <row r="533" spans="1:28" ht="12.75">
      <c r="A533" s="203"/>
      <c r="B533" s="203"/>
      <c r="D533" s="204"/>
      <c r="E533" s="205"/>
      <c r="F533" s="205"/>
      <c r="G533" s="208"/>
      <c r="I533" s="254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</row>
    <row r="534" spans="1:28" ht="12.75">
      <c r="A534" s="203"/>
      <c r="B534" s="203"/>
      <c r="D534" s="204"/>
      <c r="E534" s="205"/>
      <c r="F534" s="204"/>
      <c r="G534" s="208"/>
      <c r="I534" s="254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</row>
    <row r="535" spans="1:28" ht="12.75">
      <c r="A535" s="203"/>
      <c r="B535" s="203"/>
      <c r="D535" s="204"/>
      <c r="E535" s="205"/>
      <c r="F535" s="204"/>
      <c r="G535" s="208"/>
      <c r="I535" s="254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</row>
    <row r="536" spans="1:28" ht="12.75">
      <c r="A536" s="203"/>
      <c r="B536" s="203"/>
      <c r="D536" s="204"/>
      <c r="E536" s="205"/>
      <c r="F536" s="204"/>
      <c r="G536" s="208"/>
      <c r="I536" s="254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</row>
    <row r="537" spans="1:28" ht="12.75">
      <c r="A537" s="203"/>
      <c r="B537" s="203"/>
      <c r="D537" s="204"/>
      <c r="E537" s="205"/>
      <c r="F537" s="204"/>
      <c r="G537" s="208"/>
      <c r="I537" s="254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</row>
    <row r="538" spans="1:28" ht="12.75">
      <c r="A538" s="203"/>
      <c r="B538" s="203"/>
      <c r="D538" s="204"/>
      <c r="E538" s="205"/>
      <c r="F538" s="204"/>
      <c r="G538" s="208"/>
      <c r="I538" s="254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</row>
    <row r="539" spans="1:28" ht="12.75">
      <c r="A539" s="203"/>
      <c r="B539" s="203"/>
      <c r="D539" s="204"/>
      <c r="E539" s="205"/>
      <c r="F539" s="204"/>
      <c r="G539" s="208"/>
      <c r="I539" s="254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</row>
    <row r="540" spans="1:28" ht="12.75">
      <c r="A540" s="203"/>
      <c r="B540" s="203"/>
      <c r="D540" s="204"/>
      <c r="E540" s="205"/>
      <c r="F540" s="204"/>
      <c r="G540" s="208"/>
      <c r="I540" s="254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</row>
    <row r="541" spans="1:28" ht="12.75">
      <c r="A541" s="203"/>
      <c r="B541" s="203"/>
      <c r="D541" s="204"/>
      <c r="E541" s="205"/>
      <c r="F541" s="204"/>
      <c r="G541" s="208"/>
      <c r="I541" s="254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</row>
    <row r="542" spans="1:28" ht="12.75">
      <c r="A542" s="203"/>
      <c r="B542" s="203"/>
      <c r="D542" s="204"/>
      <c r="E542" s="205"/>
      <c r="F542" s="204"/>
      <c r="G542" s="207"/>
      <c r="I542" s="254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</row>
    <row r="543" spans="1:28" ht="12.75">
      <c r="A543" s="203"/>
      <c r="B543" s="203"/>
      <c r="D543" s="204"/>
      <c r="E543" s="205"/>
      <c r="F543" s="204"/>
      <c r="G543" s="208"/>
      <c r="I543" s="254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</row>
    <row r="544" spans="1:28" ht="12.75">
      <c r="A544" s="203"/>
      <c r="B544" s="203"/>
      <c r="D544" s="204"/>
      <c r="E544" s="205"/>
      <c r="F544" s="204"/>
      <c r="G544" s="204"/>
      <c r="I544" s="254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</row>
    <row r="545" spans="1:28" ht="12.75">
      <c r="A545" s="203"/>
      <c r="B545" s="203"/>
      <c r="D545" s="204"/>
      <c r="E545" s="205"/>
      <c r="F545" s="204"/>
      <c r="G545" s="208"/>
      <c r="I545" s="254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</row>
    <row r="546" spans="1:28" ht="12.75">
      <c r="A546" s="203"/>
      <c r="B546" s="203"/>
      <c r="D546" s="204"/>
      <c r="E546" s="205"/>
      <c r="F546" s="204"/>
      <c r="G546" s="204"/>
      <c r="I546" s="254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</row>
    <row r="547" spans="1:28" ht="12.75">
      <c r="A547" s="203"/>
      <c r="B547" s="203"/>
      <c r="D547" s="204"/>
      <c r="E547" s="205"/>
      <c r="F547" s="204"/>
      <c r="G547" s="204"/>
      <c r="I547" s="254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</row>
    <row r="548" spans="1:28" ht="12.75">
      <c r="A548" s="203"/>
      <c r="B548" s="203"/>
      <c r="D548" s="204"/>
      <c r="E548" s="205"/>
      <c r="F548" s="204"/>
      <c r="G548" s="204"/>
      <c r="I548" s="254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</row>
    <row r="549" spans="1:28" ht="12.75">
      <c r="A549" s="203"/>
      <c r="B549" s="203"/>
      <c r="D549" s="204"/>
      <c r="E549" s="205"/>
      <c r="F549" s="204"/>
      <c r="G549" s="204"/>
      <c r="I549" s="254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</row>
    <row r="550" spans="1:28" ht="12.75">
      <c r="A550" s="203"/>
      <c r="B550" s="203"/>
      <c r="D550" s="204"/>
      <c r="E550" s="205"/>
      <c r="F550" s="204"/>
      <c r="G550" s="204"/>
      <c r="I550" s="254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</row>
    <row r="551" spans="1:28" ht="12.75">
      <c r="A551" s="203"/>
      <c r="B551" s="203"/>
      <c r="D551" s="204"/>
      <c r="E551" s="205"/>
      <c r="F551" s="204"/>
      <c r="G551" s="204"/>
      <c r="I551" s="254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</row>
    <row r="552" spans="1:28" ht="12.75">
      <c r="A552" s="203"/>
      <c r="B552" s="203"/>
      <c r="D552" s="204"/>
      <c r="E552" s="205"/>
      <c r="F552" s="204"/>
      <c r="G552" s="204"/>
      <c r="I552" s="254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</row>
    <row r="553" spans="1:28" ht="12.75">
      <c r="A553" s="203"/>
      <c r="B553" s="203"/>
      <c r="D553" s="204"/>
      <c r="E553" s="205"/>
      <c r="F553" s="204"/>
      <c r="G553" s="204"/>
      <c r="I553" s="254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</row>
    <row r="554" spans="1:28" ht="12.75">
      <c r="A554" s="203"/>
      <c r="B554" s="203"/>
      <c r="D554" s="204"/>
      <c r="E554" s="205"/>
      <c r="F554" s="204"/>
      <c r="G554" s="204"/>
      <c r="I554" s="254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</row>
    <row r="555" spans="1:28" ht="12.75">
      <c r="A555" s="203"/>
      <c r="B555" s="203"/>
      <c r="D555" s="204"/>
      <c r="E555" s="205"/>
      <c r="F555" s="204"/>
      <c r="G555" s="204"/>
      <c r="I555" s="254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</row>
    <row r="556" spans="1:28" ht="12.75">
      <c r="A556" s="203"/>
      <c r="B556" s="203"/>
      <c r="D556" s="204"/>
      <c r="E556" s="205"/>
      <c r="F556" s="204"/>
      <c r="G556" s="204"/>
      <c r="I556" s="254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</row>
    <row r="557" spans="1:28" ht="12.75">
      <c r="A557" s="203"/>
      <c r="B557" s="203"/>
      <c r="D557" s="204"/>
      <c r="E557" s="205"/>
      <c r="F557" s="204"/>
      <c r="G557" s="204"/>
      <c r="I557" s="254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</row>
    <row r="558" spans="1:28" ht="12.75">
      <c r="A558" s="203"/>
      <c r="B558" s="203"/>
      <c r="D558" s="204"/>
      <c r="E558" s="205"/>
      <c r="F558" s="204"/>
      <c r="G558" s="204"/>
      <c r="I558" s="254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</row>
    <row r="559" spans="1:28" ht="12.75">
      <c r="A559" s="203"/>
      <c r="B559" s="203"/>
      <c r="D559" s="204"/>
      <c r="E559" s="205"/>
      <c r="F559" s="204"/>
      <c r="G559" s="204"/>
      <c r="I559" s="254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</row>
    <row r="560" spans="1:28" ht="12.75">
      <c r="A560" s="203"/>
      <c r="B560" s="203"/>
      <c r="D560" s="204"/>
      <c r="E560" s="205"/>
      <c r="F560" s="204"/>
      <c r="G560" s="204"/>
      <c r="I560" s="254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</row>
    <row r="561" spans="1:28" ht="12.75">
      <c r="A561" s="203"/>
      <c r="B561" s="203"/>
      <c r="D561" s="204"/>
      <c r="E561" s="205"/>
      <c r="F561" s="204"/>
      <c r="G561" s="204"/>
      <c r="I561" s="254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</row>
    <row r="562" spans="1:28" ht="12.75">
      <c r="A562" s="203"/>
      <c r="B562" s="203"/>
      <c r="D562" s="204"/>
      <c r="E562" s="205"/>
      <c r="F562" s="204"/>
      <c r="G562" s="204"/>
      <c r="I562" s="254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</row>
    <row r="563" spans="1:28" ht="12.75">
      <c r="A563" s="203"/>
      <c r="B563" s="203"/>
      <c r="D563" s="204"/>
      <c r="E563" s="205"/>
      <c r="F563" s="204"/>
      <c r="G563" s="204"/>
      <c r="I563" s="254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</row>
    <row r="564" spans="1:28" ht="12.75">
      <c r="A564" s="203"/>
      <c r="B564" s="203"/>
      <c r="D564" s="204"/>
      <c r="E564" s="205"/>
      <c r="F564" s="204"/>
      <c r="G564" s="204"/>
      <c r="I564" s="254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</row>
    <row r="565" spans="1:28" ht="12.75">
      <c r="A565" s="203"/>
      <c r="B565" s="203"/>
      <c r="D565" s="204"/>
      <c r="E565" s="205"/>
      <c r="F565" s="204"/>
      <c r="G565" s="204"/>
      <c r="I565" s="254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</row>
    <row r="566" spans="1:28" ht="12.75">
      <c r="A566" s="203"/>
      <c r="B566" s="203"/>
      <c r="D566" s="204"/>
      <c r="E566" s="205"/>
      <c r="F566" s="204"/>
      <c r="G566" s="204"/>
      <c r="I566" s="254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</row>
    <row r="567" spans="1:28" ht="12.75">
      <c r="A567" s="203"/>
      <c r="B567" s="203"/>
      <c r="D567" s="41"/>
      <c r="E567" s="205"/>
      <c r="F567" s="204"/>
      <c r="G567" s="204"/>
      <c r="I567" s="254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</row>
    <row r="568" spans="1:28" ht="12.75">
      <c r="A568" s="203"/>
      <c r="B568" s="203"/>
      <c r="D568" s="204"/>
      <c r="E568" s="205"/>
      <c r="F568" s="204"/>
      <c r="G568" s="204"/>
      <c r="I568" s="254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</row>
    <row r="569" spans="1:28" ht="12.75">
      <c r="A569" s="203"/>
      <c r="B569" s="203"/>
      <c r="D569" s="207"/>
      <c r="E569" s="205"/>
      <c r="F569" s="207"/>
      <c r="G569" s="207"/>
      <c r="I569" s="254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</row>
    <row r="570" spans="1:28" ht="12.75">
      <c r="A570" s="203"/>
      <c r="B570" s="203"/>
      <c r="D570" s="204"/>
      <c r="E570" s="205"/>
      <c r="F570" s="204"/>
      <c r="G570" s="204"/>
      <c r="I570" s="254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</row>
    <row r="571" spans="1:28" ht="12.75">
      <c r="A571" s="203"/>
      <c r="B571" s="203"/>
      <c r="D571" s="204"/>
      <c r="E571" s="205"/>
      <c r="F571" s="204"/>
      <c r="G571" s="204"/>
      <c r="I571" s="254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</row>
    <row r="572" spans="1:28" ht="12.75">
      <c r="A572" s="203"/>
      <c r="B572" s="203"/>
      <c r="D572" s="204"/>
      <c r="E572" s="205"/>
      <c r="F572" s="204"/>
      <c r="G572" s="204"/>
      <c r="I572" s="254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</row>
    <row r="573" spans="1:28" ht="12.75">
      <c r="A573" s="203"/>
      <c r="B573" s="203"/>
      <c r="D573" s="204"/>
      <c r="E573" s="205"/>
      <c r="F573" s="204"/>
      <c r="G573" s="204"/>
      <c r="I573" s="254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</row>
    <row r="574" spans="1:28" ht="12.75">
      <c r="A574" s="203"/>
      <c r="B574" s="203"/>
      <c r="D574" s="204"/>
      <c r="E574" s="205"/>
      <c r="F574" s="204"/>
      <c r="G574" s="204"/>
      <c r="I574" s="254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</row>
    <row r="575" spans="1:28" ht="12.75">
      <c r="A575" s="203"/>
      <c r="B575" s="203"/>
      <c r="D575" s="204"/>
      <c r="E575" s="205"/>
      <c r="F575" s="204"/>
      <c r="G575" s="204"/>
      <c r="I575" s="254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</row>
    <row r="576" spans="1:28" ht="12.75">
      <c r="A576" s="203"/>
      <c r="B576" s="203"/>
      <c r="D576" s="204"/>
      <c r="E576" s="205"/>
      <c r="F576" s="204"/>
      <c r="G576" s="204"/>
      <c r="I576" s="254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</row>
    <row r="577" spans="1:28" ht="12.75">
      <c r="A577" s="203"/>
      <c r="B577" s="203"/>
      <c r="D577" s="204"/>
      <c r="E577" s="205"/>
      <c r="F577" s="204"/>
      <c r="G577" s="204"/>
      <c r="I577" s="254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</row>
    <row r="578" spans="1:28" ht="12.75">
      <c r="A578" s="203"/>
      <c r="B578" s="203"/>
      <c r="D578" s="204"/>
      <c r="E578" s="205"/>
      <c r="F578" s="204"/>
      <c r="G578" s="204"/>
      <c r="I578" s="254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</row>
    <row r="579" spans="1:28" ht="12.75">
      <c r="A579" s="203"/>
      <c r="B579" s="203"/>
      <c r="D579" s="204"/>
      <c r="E579" s="205"/>
      <c r="F579" s="204"/>
      <c r="G579" s="204"/>
      <c r="I579" s="254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</row>
    <row r="580" spans="1:28" ht="12.75">
      <c r="A580" s="203"/>
      <c r="B580" s="203"/>
      <c r="D580" s="204"/>
      <c r="E580" s="205"/>
      <c r="F580" s="204"/>
      <c r="G580" s="204"/>
      <c r="I580" s="254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</row>
    <row r="581" spans="1:28" ht="12.75">
      <c r="A581" s="203"/>
      <c r="B581" s="203"/>
      <c r="D581" s="204"/>
      <c r="E581" s="205"/>
      <c r="F581" s="204"/>
      <c r="G581" s="204"/>
      <c r="I581" s="254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</row>
    <row r="582" spans="1:28" ht="12.75">
      <c r="A582" s="203"/>
      <c r="B582" s="203"/>
      <c r="D582" s="204"/>
      <c r="E582" s="205"/>
      <c r="F582" s="204"/>
      <c r="G582" s="204"/>
      <c r="I582" s="254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</row>
    <row r="583" spans="1:28" ht="12.75">
      <c r="A583" s="203"/>
      <c r="B583" s="203"/>
      <c r="D583" s="204"/>
      <c r="E583" s="205"/>
      <c r="F583" s="204"/>
      <c r="G583" s="204"/>
      <c r="I583" s="254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</row>
    <row r="584" spans="1:28" ht="12.75">
      <c r="A584" s="203"/>
      <c r="B584" s="203"/>
      <c r="D584" s="204"/>
      <c r="E584" s="205"/>
      <c r="F584" s="204"/>
      <c r="G584" s="204"/>
      <c r="I584" s="254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</row>
    <row r="585" spans="1:28" ht="12.75">
      <c r="A585" s="203"/>
      <c r="B585" s="203"/>
      <c r="D585" s="204"/>
      <c r="E585" s="205"/>
      <c r="F585" s="204"/>
      <c r="G585" s="204"/>
      <c r="I585" s="254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</row>
    <row r="586" spans="1:28" ht="12.75">
      <c r="A586" s="203"/>
      <c r="B586" s="203"/>
      <c r="D586" s="204"/>
      <c r="E586" s="205"/>
      <c r="F586" s="204"/>
      <c r="G586" s="204"/>
      <c r="I586" s="254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</row>
    <row r="587" spans="1:28" ht="12.75">
      <c r="A587" s="203"/>
      <c r="B587" s="203"/>
      <c r="D587" s="204"/>
      <c r="E587" s="205"/>
      <c r="F587" s="204"/>
      <c r="G587" s="204"/>
      <c r="I587" s="254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</row>
    <row r="588" spans="1:28" ht="12.75">
      <c r="A588" s="203"/>
      <c r="B588" s="203"/>
      <c r="D588" s="204"/>
      <c r="E588" s="205"/>
      <c r="F588" s="204"/>
      <c r="G588" s="204"/>
      <c r="I588" s="254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</row>
    <row r="589" spans="1:28" ht="12.75">
      <c r="A589" s="203"/>
      <c r="B589" s="203"/>
      <c r="D589" s="204"/>
      <c r="E589" s="205"/>
      <c r="F589" s="204"/>
      <c r="G589" s="208"/>
      <c r="I589" s="254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</row>
    <row r="590" spans="1:28" ht="12.75">
      <c r="A590" s="203"/>
      <c r="B590" s="203"/>
      <c r="D590" s="204"/>
      <c r="E590" s="205"/>
      <c r="F590" s="205"/>
      <c r="G590" s="208"/>
      <c r="I590" s="254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</row>
    <row r="591" spans="1:28" ht="12.75">
      <c r="A591" s="203"/>
      <c r="B591" s="203"/>
      <c r="D591" s="204"/>
      <c r="E591" s="205"/>
      <c r="F591" s="204"/>
      <c r="G591" s="208"/>
      <c r="I591" s="254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</row>
    <row r="592" spans="1:28" ht="12.75">
      <c r="A592" s="203"/>
      <c r="B592" s="203"/>
      <c r="D592" s="204"/>
      <c r="E592" s="205"/>
      <c r="F592" s="204"/>
      <c r="G592" s="208"/>
      <c r="I592" s="254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</row>
    <row r="593" spans="1:28" ht="12.75">
      <c r="A593" s="203"/>
      <c r="B593" s="203"/>
      <c r="D593" s="208"/>
      <c r="E593" s="205"/>
      <c r="F593" s="208"/>
      <c r="G593" s="208"/>
      <c r="I593" s="254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</row>
    <row r="594" spans="1:28" ht="12.75">
      <c r="A594" s="203"/>
      <c r="B594" s="203"/>
      <c r="D594" s="204"/>
      <c r="E594" s="205"/>
      <c r="F594" s="204"/>
      <c r="G594" s="208"/>
      <c r="I594" s="254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</row>
    <row r="595" spans="1:28" ht="12.75">
      <c r="A595" s="203"/>
      <c r="B595" s="203"/>
      <c r="D595" s="204"/>
      <c r="E595" s="205"/>
      <c r="F595" s="204"/>
      <c r="G595" s="204"/>
      <c r="I595" s="254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</row>
    <row r="596" spans="1:28" ht="12.75">
      <c r="A596" s="203"/>
      <c r="B596" s="203"/>
      <c r="D596" s="204"/>
      <c r="E596" s="205"/>
      <c r="F596" s="204"/>
      <c r="G596" s="204"/>
      <c r="I596" s="254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</row>
    <row r="597" spans="1:28" ht="12.75">
      <c r="A597" s="203"/>
      <c r="B597" s="203"/>
      <c r="D597" s="204"/>
      <c r="E597" s="205"/>
      <c r="F597" s="204"/>
      <c r="G597" s="204"/>
      <c r="I597" s="254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</row>
    <row r="598" spans="1:28" ht="12.75">
      <c r="A598" s="203"/>
      <c r="B598" s="203"/>
      <c r="D598" s="204"/>
      <c r="E598" s="205"/>
      <c r="F598" s="204"/>
      <c r="G598" s="204"/>
      <c r="I598" s="254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</row>
    <row r="599" spans="1:28" ht="12.75">
      <c r="A599" s="203"/>
      <c r="B599" s="203"/>
      <c r="D599" s="204"/>
      <c r="E599" s="205"/>
      <c r="F599" s="204"/>
      <c r="G599" s="204"/>
      <c r="I599" s="254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</row>
    <row r="600" spans="1:28" ht="12.75">
      <c r="A600" s="203"/>
      <c r="B600" s="203"/>
      <c r="D600" s="205"/>
      <c r="E600" s="205"/>
      <c r="F600" s="205"/>
      <c r="G600" s="205"/>
      <c r="I600" s="254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</row>
    <row r="601" spans="1:28" ht="12.75">
      <c r="A601" s="203"/>
      <c r="B601" s="203"/>
      <c r="D601" s="205"/>
      <c r="E601" s="205"/>
      <c r="F601" s="205"/>
      <c r="G601" s="205"/>
      <c r="I601" s="254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</row>
    <row r="602" spans="1:28" ht="12.75">
      <c r="A602" s="203"/>
      <c r="B602" s="203"/>
      <c r="D602" s="205"/>
      <c r="E602" s="205"/>
      <c r="F602" s="205"/>
      <c r="G602" s="205"/>
      <c r="I602" s="254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</row>
    <row r="603" spans="1:28" ht="12.75">
      <c r="A603" s="203"/>
      <c r="B603" s="203"/>
      <c r="D603" s="205"/>
      <c r="E603" s="205"/>
      <c r="F603" s="205"/>
      <c r="G603" s="205"/>
      <c r="I603" s="254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</row>
    <row r="604" spans="1:28" ht="12.75">
      <c r="A604" s="203"/>
      <c r="B604" s="203"/>
      <c r="D604" s="205"/>
      <c r="E604" s="205"/>
      <c r="F604" s="205"/>
      <c r="G604" s="205"/>
      <c r="I604" s="254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</row>
    <row r="605" spans="1:28" ht="12.75">
      <c r="A605" s="203"/>
      <c r="B605" s="203"/>
      <c r="D605" s="205"/>
      <c r="E605" s="205"/>
      <c r="F605" s="205"/>
      <c r="G605" s="205"/>
      <c r="I605" s="254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</row>
    <row r="606" spans="1:28" ht="12.75">
      <c r="A606" s="203"/>
      <c r="B606" s="203"/>
      <c r="D606" s="205"/>
      <c r="E606" s="205"/>
      <c r="F606" s="205"/>
      <c r="G606" s="205"/>
      <c r="I606" s="254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</row>
    <row r="607" spans="1:28" ht="12.75">
      <c r="A607" s="203"/>
      <c r="B607" s="203"/>
      <c r="D607" s="205"/>
      <c r="E607" s="205"/>
      <c r="F607" s="205"/>
      <c r="G607" s="205"/>
      <c r="I607" s="254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</row>
    <row r="608" spans="1:28" ht="12.75">
      <c r="A608" s="203"/>
      <c r="B608" s="203"/>
      <c r="D608" s="205"/>
      <c r="E608" s="205"/>
      <c r="F608" s="205"/>
      <c r="G608" s="205"/>
      <c r="I608" s="254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</row>
    <row r="609" spans="1:28" ht="12.75">
      <c r="A609" s="203"/>
      <c r="B609" s="203"/>
      <c r="D609" s="205"/>
      <c r="E609" s="205"/>
      <c r="F609" s="205"/>
      <c r="G609" s="205"/>
      <c r="I609" s="254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</row>
    <row r="610" spans="1:28" ht="12.75">
      <c r="A610" s="203"/>
      <c r="B610" s="203"/>
      <c r="D610" s="204"/>
      <c r="E610" s="205"/>
      <c r="F610" s="204"/>
      <c r="G610" s="204"/>
      <c r="I610" s="254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</row>
    <row r="611" spans="1:28" ht="12.75">
      <c r="A611" s="203"/>
      <c r="B611" s="203"/>
      <c r="D611" s="204"/>
      <c r="E611" s="205"/>
      <c r="F611" s="204"/>
      <c r="G611" s="204"/>
      <c r="I611" s="254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</row>
    <row r="612" spans="1:28" ht="12.75">
      <c r="A612" s="203"/>
      <c r="B612" s="203"/>
      <c r="D612" s="205"/>
      <c r="E612" s="205"/>
      <c r="F612" s="205"/>
      <c r="G612" s="205"/>
      <c r="I612" s="254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</row>
    <row r="613" spans="1:28" ht="12.75">
      <c r="A613" s="203"/>
      <c r="B613" s="203"/>
      <c r="D613" s="205"/>
      <c r="E613" s="205"/>
      <c r="F613" s="205"/>
      <c r="G613" s="205"/>
      <c r="I613" s="254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  <c r="AB613" s="201"/>
    </row>
    <row r="614" spans="1:28" ht="12.75">
      <c r="A614" s="203"/>
      <c r="B614" s="203"/>
      <c r="D614" s="205"/>
      <c r="E614" s="205"/>
      <c r="F614" s="205"/>
      <c r="G614" s="205"/>
      <c r="I614" s="254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  <c r="AB614" s="201"/>
    </row>
    <row r="615" spans="1:28" ht="12.75">
      <c r="A615" s="203"/>
      <c r="B615" s="203"/>
      <c r="D615" s="205"/>
      <c r="E615" s="205"/>
      <c r="F615" s="205"/>
      <c r="G615" s="205"/>
      <c r="I615" s="254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  <c r="AB615" s="201"/>
    </row>
    <row r="616" spans="1:28" ht="12.75">
      <c r="A616" s="203"/>
      <c r="B616" s="203"/>
      <c r="D616" s="209"/>
      <c r="E616" s="205"/>
      <c r="F616" s="209"/>
      <c r="G616" s="209"/>
      <c r="I616" s="254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  <c r="AB616" s="201"/>
    </row>
    <row r="617" spans="1:28" ht="12.75">
      <c r="A617" s="203"/>
      <c r="B617" s="203"/>
      <c r="D617" s="207"/>
      <c r="E617" s="205"/>
      <c r="F617" s="207"/>
      <c r="G617" s="207"/>
      <c r="I617" s="254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  <c r="AB617" s="201"/>
    </row>
    <row r="618" spans="1:28" ht="12.75">
      <c r="A618" s="203"/>
      <c r="B618" s="203"/>
      <c r="D618" s="208"/>
      <c r="E618" s="205"/>
      <c r="F618" s="208"/>
      <c r="G618" s="208"/>
      <c r="I618" s="254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</row>
    <row r="619" spans="1:28" ht="12.75">
      <c r="A619" s="203"/>
      <c r="B619" s="203"/>
      <c r="D619" s="208"/>
      <c r="E619" s="205"/>
      <c r="F619" s="208"/>
      <c r="G619" s="208"/>
      <c r="I619" s="254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</row>
    <row r="620" spans="1:28" ht="12.75">
      <c r="A620" s="203"/>
      <c r="B620" s="203"/>
      <c r="D620" s="204"/>
      <c r="E620" s="205"/>
      <c r="F620" s="204"/>
      <c r="G620" s="208"/>
      <c r="I620" s="254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</row>
    <row r="621" spans="1:28" ht="12.75">
      <c r="A621" s="203"/>
      <c r="B621" s="203"/>
      <c r="D621" s="204"/>
      <c r="E621" s="205"/>
      <c r="F621" s="205"/>
      <c r="G621" s="208"/>
      <c r="I621" s="254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</row>
    <row r="622" spans="1:28" ht="12.75">
      <c r="A622" s="203"/>
      <c r="B622" s="203"/>
      <c r="D622" s="204"/>
      <c r="E622" s="205"/>
      <c r="F622" s="204"/>
      <c r="G622" s="208"/>
      <c r="I622" s="254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</row>
    <row r="623" spans="1:28" ht="12.75">
      <c r="A623" s="203"/>
      <c r="B623" s="203"/>
      <c r="D623" s="204"/>
      <c r="E623" s="205"/>
      <c r="F623" s="204"/>
      <c r="G623" s="208"/>
      <c r="I623" s="254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</row>
    <row r="624" spans="1:28" ht="12.75">
      <c r="A624" s="203"/>
      <c r="B624" s="203"/>
      <c r="D624" s="204"/>
      <c r="E624" s="205"/>
      <c r="F624" s="204"/>
      <c r="G624" s="208"/>
      <c r="I624" s="254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  <c r="AB624" s="201"/>
    </row>
    <row r="625" spans="1:28" ht="12.75">
      <c r="A625" s="203"/>
      <c r="B625" s="203"/>
      <c r="D625" s="204"/>
      <c r="E625" s="205"/>
      <c r="F625" s="204"/>
      <c r="G625" s="208"/>
      <c r="I625" s="254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  <c r="AB625" s="201"/>
    </row>
    <row r="626" spans="1:28" ht="12.75">
      <c r="A626" s="203"/>
      <c r="B626" s="203"/>
      <c r="D626" s="204"/>
      <c r="E626" s="205"/>
      <c r="F626" s="204"/>
      <c r="G626" s="208"/>
      <c r="I626" s="254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  <c r="AB626" s="201"/>
    </row>
    <row r="627" spans="1:28" ht="12.75">
      <c r="A627" s="203"/>
      <c r="B627" s="203"/>
      <c r="D627" s="204"/>
      <c r="E627" s="205"/>
      <c r="F627" s="204"/>
      <c r="G627" s="208"/>
      <c r="I627" s="254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  <c r="AB627" s="201"/>
    </row>
    <row r="628" spans="1:28" ht="12.75">
      <c r="A628" s="203"/>
      <c r="B628" s="203"/>
      <c r="D628" s="204"/>
      <c r="E628" s="205"/>
      <c r="F628" s="204"/>
      <c r="G628" s="208"/>
      <c r="I628" s="254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  <c r="AB628" s="201"/>
    </row>
    <row r="629" spans="1:28" ht="12.75">
      <c r="A629" s="203"/>
      <c r="B629" s="203"/>
      <c r="D629" s="204"/>
      <c r="E629" s="205"/>
      <c r="F629" s="204"/>
      <c r="G629" s="208"/>
      <c r="I629" s="254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  <c r="AB629" s="201"/>
    </row>
    <row r="630" spans="1:28" ht="12.75">
      <c r="A630" s="203"/>
      <c r="B630" s="203"/>
      <c r="D630" s="204"/>
      <c r="E630" s="205"/>
      <c r="F630" s="204"/>
      <c r="G630" s="207"/>
      <c r="I630" s="254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</row>
    <row r="631" spans="1:28" ht="12.75">
      <c r="A631" s="203"/>
      <c r="B631" s="203"/>
      <c r="D631" s="204"/>
      <c r="E631" s="205"/>
      <c r="F631" s="204"/>
      <c r="G631" s="208"/>
      <c r="I631" s="254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</row>
    <row r="632" spans="1:28" ht="12.75">
      <c r="A632" s="203"/>
      <c r="B632" s="203"/>
      <c r="D632" s="204"/>
      <c r="E632" s="205"/>
      <c r="F632" s="204"/>
      <c r="G632" s="204"/>
      <c r="I632" s="254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</row>
    <row r="633" spans="1:28" ht="12.75">
      <c r="A633" s="203"/>
      <c r="B633" s="203"/>
      <c r="D633" s="204"/>
      <c r="E633" s="205"/>
      <c r="F633" s="204"/>
      <c r="G633" s="208"/>
      <c r="I633" s="254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</row>
    <row r="634" spans="1:28" ht="12.75">
      <c r="A634" s="203"/>
      <c r="B634" s="203"/>
      <c r="D634" s="204"/>
      <c r="E634" s="205"/>
      <c r="F634" s="204"/>
      <c r="G634" s="204"/>
      <c r="I634" s="254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</row>
    <row r="635" spans="1:28" ht="12.75">
      <c r="A635" s="203"/>
      <c r="B635" s="203"/>
      <c r="D635" s="204"/>
      <c r="E635" s="205"/>
      <c r="F635" s="204"/>
      <c r="G635" s="204"/>
      <c r="I635" s="254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</row>
    <row r="636" spans="1:28" ht="12.75">
      <c r="A636" s="203"/>
      <c r="B636" s="203"/>
      <c r="D636" s="204"/>
      <c r="E636" s="205"/>
      <c r="F636" s="204"/>
      <c r="G636" s="204"/>
      <c r="I636" s="254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  <c r="AB636" s="201"/>
    </row>
    <row r="637" spans="1:28" ht="12.75">
      <c r="A637" s="203"/>
      <c r="B637" s="203"/>
      <c r="D637" s="204"/>
      <c r="E637" s="205"/>
      <c r="F637" s="204"/>
      <c r="G637" s="204"/>
      <c r="I637" s="254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</row>
    <row r="638" spans="1:28" ht="12.75">
      <c r="A638" s="203"/>
      <c r="B638" s="203"/>
      <c r="D638" s="204"/>
      <c r="E638" s="205"/>
      <c r="F638" s="204"/>
      <c r="G638" s="204"/>
      <c r="I638" s="254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</row>
    <row r="639" spans="1:28" ht="12.75">
      <c r="A639" s="203"/>
      <c r="B639" s="203"/>
      <c r="D639" s="204"/>
      <c r="E639" s="205"/>
      <c r="F639" s="204"/>
      <c r="G639" s="204"/>
      <c r="I639" s="254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</row>
    <row r="640" spans="1:28" ht="12.75">
      <c r="A640" s="203"/>
      <c r="B640" s="203"/>
      <c r="D640" s="204"/>
      <c r="E640" s="205"/>
      <c r="F640" s="204"/>
      <c r="G640" s="204"/>
      <c r="I640" s="254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</row>
    <row r="641" spans="1:28" ht="12.75">
      <c r="A641" s="203"/>
      <c r="B641" s="203"/>
      <c r="D641" s="204"/>
      <c r="E641" s="205"/>
      <c r="F641" s="204"/>
      <c r="G641" s="204"/>
      <c r="I641" s="254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</row>
    <row r="642" spans="1:28" ht="12.75">
      <c r="A642" s="203"/>
      <c r="B642" s="203"/>
      <c r="D642" s="204"/>
      <c r="E642" s="205"/>
      <c r="F642" s="204"/>
      <c r="G642" s="204"/>
      <c r="I642" s="254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</row>
    <row r="643" spans="1:28" ht="12.75">
      <c r="A643" s="203"/>
      <c r="B643" s="203"/>
      <c r="D643" s="204"/>
      <c r="E643" s="205"/>
      <c r="F643" s="204"/>
      <c r="G643" s="204"/>
      <c r="I643" s="254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  <c r="AB643" s="201"/>
    </row>
    <row r="644" spans="1:28" ht="12.75">
      <c r="A644" s="203"/>
      <c r="B644" s="203"/>
      <c r="D644" s="204"/>
      <c r="E644" s="205"/>
      <c r="F644" s="204"/>
      <c r="G644" s="204"/>
      <c r="I644" s="254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  <c r="AB644" s="201"/>
    </row>
    <row r="645" spans="1:28" ht="12.75">
      <c r="A645" s="203"/>
      <c r="B645" s="203"/>
      <c r="D645" s="204"/>
      <c r="E645" s="205"/>
      <c r="F645" s="204"/>
      <c r="G645" s="204"/>
      <c r="I645" s="254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  <c r="AB645" s="201"/>
    </row>
    <row r="646" spans="1:28" ht="12.75">
      <c r="A646" s="203"/>
      <c r="B646" s="203"/>
      <c r="D646" s="204"/>
      <c r="E646" s="205"/>
      <c r="F646" s="204"/>
      <c r="G646" s="204"/>
      <c r="I646" s="254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  <c r="AB646" s="201"/>
    </row>
    <row r="647" spans="1:28" ht="12.75">
      <c r="A647" s="203"/>
      <c r="B647" s="203"/>
      <c r="D647" s="204"/>
      <c r="E647" s="205"/>
      <c r="F647" s="204"/>
      <c r="G647" s="204"/>
      <c r="I647" s="254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</row>
    <row r="648" spans="1:28" ht="12.75">
      <c r="A648" s="203"/>
      <c r="B648" s="203"/>
      <c r="D648" s="204"/>
      <c r="E648" s="205"/>
      <c r="F648" s="204"/>
      <c r="G648" s="204"/>
      <c r="I648" s="254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</row>
    <row r="649" spans="1:28" ht="12.75">
      <c r="A649" s="203"/>
      <c r="B649" s="203"/>
      <c r="D649" s="204"/>
      <c r="E649" s="205"/>
      <c r="F649" s="204"/>
      <c r="G649" s="204"/>
      <c r="I649" s="254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  <c r="AB649" s="201"/>
    </row>
    <row r="650" spans="1:28" ht="12.75">
      <c r="A650" s="203"/>
      <c r="B650" s="203"/>
      <c r="D650" s="204"/>
      <c r="E650" s="205"/>
      <c r="F650" s="204"/>
      <c r="G650" s="204"/>
      <c r="I650" s="254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</row>
    <row r="651" spans="1:28" ht="12.75">
      <c r="A651" s="203"/>
      <c r="B651" s="203"/>
      <c r="D651" s="204"/>
      <c r="E651" s="205"/>
      <c r="F651" s="204"/>
      <c r="G651" s="204"/>
      <c r="I651" s="254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  <c r="AB651" s="201"/>
    </row>
    <row r="652" spans="1:28" ht="12.75">
      <c r="A652" s="203"/>
      <c r="B652" s="203"/>
      <c r="D652" s="204"/>
      <c r="E652" s="205"/>
      <c r="F652" s="204"/>
      <c r="G652" s="204"/>
      <c r="I652" s="254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  <c r="AB652" s="201"/>
    </row>
    <row r="653" spans="1:28" ht="12.75">
      <c r="A653" s="203"/>
      <c r="B653" s="203"/>
      <c r="D653" s="204"/>
      <c r="E653" s="205"/>
      <c r="F653" s="204"/>
      <c r="G653" s="204"/>
      <c r="I653" s="254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  <c r="AB653" s="201"/>
    </row>
    <row r="654" spans="1:28" ht="12.75">
      <c r="A654" s="203"/>
      <c r="B654" s="203"/>
      <c r="D654" s="204"/>
      <c r="E654" s="205"/>
      <c r="F654" s="204"/>
      <c r="G654" s="204"/>
      <c r="I654" s="254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  <c r="AB654" s="201"/>
    </row>
    <row r="655" spans="1:28" ht="12.75">
      <c r="A655" s="203"/>
      <c r="B655" s="203"/>
      <c r="D655" s="41"/>
      <c r="E655" s="205"/>
      <c r="F655" s="204"/>
      <c r="G655" s="204"/>
      <c r="I655" s="254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  <c r="AB655" s="201"/>
    </row>
    <row r="656" spans="1:28" ht="12.75">
      <c r="A656" s="203"/>
      <c r="B656" s="203"/>
      <c r="D656" s="204"/>
      <c r="E656" s="205"/>
      <c r="F656" s="204"/>
      <c r="G656" s="204"/>
      <c r="I656" s="254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  <c r="AB656" s="201"/>
    </row>
    <row r="657" spans="1:28" ht="12.75">
      <c r="A657" s="203"/>
      <c r="B657" s="203"/>
      <c r="D657" s="207"/>
      <c r="E657" s="205"/>
      <c r="F657" s="207"/>
      <c r="G657" s="207"/>
      <c r="I657" s="254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  <c r="AB657" s="201"/>
    </row>
    <row r="658" spans="1:28" ht="12.75">
      <c r="A658" s="203"/>
      <c r="B658" s="203"/>
      <c r="D658" s="204"/>
      <c r="E658" s="205"/>
      <c r="F658" s="204"/>
      <c r="G658" s="204"/>
      <c r="I658" s="254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  <c r="AB658" s="201"/>
    </row>
    <row r="659" spans="1:28" ht="12.75">
      <c r="A659" s="203"/>
      <c r="B659" s="203"/>
      <c r="D659" s="204"/>
      <c r="E659" s="205"/>
      <c r="F659" s="204"/>
      <c r="G659" s="204"/>
      <c r="I659" s="254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  <c r="AB659" s="201"/>
    </row>
    <row r="660" spans="1:28" ht="12.75">
      <c r="A660" s="203"/>
      <c r="B660" s="203"/>
      <c r="D660" s="204"/>
      <c r="E660" s="205"/>
      <c r="F660" s="204"/>
      <c r="G660" s="204"/>
      <c r="I660" s="254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  <c r="AB660" s="201"/>
    </row>
    <row r="661" spans="1:28" ht="12.75">
      <c r="A661" s="203"/>
      <c r="B661" s="203"/>
      <c r="D661" s="204"/>
      <c r="E661" s="205"/>
      <c r="F661" s="204"/>
      <c r="G661" s="204"/>
      <c r="I661" s="254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  <c r="AB661" s="201"/>
    </row>
    <row r="662" spans="1:28" ht="12.75">
      <c r="A662" s="203"/>
      <c r="B662" s="203"/>
      <c r="D662" s="204"/>
      <c r="E662" s="205"/>
      <c r="F662" s="204"/>
      <c r="G662" s="204"/>
      <c r="I662" s="254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  <c r="AB662" s="201"/>
    </row>
    <row r="663" spans="1:28" ht="12.75">
      <c r="A663" s="203"/>
      <c r="B663" s="203"/>
      <c r="D663" s="204"/>
      <c r="E663" s="205"/>
      <c r="F663" s="204"/>
      <c r="G663" s="204"/>
      <c r="I663" s="254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  <c r="AB663" s="201"/>
    </row>
    <row r="664" spans="1:28" ht="12.75">
      <c r="A664" s="203"/>
      <c r="B664" s="203"/>
      <c r="D664" s="204"/>
      <c r="E664" s="205"/>
      <c r="F664" s="204"/>
      <c r="G664" s="204"/>
      <c r="I664" s="254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  <c r="AB664" s="201"/>
    </row>
    <row r="665" spans="1:28" ht="12.75">
      <c r="A665" s="203"/>
      <c r="B665" s="203"/>
      <c r="D665" s="204"/>
      <c r="E665" s="205"/>
      <c r="F665" s="204"/>
      <c r="G665" s="204"/>
      <c r="I665" s="254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  <c r="AB665" s="201"/>
    </row>
    <row r="666" spans="1:28" ht="12.75">
      <c r="A666" s="203"/>
      <c r="B666" s="203"/>
      <c r="D666" s="204"/>
      <c r="E666" s="205"/>
      <c r="F666" s="204"/>
      <c r="G666" s="204"/>
      <c r="I666" s="254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  <c r="AB666" s="201"/>
    </row>
    <row r="667" spans="1:28" ht="12.75">
      <c r="A667" s="203"/>
      <c r="B667" s="203"/>
      <c r="D667" s="204"/>
      <c r="E667" s="205"/>
      <c r="F667" s="204"/>
      <c r="G667" s="204"/>
      <c r="I667" s="254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  <c r="AB667" s="201"/>
    </row>
    <row r="668" spans="1:28" ht="12.75">
      <c r="A668" s="203"/>
      <c r="B668" s="203"/>
      <c r="D668" s="204"/>
      <c r="E668" s="205"/>
      <c r="F668" s="204"/>
      <c r="G668" s="204"/>
      <c r="I668" s="254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  <c r="AB668" s="201"/>
    </row>
    <row r="669" spans="1:28" ht="12.75">
      <c r="A669" s="203"/>
      <c r="B669" s="203"/>
      <c r="D669" s="204"/>
      <c r="E669" s="205"/>
      <c r="F669" s="204"/>
      <c r="G669" s="204"/>
      <c r="I669" s="254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  <c r="AB669" s="201"/>
    </row>
    <row r="670" spans="1:28" ht="12.75">
      <c r="A670" s="203"/>
      <c r="B670" s="203"/>
      <c r="D670" s="204"/>
      <c r="E670" s="205"/>
      <c r="F670" s="204"/>
      <c r="G670" s="204"/>
      <c r="I670" s="254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  <c r="AB670" s="201"/>
    </row>
    <row r="671" spans="1:28" ht="12.75">
      <c r="A671" s="203"/>
      <c r="B671" s="203"/>
      <c r="D671" s="204"/>
      <c r="E671" s="205"/>
      <c r="F671" s="204"/>
      <c r="G671" s="204"/>
      <c r="I671" s="254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  <c r="AB671" s="201"/>
    </row>
    <row r="672" spans="1:28" ht="12.75">
      <c r="A672" s="203"/>
      <c r="B672" s="203"/>
      <c r="D672" s="204"/>
      <c r="E672" s="205"/>
      <c r="F672" s="204"/>
      <c r="G672" s="204"/>
      <c r="I672" s="254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  <c r="AB672" s="201"/>
    </row>
    <row r="673" spans="1:28" ht="12.75">
      <c r="A673" s="203"/>
      <c r="B673" s="203"/>
      <c r="D673" s="204"/>
      <c r="E673" s="205"/>
      <c r="F673" s="204"/>
      <c r="G673" s="204"/>
      <c r="I673" s="254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  <c r="AB673" s="201"/>
    </row>
    <row r="674" spans="1:28" ht="12.75">
      <c r="A674" s="203"/>
      <c r="B674" s="203"/>
      <c r="D674" s="204"/>
      <c r="E674" s="205"/>
      <c r="F674" s="204"/>
      <c r="G674" s="204"/>
      <c r="I674" s="254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  <c r="AB674" s="201"/>
    </row>
    <row r="675" spans="1:28" ht="12.75">
      <c r="A675" s="203"/>
      <c r="B675" s="203"/>
      <c r="D675" s="204"/>
      <c r="E675" s="205"/>
      <c r="F675" s="204"/>
      <c r="G675" s="204"/>
      <c r="I675" s="254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</row>
    <row r="676" spans="1:28" ht="12.75">
      <c r="A676" s="203"/>
      <c r="B676" s="203"/>
      <c r="D676" s="204"/>
      <c r="E676" s="205"/>
      <c r="F676" s="204"/>
      <c r="G676" s="204"/>
      <c r="I676" s="254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  <c r="AB676" s="201"/>
    </row>
    <row r="677" spans="1:28" ht="12.75">
      <c r="A677" s="203"/>
      <c r="B677" s="203"/>
      <c r="D677" s="204"/>
      <c r="E677" s="205"/>
      <c r="F677" s="204"/>
      <c r="G677" s="208"/>
      <c r="I677" s="254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  <c r="AB677" s="201"/>
    </row>
    <row r="678" spans="1:28" ht="12.75">
      <c r="A678" s="203"/>
      <c r="B678" s="203"/>
      <c r="D678" s="204"/>
      <c r="E678" s="205"/>
      <c r="F678" s="205"/>
      <c r="G678" s="208"/>
      <c r="I678" s="254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  <c r="AB678" s="201"/>
    </row>
    <row r="679" spans="1:28" ht="12.75">
      <c r="A679" s="203"/>
      <c r="B679" s="203"/>
      <c r="D679" s="204"/>
      <c r="E679" s="205"/>
      <c r="F679" s="204"/>
      <c r="G679" s="208"/>
      <c r="I679" s="254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  <c r="AB679" s="201"/>
    </row>
    <row r="680" spans="1:28" ht="12.75">
      <c r="A680" s="203"/>
      <c r="B680" s="203"/>
      <c r="D680" s="204"/>
      <c r="E680" s="205"/>
      <c r="F680" s="204"/>
      <c r="G680" s="208"/>
      <c r="I680" s="254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  <c r="AB680" s="201"/>
    </row>
    <row r="681" spans="1:28" ht="12.75">
      <c r="A681" s="203"/>
      <c r="B681" s="203"/>
      <c r="D681" s="208"/>
      <c r="E681" s="205"/>
      <c r="F681" s="208"/>
      <c r="G681" s="208"/>
      <c r="I681" s="254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  <c r="AB681" s="201"/>
    </row>
    <row r="682" spans="1:28" ht="12.75">
      <c r="A682" s="203"/>
      <c r="B682" s="203"/>
      <c r="D682" s="204"/>
      <c r="E682" s="205"/>
      <c r="F682" s="204"/>
      <c r="G682" s="208"/>
      <c r="I682" s="254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  <c r="AB682" s="201"/>
    </row>
    <row r="683" spans="1:28" ht="12.75">
      <c r="A683" s="203"/>
      <c r="B683" s="203"/>
      <c r="D683" s="204"/>
      <c r="E683" s="205"/>
      <c r="F683" s="204"/>
      <c r="G683" s="204"/>
      <c r="I683" s="254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  <c r="AB683" s="201"/>
    </row>
    <row r="684" spans="1:28" ht="12.75">
      <c r="A684" s="203"/>
      <c r="B684" s="203"/>
      <c r="D684" s="204"/>
      <c r="E684" s="205"/>
      <c r="F684" s="204"/>
      <c r="G684" s="204"/>
      <c r="I684" s="254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  <c r="AB684" s="201"/>
    </row>
    <row r="685" spans="1:28" ht="12.75">
      <c r="A685" s="203"/>
      <c r="B685" s="203"/>
      <c r="D685" s="204"/>
      <c r="E685" s="205"/>
      <c r="F685" s="204"/>
      <c r="G685" s="204"/>
      <c r="I685" s="254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</row>
    <row r="686" spans="1:28" ht="12.75">
      <c r="A686" s="203"/>
      <c r="B686" s="203"/>
      <c r="D686" s="204"/>
      <c r="E686" s="205"/>
      <c r="F686" s="204"/>
      <c r="G686" s="204"/>
      <c r="I686" s="254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</row>
    <row r="687" spans="1:28" ht="12.75">
      <c r="A687" s="203"/>
      <c r="B687" s="203"/>
      <c r="D687" s="204"/>
      <c r="E687" s="205"/>
      <c r="F687" s="204"/>
      <c r="G687" s="204"/>
      <c r="I687" s="254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</row>
    <row r="688" spans="1:28" ht="12.75">
      <c r="A688" s="203"/>
      <c r="B688" s="203"/>
      <c r="D688" s="205"/>
      <c r="E688" s="205"/>
      <c r="F688" s="205"/>
      <c r="G688" s="205"/>
      <c r="I688" s="254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</row>
    <row r="689" spans="1:28" ht="12.75">
      <c r="A689" s="203"/>
      <c r="B689" s="203"/>
      <c r="D689" s="205"/>
      <c r="E689" s="205"/>
      <c r="F689" s="205"/>
      <c r="G689" s="205"/>
      <c r="I689" s="254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</row>
    <row r="690" spans="1:28" ht="12.75">
      <c r="A690" s="203"/>
      <c r="B690" s="203"/>
      <c r="D690" s="205"/>
      <c r="E690" s="205"/>
      <c r="F690" s="205"/>
      <c r="G690" s="205"/>
      <c r="I690" s="254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</row>
    <row r="691" spans="1:28" ht="12.75">
      <c r="A691" s="203"/>
      <c r="B691" s="203"/>
      <c r="D691" s="205"/>
      <c r="E691" s="205"/>
      <c r="F691" s="205"/>
      <c r="G691" s="205"/>
      <c r="I691" s="254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</row>
    <row r="692" spans="1:28" ht="12.75">
      <c r="A692" s="203"/>
      <c r="B692" s="203"/>
      <c r="D692" s="205"/>
      <c r="E692" s="205"/>
      <c r="F692" s="205"/>
      <c r="G692" s="205"/>
      <c r="I692" s="254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  <c r="AB692" s="201"/>
    </row>
    <row r="693" spans="1:28" ht="12.75">
      <c r="A693" s="203"/>
      <c r="B693" s="203"/>
      <c r="D693" s="205"/>
      <c r="E693" s="205"/>
      <c r="F693" s="205"/>
      <c r="G693" s="205"/>
      <c r="I693" s="254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</row>
    <row r="694" spans="1:28" ht="12.75">
      <c r="A694" s="203"/>
      <c r="B694" s="203"/>
      <c r="D694" s="205"/>
      <c r="E694" s="205"/>
      <c r="F694" s="205"/>
      <c r="G694" s="205"/>
      <c r="I694" s="254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</row>
    <row r="695" spans="1:28" ht="12.75">
      <c r="A695" s="203"/>
      <c r="B695" s="203"/>
      <c r="D695" s="205"/>
      <c r="E695" s="205"/>
      <c r="F695" s="205"/>
      <c r="G695" s="205"/>
      <c r="I695" s="254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</row>
    <row r="696" spans="1:28" ht="12.75">
      <c r="A696" s="203"/>
      <c r="B696" s="203"/>
      <c r="D696" s="205"/>
      <c r="E696" s="205"/>
      <c r="F696" s="205"/>
      <c r="G696" s="205"/>
      <c r="I696" s="254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</row>
    <row r="697" spans="1:28" ht="12.75">
      <c r="A697" s="203"/>
      <c r="B697" s="203"/>
      <c r="D697" s="205"/>
      <c r="E697" s="205"/>
      <c r="F697" s="205"/>
      <c r="G697" s="205"/>
      <c r="I697" s="254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</row>
    <row r="698" spans="1:28" ht="12.75">
      <c r="A698" s="203"/>
      <c r="B698" s="203"/>
      <c r="D698" s="204"/>
      <c r="E698" s="205"/>
      <c r="F698" s="204"/>
      <c r="G698" s="204"/>
      <c r="I698" s="254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</row>
    <row r="699" spans="1:28" ht="12.75">
      <c r="A699" s="203"/>
      <c r="B699" s="203"/>
      <c r="D699" s="204"/>
      <c r="E699" s="205"/>
      <c r="F699" s="204"/>
      <c r="G699" s="204"/>
      <c r="I699" s="254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  <c r="AB699" s="201"/>
    </row>
    <row r="700" spans="1:28" ht="12.75">
      <c r="A700" s="203"/>
      <c r="B700" s="203"/>
      <c r="D700" s="205"/>
      <c r="E700" s="205"/>
      <c r="F700" s="205"/>
      <c r="G700" s="205"/>
      <c r="I700" s="254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</row>
    <row r="701" spans="1:28" ht="12.75">
      <c r="A701" s="203"/>
      <c r="B701" s="203"/>
      <c r="D701" s="205"/>
      <c r="E701" s="205"/>
      <c r="F701" s="205"/>
      <c r="G701" s="205"/>
      <c r="I701" s="254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</row>
    <row r="702" spans="1:28" ht="12.75">
      <c r="A702" s="203"/>
      <c r="B702" s="203"/>
      <c r="D702" s="205"/>
      <c r="E702" s="205"/>
      <c r="F702" s="205"/>
      <c r="G702" s="205"/>
      <c r="I702" s="254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</row>
    <row r="703" spans="1:28" ht="12.75">
      <c r="A703" s="203"/>
      <c r="B703" s="203"/>
      <c r="D703" s="205"/>
      <c r="E703" s="205"/>
      <c r="F703" s="205"/>
      <c r="G703" s="205"/>
      <c r="I703" s="254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</row>
    <row r="704" spans="1:28" ht="12.75">
      <c r="A704" s="203"/>
      <c r="B704" s="203"/>
      <c r="D704" s="209"/>
      <c r="E704" s="205"/>
      <c r="F704" s="209"/>
      <c r="G704" s="209"/>
      <c r="I704" s="254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</row>
    <row r="705" spans="1:28" ht="12.75">
      <c r="A705" s="203"/>
      <c r="B705" s="203"/>
      <c r="D705" s="207"/>
      <c r="E705" s="205"/>
      <c r="F705" s="207"/>
      <c r="G705" s="207"/>
      <c r="I705" s="254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</row>
    <row r="706" spans="1:28" ht="12.75">
      <c r="A706" s="203"/>
      <c r="B706" s="203"/>
      <c r="D706" s="208"/>
      <c r="E706" s="205"/>
      <c r="F706" s="208"/>
      <c r="G706" s="208"/>
      <c r="I706" s="254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</row>
    <row r="707" spans="1:28" ht="12.75">
      <c r="A707" s="203"/>
      <c r="B707" s="203"/>
      <c r="D707" s="208"/>
      <c r="E707" s="205"/>
      <c r="F707" s="208"/>
      <c r="G707" s="208"/>
      <c r="I707" s="254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  <c r="AB707" s="201"/>
    </row>
    <row r="708" spans="1:28" ht="12.75">
      <c r="A708" s="203"/>
      <c r="B708" s="203"/>
      <c r="D708" s="204"/>
      <c r="E708" s="205"/>
      <c r="F708" s="204"/>
      <c r="G708" s="208"/>
      <c r="I708" s="254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</row>
    <row r="709" spans="1:28" ht="12.75">
      <c r="A709" s="203"/>
      <c r="B709" s="203"/>
      <c r="D709" s="204"/>
      <c r="E709" s="205"/>
      <c r="F709" s="205"/>
      <c r="G709" s="208"/>
      <c r="I709" s="254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  <c r="AB709" s="201"/>
    </row>
    <row r="710" spans="1:28" ht="12.75">
      <c r="A710" s="203"/>
      <c r="B710" s="203"/>
      <c r="D710" s="204"/>
      <c r="E710" s="205"/>
      <c r="F710" s="204"/>
      <c r="G710" s="208"/>
      <c r="I710" s="254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</row>
    <row r="711" spans="1:28" ht="12.75">
      <c r="A711" s="203"/>
      <c r="B711" s="203"/>
      <c r="D711" s="204"/>
      <c r="E711" s="205"/>
      <c r="F711" s="204"/>
      <c r="G711" s="208"/>
      <c r="I711" s="254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</row>
    <row r="712" spans="1:28" ht="12.75">
      <c r="A712" s="203"/>
      <c r="B712" s="203"/>
      <c r="D712" s="204"/>
      <c r="E712" s="205"/>
      <c r="F712" s="204"/>
      <c r="G712" s="208"/>
      <c r="I712" s="254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</row>
    <row r="713" spans="1:28" ht="12.75">
      <c r="A713" s="203"/>
      <c r="B713" s="203"/>
      <c r="D713" s="204"/>
      <c r="E713" s="205"/>
      <c r="F713" s="204"/>
      <c r="G713" s="208"/>
      <c r="I713" s="254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</row>
    <row r="714" spans="1:28" ht="12.75">
      <c r="A714" s="203"/>
      <c r="B714" s="203"/>
      <c r="D714" s="204"/>
      <c r="E714" s="205"/>
      <c r="F714" s="204"/>
      <c r="G714" s="208"/>
      <c r="I714" s="254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</row>
    <row r="715" spans="1:28" ht="12.75">
      <c r="A715" s="203"/>
      <c r="B715" s="203"/>
      <c r="D715" s="204"/>
      <c r="E715" s="205"/>
      <c r="F715" s="204"/>
      <c r="G715" s="208"/>
      <c r="I715" s="254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</row>
    <row r="716" spans="1:28" ht="12.75">
      <c r="A716" s="203"/>
      <c r="B716" s="203"/>
      <c r="D716" s="204"/>
      <c r="E716" s="205"/>
      <c r="F716" s="204"/>
      <c r="G716" s="208"/>
      <c r="I716" s="254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</row>
    <row r="717" spans="1:28" ht="12.75">
      <c r="A717" s="203"/>
      <c r="B717" s="203"/>
      <c r="D717" s="204"/>
      <c r="E717" s="205"/>
      <c r="F717" s="204"/>
      <c r="G717" s="208"/>
      <c r="I717" s="254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</row>
    <row r="718" spans="1:28" ht="12.75">
      <c r="A718" s="203"/>
      <c r="B718" s="203"/>
      <c r="D718" s="204"/>
      <c r="E718" s="205"/>
      <c r="F718" s="204"/>
      <c r="G718" s="207"/>
      <c r="I718" s="254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</row>
    <row r="719" spans="1:28" ht="12.75">
      <c r="A719" s="203"/>
      <c r="B719" s="203"/>
      <c r="D719" s="204"/>
      <c r="E719" s="205"/>
      <c r="F719" s="204"/>
      <c r="G719" s="208"/>
      <c r="I719" s="254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</row>
    <row r="720" spans="1:28" ht="12.75">
      <c r="A720" s="203"/>
      <c r="B720" s="203"/>
      <c r="D720" s="204"/>
      <c r="E720" s="205"/>
      <c r="F720" s="204"/>
      <c r="G720" s="204"/>
      <c r="I720" s="254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</row>
    <row r="721" spans="1:28" ht="12.75">
      <c r="A721" s="203"/>
      <c r="B721" s="203"/>
      <c r="D721" s="204"/>
      <c r="E721" s="205"/>
      <c r="F721" s="204"/>
      <c r="G721" s="208"/>
      <c r="I721" s="254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</row>
    <row r="722" spans="1:28" ht="12.75">
      <c r="A722" s="203"/>
      <c r="B722" s="203"/>
      <c r="D722" s="204"/>
      <c r="E722" s="205"/>
      <c r="F722" s="204"/>
      <c r="G722" s="204"/>
      <c r="I722" s="254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  <c r="AB722" s="201"/>
    </row>
    <row r="723" spans="1:28" ht="12.75">
      <c r="A723" s="203"/>
      <c r="B723" s="203"/>
      <c r="D723" s="204"/>
      <c r="E723" s="205"/>
      <c r="F723" s="204"/>
      <c r="G723" s="204"/>
      <c r="I723" s="254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  <c r="AB723" s="201"/>
    </row>
    <row r="724" spans="1:28" ht="12.75">
      <c r="A724" s="203"/>
      <c r="B724" s="203"/>
      <c r="D724" s="204"/>
      <c r="E724" s="205"/>
      <c r="F724" s="204"/>
      <c r="G724" s="204"/>
      <c r="I724" s="254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</row>
    <row r="725" spans="1:28" ht="12.75">
      <c r="A725" s="203"/>
      <c r="B725" s="203"/>
      <c r="D725" s="204"/>
      <c r="E725" s="205"/>
      <c r="F725" s="204"/>
      <c r="G725" s="204"/>
      <c r="I725" s="254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</row>
    <row r="726" spans="1:28" ht="12.75">
      <c r="A726" s="203"/>
      <c r="B726" s="203"/>
      <c r="D726" s="204"/>
      <c r="E726" s="205"/>
      <c r="F726" s="204"/>
      <c r="G726" s="204"/>
      <c r="I726" s="254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</row>
    <row r="727" spans="1:28" ht="12.75">
      <c r="A727" s="203"/>
      <c r="B727" s="203"/>
      <c r="D727" s="204"/>
      <c r="E727" s="205"/>
      <c r="F727" s="204"/>
      <c r="G727" s="204"/>
      <c r="I727" s="254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</row>
    <row r="728" spans="1:28" ht="12.75">
      <c r="A728" s="203"/>
      <c r="B728" s="203"/>
      <c r="D728" s="204"/>
      <c r="E728" s="205"/>
      <c r="F728" s="204"/>
      <c r="G728" s="204"/>
      <c r="I728" s="254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</row>
    <row r="729" spans="1:28" ht="12.75">
      <c r="A729" s="203"/>
      <c r="B729" s="203"/>
      <c r="D729" s="204"/>
      <c r="E729" s="205"/>
      <c r="F729" s="204"/>
      <c r="G729" s="204"/>
      <c r="I729" s="254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</row>
    <row r="730" spans="1:28" ht="12.75">
      <c r="A730" s="203"/>
      <c r="B730" s="203"/>
      <c r="D730" s="204"/>
      <c r="E730" s="205"/>
      <c r="F730" s="204"/>
      <c r="G730" s="204"/>
      <c r="I730" s="254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</row>
    <row r="731" spans="1:28" ht="12.75">
      <c r="A731" s="203"/>
      <c r="B731" s="203"/>
      <c r="D731" s="204"/>
      <c r="E731" s="205"/>
      <c r="F731" s="204"/>
      <c r="G731" s="204"/>
      <c r="I731" s="254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</row>
    <row r="732" spans="1:28" ht="12.75">
      <c r="A732" s="203"/>
      <c r="B732" s="203"/>
      <c r="D732" s="204"/>
      <c r="E732" s="205"/>
      <c r="F732" s="204"/>
      <c r="G732" s="204"/>
      <c r="I732" s="254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</row>
    <row r="733" spans="1:28" ht="12.75">
      <c r="A733" s="203"/>
      <c r="B733" s="203"/>
      <c r="D733" s="204"/>
      <c r="E733" s="205"/>
      <c r="F733" s="204"/>
      <c r="G733" s="204"/>
      <c r="I733" s="254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</row>
    <row r="734" spans="1:28" ht="12.75">
      <c r="A734" s="203"/>
      <c r="B734" s="203"/>
      <c r="D734" s="204"/>
      <c r="E734" s="205"/>
      <c r="F734" s="204"/>
      <c r="G734" s="204"/>
      <c r="I734" s="254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</row>
    <row r="735" spans="1:28" ht="12.75">
      <c r="A735" s="203"/>
      <c r="B735" s="203"/>
      <c r="D735" s="204"/>
      <c r="E735" s="205"/>
      <c r="F735" s="204"/>
      <c r="G735" s="204"/>
      <c r="I735" s="254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</row>
    <row r="736" spans="1:28" ht="12.75">
      <c r="A736" s="203"/>
      <c r="B736" s="203"/>
      <c r="D736" s="204"/>
      <c r="E736" s="205"/>
      <c r="F736" s="204"/>
      <c r="G736" s="204"/>
      <c r="I736" s="254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</row>
    <row r="737" spans="1:28" ht="12.75">
      <c r="A737" s="203"/>
      <c r="B737" s="203"/>
      <c r="D737" s="204"/>
      <c r="E737" s="205"/>
      <c r="F737" s="204"/>
      <c r="G737" s="204"/>
      <c r="I737" s="254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  <c r="AB737" s="201"/>
    </row>
    <row r="738" spans="1:28" ht="12.75">
      <c r="A738" s="203"/>
      <c r="B738" s="203"/>
      <c r="D738" s="204"/>
      <c r="E738" s="205"/>
      <c r="F738" s="204"/>
      <c r="G738" s="204"/>
      <c r="I738" s="254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  <c r="AB738" s="201"/>
    </row>
    <row r="739" spans="1:28" ht="12.75">
      <c r="A739" s="203"/>
      <c r="B739" s="203"/>
      <c r="D739" s="204"/>
      <c r="E739" s="205"/>
      <c r="F739" s="204"/>
      <c r="G739" s="204"/>
      <c r="I739" s="254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  <c r="AB739" s="201"/>
    </row>
    <row r="740" spans="1:28" ht="12.75">
      <c r="A740" s="203"/>
      <c r="B740" s="203"/>
      <c r="D740" s="204"/>
      <c r="E740" s="205"/>
      <c r="F740" s="204"/>
      <c r="G740" s="204"/>
      <c r="I740" s="254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</row>
    <row r="741" spans="1:28" ht="12.75">
      <c r="A741" s="203"/>
      <c r="B741" s="203"/>
      <c r="D741" s="204"/>
      <c r="E741" s="205"/>
      <c r="F741" s="204"/>
      <c r="G741" s="204"/>
      <c r="I741" s="254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</row>
    <row r="742" spans="1:28" ht="12.75">
      <c r="A742" s="203"/>
      <c r="B742" s="203"/>
      <c r="D742" s="204"/>
      <c r="E742" s="205"/>
      <c r="F742" s="204"/>
      <c r="G742" s="204"/>
      <c r="I742" s="254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</row>
    <row r="743" spans="1:28" ht="12.75">
      <c r="A743" s="203"/>
      <c r="B743" s="203"/>
      <c r="D743" s="41"/>
      <c r="E743" s="205"/>
      <c r="F743" s="204"/>
      <c r="G743" s="204"/>
      <c r="I743" s="254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  <c r="AB743" s="201"/>
    </row>
    <row r="744" spans="1:28" ht="12.75">
      <c r="A744" s="203"/>
      <c r="B744" s="203"/>
      <c r="D744" s="204"/>
      <c r="E744" s="205"/>
      <c r="F744" s="204"/>
      <c r="G744" s="204"/>
      <c r="I744" s="254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</row>
    <row r="745" spans="1:28" ht="12.75">
      <c r="A745" s="203"/>
      <c r="B745" s="203"/>
      <c r="D745" s="207"/>
      <c r="E745" s="205"/>
      <c r="F745" s="207"/>
      <c r="G745" s="207"/>
      <c r="I745" s="254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</row>
    <row r="746" spans="1:28" ht="12.75">
      <c r="A746" s="203"/>
      <c r="B746" s="203"/>
      <c r="D746" s="204"/>
      <c r="E746" s="205"/>
      <c r="F746" s="204"/>
      <c r="G746" s="204"/>
      <c r="I746" s="254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  <c r="AB746" s="201"/>
    </row>
    <row r="747" spans="1:28" ht="12.75">
      <c r="A747" s="203"/>
      <c r="B747" s="203"/>
      <c r="D747" s="204"/>
      <c r="E747" s="205"/>
      <c r="F747" s="204"/>
      <c r="G747" s="204"/>
      <c r="I747" s="254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</row>
    <row r="748" spans="1:28" ht="12.75">
      <c r="A748" s="203"/>
      <c r="B748" s="203"/>
      <c r="D748" s="204"/>
      <c r="E748" s="205"/>
      <c r="F748" s="204"/>
      <c r="G748" s="204"/>
      <c r="I748" s="254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</row>
    <row r="749" spans="1:28" ht="12.75">
      <c r="A749" s="203"/>
      <c r="B749" s="203"/>
      <c r="D749" s="204"/>
      <c r="E749" s="205"/>
      <c r="F749" s="204"/>
      <c r="G749" s="204"/>
      <c r="I749" s="254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</row>
    <row r="750" spans="1:28" ht="12.75">
      <c r="A750" s="203"/>
      <c r="B750" s="203"/>
      <c r="D750" s="204"/>
      <c r="E750" s="205"/>
      <c r="F750" s="204"/>
      <c r="G750" s="204"/>
      <c r="I750" s="254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</row>
    <row r="751" spans="1:28" ht="12.75">
      <c r="A751" s="203"/>
      <c r="B751" s="203"/>
      <c r="D751" s="204"/>
      <c r="E751" s="205"/>
      <c r="F751" s="204"/>
      <c r="G751" s="204"/>
      <c r="I751" s="254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</row>
    <row r="752" spans="1:28" ht="12.75">
      <c r="A752" s="203"/>
      <c r="B752" s="203"/>
      <c r="D752" s="204"/>
      <c r="E752" s="205"/>
      <c r="F752" s="204"/>
      <c r="G752" s="204"/>
      <c r="I752" s="254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</row>
    <row r="753" spans="1:28" ht="12.75">
      <c r="A753" s="203"/>
      <c r="B753" s="203"/>
      <c r="D753" s="204"/>
      <c r="E753" s="205"/>
      <c r="F753" s="204"/>
      <c r="G753" s="204"/>
      <c r="I753" s="254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</row>
    <row r="754" spans="1:28" ht="12.75">
      <c r="A754" s="203"/>
      <c r="B754" s="203"/>
      <c r="D754" s="204"/>
      <c r="E754" s="205"/>
      <c r="F754" s="204"/>
      <c r="G754" s="204"/>
      <c r="I754" s="254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</row>
    <row r="755" spans="1:28" ht="12.75">
      <c r="A755" s="203"/>
      <c r="B755" s="203"/>
      <c r="D755" s="204"/>
      <c r="E755" s="205"/>
      <c r="F755" s="204"/>
      <c r="G755" s="204"/>
      <c r="I755" s="254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  <c r="AB755" s="201"/>
    </row>
    <row r="756" spans="1:28" ht="12.75">
      <c r="A756" s="203"/>
      <c r="B756" s="203"/>
      <c r="D756" s="204"/>
      <c r="E756" s="205"/>
      <c r="F756" s="204"/>
      <c r="G756" s="204"/>
      <c r="I756" s="254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  <c r="AB756" s="201"/>
    </row>
    <row r="757" spans="1:28" ht="12.75">
      <c r="A757" s="203"/>
      <c r="B757" s="203"/>
      <c r="D757" s="204"/>
      <c r="E757" s="205"/>
      <c r="F757" s="204"/>
      <c r="G757" s="204"/>
      <c r="I757" s="254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</row>
    <row r="758" spans="1:28" ht="12.75">
      <c r="A758" s="203"/>
      <c r="B758" s="203"/>
      <c r="D758" s="204"/>
      <c r="E758" s="205"/>
      <c r="F758" s="204"/>
      <c r="G758" s="204"/>
      <c r="I758" s="254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  <c r="AB758" s="201"/>
    </row>
    <row r="759" spans="1:28" ht="12.75">
      <c r="A759" s="203"/>
      <c r="B759" s="203"/>
      <c r="D759" s="204"/>
      <c r="E759" s="205"/>
      <c r="F759" s="204"/>
      <c r="G759" s="204"/>
      <c r="I759" s="254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  <c r="AB759" s="201"/>
    </row>
    <row r="760" spans="1:28" ht="12.75">
      <c r="A760" s="203"/>
      <c r="B760" s="203"/>
      <c r="D760" s="204"/>
      <c r="E760" s="205"/>
      <c r="F760" s="204"/>
      <c r="G760" s="204"/>
      <c r="I760" s="254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  <c r="AB760" s="201"/>
    </row>
    <row r="761" spans="1:28" ht="12.75">
      <c r="A761" s="203"/>
      <c r="B761" s="203"/>
      <c r="D761" s="204"/>
      <c r="E761" s="205"/>
      <c r="F761" s="204"/>
      <c r="G761" s="204"/>
      <c r="I761" s="254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</row>
    <row r="762" spans="1:28" ht="12.75">
      <c r="A762" s="203"/>
      <c r="B762" s="203"/>
      <c r="D762" s="204"/>
      <c r="E762" s="205"/>
      <c r="F762" s="204"/>
      <c r="G762" s="204"/>
      <c r="I762" s="254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</row>
    <row r="763" spans="1:28" ht="12.75">
      <c r="A763" s="203"/>
      <c r="B763" s="203"/>
      <c r="D763" s="204"/>
      <c r="E763" s="205"/>
      <c r="F763" s="204"/>
      <c r="G763" s="204"/>
      <c r="I763" s="254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</row>
    <row r="764" spans="1:28" ht="12.75">
      <c r="A764" s="203"/>
      <c r="B764" s="203"/>
      <c r="D764" s="204"/>
      <c r="E764" s="205"/>
      <c r="F764" s="204"/>
      <c r="G764" s="204"/>
      <c r="I764" s="254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</row>
    <row r="765" spans="1:28" ht="12.75">
      <c r="A765" s="203"/>
      <c r="B765" s="203"/>
      <c r="D765" s="204"/>
      <c r="E765" s="205"/>
      <c r="F765" s="204"/>
      <c r="G765" s="208"/>
      <c r="I765" s="254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</row>
    <row r="766" spans="1:28" ht="12.75">
      <c r="A766" s="203"/>
      <c r="B766" s="203"/>
      <c r="D766" s="204"/>
      <c r="E766" s="205"/>
      <c r="F766" s="205"/>
      <c r="G766" s="208"/>
      <c r="I766" s="254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</row>
    <row r="767" spans="1:28" ht="12.75">
      <c r="A767" s="203"/>
      <c r="B767" s="203"/>
      <c r="D767" s="204"/>
      <c r="E767" s="205"/>
      <c r="F767" s="204"/>
      <c r="G767" s="208"/>
      <c r="I767" s="254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</row>
    <row r="768" spans="1:28" ht="12.75">
      <c r="A768" s="203"/>
      <c r="B768" s="203"/>
      <c r="D768" s="204"/>
      <c r="E768" s="205"/>
      <c r="F768" s="204"/>
      <c r="G768" s="208"/>
      <c r="I768" s="254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  <c r="AB768" s="201"/>
    </row>
    <row r="769" spans="1:28" ht="12.75">
      <c r="A769" s="203"/>
      <c r="B769" s="203"/>
      <c r="D769" s="208"/>
      <c r="E769" s="205"/>
      <c r="F769" s="208"/>
      <c r="G769" s="208"/>
      <c r="I769" s="254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  <c r="AB769" s="201"/>
    </row>
    <row r="770" spans="1:28" ht="12.75">
      <c r="A770" s="203"/>
      <c r="B770" s="203"/>
      <c r="D770" s="204"/>
      <c r="E770" s="205"/>
      <c r="F770" s="204"/>
      <c r="G770" s="208"/>
      <c r="I770" s="254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  <c r="AB770" s="201"/>
    </row>
    <row r="771" spans="1:28" ht="12.75">
      <c r="A771" s="203"/>
      <c r="B771" s="203"/>
      <c r="D771" s="204"/>
      <c r="E771" s="205"/>
      <c r="F771" s="204"/>
      <c r="G771" s="204"/>
      <c r="I771" s="254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</row>
    <row r="772" spans="1:28" ht="12.75">
      <c r="A772" s="203"/>
      <c r="B772" s="203"/>
      <c r="D772" s="204"/>
      <c r="E772" s="205"/>
      <c r="F772" s="204"/>
      <c r="G772" s="204"/>
      <c r="I772" s="254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</row>
    <row r="773" spans="1:28" ht="12.75">
      <c r="A773" s="203"/>
      <c r="B773" s="203"/>
      <c r="D773" s="204"/>
      <c r="E773" s="205"/>
      <c r="F773" s="204"/>
      <c r="G773" s="204"/>
      <c r="I773" s="254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</row>
    <row r="774" spans="1:28" ht="12.75">
      <c r="A774" s="203"/>
      <c r="B774" s="203"/>
      <c r="D774" s="204"/>
      <c r="E774" s="205"/>
      <c r="F774" s="204"/>
      <c r="G774" s="204"/>
      <c r="I774" s="254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</row>
    <row r="775" spans="1:28" ht="12.75">
      <c r="A775" s="203"/>
      <c r="B775" s="203"/>
      <c r="D775" s="204"/>
      <c r="E775" s="205"/>
      <c r="F775" s="204"/>
      <c r="G775" s="204"/>
      <c r="I775" s="254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</row>
    <row r="776" spans="1:28" ht="12.75">
      <c r="A776" s="203"/>
      <c r="B776" s="203"/>
      <c r="D776" s="205"/>
      <c r="E776" s="205"/>
      <c r="F776" s="205"/>
      <c r="G776" s="205"/>
      <c r="I776" s="254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</row>
    <row r="777" spans="1:28" ht="12.75">
      <c r="A777" s="203"/>
      <c r="B777" s="203"/>
      <c r="D777" s="205"/>
      <c r="E777" s="205"/>
      <c r="F777" s="205"/>
      <c r="G777" s="205"/>
      <c r="I777" s="254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  <c r="AB777" s="201"/>
    </row>
    <row r="778" spans="1:28" ht="12.75">
      <c r="A778" s="203"/>
      <c r="B778" s="203"/>
      <c r="D778" s="205"/>
      <c r="E778" s="205"/>
      <c r="F778" s="205"/>
      <c r="G778" s="205"/>
      <c r="I778" s="254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</row>
    <row r="779" spans="1:28" ht="12.75">
      <c r="A779" s="203"/>
      <c r="B779" s="203"/>
      <c r="D779" s="205"/>
      <c r="E779" s="205"/>
      <c r="F779" s="205"/>
      <c r="G779" s="205"/>
      <c r="I779" s="254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  <c r="AB779" s="201"/>
    </row>
    <row r="780" spans="1:28" ht="12.75">
      <c r="A780" s="203"/>
      <c r="B780" s="203"/>
      <c r="D780" s="205"/>
      <c r="E780" s="205"/>
      <c r="F780" s="205"/>
      <c r="G780" s="205"/>
      <c r="I780" s="254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  <c r="AB780" s="201"/>
    </row>
    <row r="781" spans="1:28" ht="12.75">
      <c r="A781" s="203"/>
      <c r="B781" s="203"/>
      <c r="D781" s="205"/>
      <c r="E781" s="205"/>
      <c r="F781" s="205"/>
      <c r="G781" s="205"/>
      <c r="I781" s="254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  <c r="AB781" s="201"/>
    </row>
    <row r="782" spans="1:28" ht="12.75">
      <c r="A782" s="203"/>
      <c r="B782" s="203"/>
      <c r="D782" s="205"/>
      <c r="E782" s="205"/>
      <c r="F782" s="205"/>
      <c r="G782" s="205"/>
      <c r="I782" s="254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</row>
    <row r="783" spans="1:28" ht="12.75">
      <c r="A783" s="203"/>
      <c r="B783" s="203"/>
      <c r="D783" s="205"/>
      <c r="E783" s="205"/>
      <c r="F783" s="205"/>
      <c r="G783" s="205"/>
      <c r="I783" s="254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</row>
    <row r="784" spans="1:28" ht="12.75">
      <c r="A784" s="203"/>
      <c r="B784" s="203"/>
      <c r="D784" s="205"/>
      <c r="E784" s="205"/>
      <c r="F784" s="205"/>
      <c r="G784" s="205"/>
      <c r="I784" s="254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</row>
    <row r="785" spans="1:28" ht="12.75">
      <c r="A785" s="203"/>
      <c r="B785" s="203"/>
      <c r="D785" s="205"/>
      <c r="E785" s="205"/>
      <c r="F785" s="205"/>
      <c r="G785" s="205"/>
      <c r="I785" s="254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</row>
    <row r="786" spans="1:28" ht="12.75">
      <c r="A786" s="203"/>
      <c r="B786" s="203"/>
      <c r="D786" s="204"/>
      <c r="E786" s="205"/>
      <c r="F786" s="204"/>
      <c r="G786" s="204"/>
      <c r="I786" s="254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</row>
    <row r="787" spans="1:28" ht="12.75">
      <c r="A787" s="203"/>
      <c r="B787" s="203"/>
      <c r="D787" s="204"/>
      <c r="E787" s="205"/>
      <c r="F787" s="204"/>
      <c r="G787" s="204"/>
      <c r="I787" s="254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</row>
    <row r="788" spans="1:28" ht="12.75">
      <c r="A788" s="203"/>
      <c r="B788" s="203"/>
      <c r="D788" s="205"/>
      <c r="E788" s="205"/>
      <c r="F788" s="205"/>
      <c r="G788" s="205"/>
      <c r="I788" s="254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</row>
    <row r="789" spans="1:28" ht="12.75">
      <c r="A789" s="203"/>
      <c r="B789" s="203"/>
      <c r="D789" s="205"/>
      <c r="E789" s="205"/>
      <c r="F789" s="205"/>
      <c r="G789" s="205"/>
      <c r="I789" s="254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</row>
    <row r="790" spans="1:28" ht="12.75">
      <c r="A790" s="203"/>
      <c r="B790" s="203"/>
      <c r="D790" s="205"/>
      <c r="E790" s="205"/>
      <c r="F790" s="205"/>
      <c r="G790" s="205"/>
      <c r="I790" s="254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</row>
    <row r="791" spans="1:28" ht="12.75">
      <c r="A791" s="203"/>
      <c r="B791" s="203"/>
      <c r="D791" s="205"/>
      <c r="E791" s="205"/>
      <c r="F791" s="205"/>
      <c r="G791" s="205"/>
      <c r="I791" s="254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</row>
    <row r="792" spans="1:28" ht="12.75">
      <c r="A792" s="203"/>
      <c r="B792" s="203"/>
      <c r="D792" s="209"/>
      <c r="E792" s="205"/>
      <c r="F792" s="209"/>
      <c r="G792" s="209"/>
      <c r="I792" s="254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</row>
    <row r="793" spans="1:28" ht="12.75">
      <c r="A793" s="203"/>
      <c r="B793" s="203"/>
      <c r="D793" s="207"/>
      <c r="E793" s="205"/>
      <c r="F793" s="207"/>
      <c r="G793" s="207"/>
      <c r="I793" s="254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</row>
    <row r="794" spans="1:28" ht="12.75">
      <c r="A794" s="203"/>
      <c r="B794" s="203"/>
      <c r="D794" s="208"/>
      <c r="E794" s="205"/>
      <c r="F794" s="208"/>
      <c r="G794" s="208"/>
      <c r="I794" s="254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</row>
    <row r="795" spans="1:28" ht="12.75">
      <c r="A795" s="203"/>
      <c r="B795" s="203"/>
      <c r="D795" s="208"/>
      <c r="E795" s="205"/>
      <c r="F795" s="208"/>
      <c r="G795" s="208"/>
      <c r="I795" s="254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</row>
    <row r="796" spans="1:28" ht="12.75">
      <c r="A796" s="203"/>
      <c r="B796" s="203"/>
      <c r="D796" s="204"/>
      <c r="E796" s="205"/>
      <c r="F796" s="204"/>
      <c r="G796" s="208"/>
      <c r="I796" s="254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</row>
    <row r="797" spans="1:28" ht="12.75">
      <c r="A797" s="203"/>
      <c r="B797" s="203"/>
      <c r="D797" s="204"/>
      <c r="E797" s="205"/>
      <c r="F797" s="205"/>
      <c r="G797" s="208"/>
      <c r="I797" s="254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</row>
    <row r="798" spans="1:28" ht="12.75">
      <c r="A798" s="203"/>
      <c r="B798" s="203"/>
      <c r="D798" s="204"/>
      <c r="E798" s="205"/>
      <c r="F798" s="204"/>
      <c r="G798" s="208"/>
      <c r="I798" s="254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</row>
    <row r="799" spans="1:28" ht="12.75">
      <c r="A799" s="203"/>
      <c r="B799" s="203"/>
      <c r="D799" s="204"/>
      <c r="E799" s="205"/>
      <c r="F799" s="204"/>
      <c r="G799" s="208"/>
      <c r="I799" s="254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</row>
    <row r="800" spans="1:28" ht="12.75">
      <c r="A800" s="203"/>
      <c r="B800" s="203"/>
      <c r="D800" s="204"/>
      <c r="E800" s="205"/>
      <c r="F800" s="204"/>
      <c r="G800" s="208"/>
      <c r="I800" s="254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</row>
    <row r="801" spans="1:28" ht="12.75">
      <c r="A801" s="203"/>
      <c r="B801" s="203"/>
      <c r="D801" s="204"/>
      <c r="E801" s="205"/>
      <c r="F801" s="204"/>
      <c r="G801" s="208"/>
      <c r="I801" s="254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  <c r="AB801" s="201"/>
    </row>
    <row r="802" spans="1:28" ht="12.75">
      <c r="A802" s="203"/>
      <c r="B802" s="203"/>
      <c r="D802" s="204"/>
      <c r="E802" s="205"/>
      <c r="F802" s="204"/>
      <c r="G802" s="208"/>
      <c r="I802" s="254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  <c r="AB802" s="201"/>
    </row>
    <row r="803" spans="1:28" ht="12.75">
      <c r="A803" s="203"/>
      <c r="B803" s="203"/>
      <c r="D803" s="204"/>
      <c r="E803" s="205"/>
      <c r="F803" s="204"/>
      <c r="G803" s="208"/>
      <c r="I803" s="254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  <c r="AB803" s="201"/>
    </row>
    <row r="804" spans="1:28" ht="12.75">
      <c r="A804" s="203"/>
      <c r="B804" s="203"/>
      <c r="D804" s="204"/>
      <c r="E804" s="205"/>
      <c r="F804" s="204"/>
      <c r="G804" s="208"/>
      <c r="I804" s="254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  <c r="AB804" s="201"/>
    </row>
    <row r="805" spans="1:28" ht="12.75">
      <c r="A805" s="203"/>
      <c r="B805" s="203"/>
      <c r="D805" s="204"/>
      <c r="E805" s="205"/>
      <c r="F805" s="204"/>
      <c r="G805" s="208"/>
      <c r="I805" s="254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  <c r="AB805" s="201"/>
    </row>
    <row r="806" spans="1:28" ht="12.75">
      <c r="A806" s="203"/>
      <c r="B806" s="203"/>
      <c r="D806" s="204"/>
      <c r="E806" s="205"/>
      <c r="F806" s="204"/>
      <c r="G806" s="207"/>
      <c r="I806" s="254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</row>
    <row r="807" spans="1:28" ht="12.75">
      <c r="A807" s="203"/>
      <c r="B807" s="203"/>
      <c r="D807" s="204"/>
      <c r="E807" s="205"/>
      <c r="F807" s="204"/>
      <c r="G807" s="208"/>
      <c r="I807" s="254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</row>
    <row r="808" spans="1:28" ht="12.75">
      <c r="A808" s="203"/>
      <c r="B808" s="203"/>
      <c r="D808" s="204"/>
      <c r="E808" s="205"/>
      <c r="F808" s="204"/>
      <c r="G808" s="204"/>
      <c r="I808" s="254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</row>
    <row r="809" spans="1:28" ht="12.75">
      <c r="A809" s="203"/>
      <c r="B809" s="203"/>
      <c r="D809" s="204"/>
      <c r="E809" s="205"/>
      <c r="F809" s="204"/>
      <c r="G809" s="208"/>
      <c r="I809" s="254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</row>
    <row r="810" spans="1:28" ht="12.75">
      <c r="A810" s="203"/>
      <c r="B810" s="203"/>
      <c r="D810" s="204"/>
      <c r="E810" s="205"/>
      <c r="F810" s="204"/>
      <c r="G810" s="204"/>
      <c r="I810" s="254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</row>
    <row r="811" spans="1:28" ht="12.75">
      <c r="A811" s="203"/>
      <c r="B811" s="203"/>
      <c r="D811" s="204"/>
      <c r="E811" s="205"/>
      <c r="F811" s="204"/>
      <c r="G811" s="204"/>
      <c r="I811" s="254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</row>
    <row r="812" spans="1:28" ht="12.75">
      <c r="A812" s="203"/>
      <c r="B812" s="203"/>
      <c r="D812" s="204"/>
      <c r="E812" s="205"/>
      <c r="F812" s="204"/>
      <c r="G812" s="204"/>
      <c r="I812" s="254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</row>
    <row r="813" spans="1:28" ht="12.75">
      <c r="A813" s="203"/>
      <c r="B813" s="203"/>
      <c r="D813" s="204"/>
      <c r="E813" s="205"/>
      <c r="F813" s="204"/>
      <c r="G813" s="204"/>
      <c r="I813" s="254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</row>
    <row r="814" spans="1:28" ht="12.75">
      <c r="A814" s="203"/>
      <c r="B814" s="203"/>
      <c r="D814" s="204"/>
      <c r="E814" s="205"/>
      <c r="F814" s="204"/>
      <c r="G814" s="204"/>
      <c r="I814" s="254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</row>
    <row r="815" spans="1:28" ht="12.75">
      <c r="A815" s="203"/>
      <c r="B815" s="203"/>
      <c r="D815" s="204"/>
      <c r="E815" s="205"/>
      <c r="F815" s="204"/>
      <c r="G815" s="204"/>
      <c r="I815" s="254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</row>
    <row r="816" spans="1:28" ht="12.75">
      <c r="A816" s="203"/>
      <c r="B816" s="203"/>
      <c r="D816" s="204"/>
      <c r="E816" s="205"/>
      <c r="F816" s="204"/>
      <c r="G816" s="204"/>
      <c r="I816" s="254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</row>
    <row r="817" spans="1:28" ht="12.75">
      <c r="A817" s="203"/>
      <c r="B817" s="203"/>
      <c r="D817" s="204"/>
      <c r="E817" s="205"/>
      <c r="F817" s="204"/>
      <c r="G817" s="204"/>
      <c r="I817" s="254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</row>
    <row r="818" spans="1:28" ht="12.75">
      <c r="A818" s="203"/>
      <c r="B818" s="203"/>
      <c r="D818" s="204"/>
      <c r="E818" s="205"/>
      <c r="F818" s="204"/>
      <c r="G818" s="204"/>
      <c r="I818" s="254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  <c r="AB818" s="201"/>
    </row>
    <row r="819" spans="1:28" ht="12.75">
      <c r="A819" s="203"/>
      <c r="B819" s="203"/>
      <c r="D819" s="204"/>
      <c r="E819" s="205"/>
      <c r="F819" s="204"/>
      <c r="G819" s="204"/>
      <c r="I819" s="254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  <c r="AB819" s="201"/>
    </row>
    <row r="820" spans="1:28" ht="12.75">
      <c r="A820" s="203"/>
      <c r="B820" s="203"/>
      <c r="D820" s="204"/>
      <c r="E820" s="205"/>
      <c r="F820" s="204"/>
      <c r="G820" s="204"/>
      <c r="I820" s="254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  <c r="AB820" s="201"/>
    </row>
    <row r="821" spans="1:28" ht="12.75">
      <c r="A821" s="203"/>
      <c r="B821" s="203"/>
      <c r="D821" s="204"/>
      <c r="E821" s="205"/>
      <c r="F821" s="204"/>
      <c r="G821" s="204"/>
      <c r="I821" s="254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</row>
    <row r="822" spans="1:28" ht="12.75">
      <c r="A822" s="203"/>
      <c r="B822" s="203"/>
      <c r="D822" s="204"/>
      <c r="E822" s="205"/>
      <c r="F822" s="204"/>
      <c r="G822" s="204"/>
      <c r="I822" s="254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</row>
    <row r="823" spans="1:28" ht="12.75">
      <c r="A823" s="203"/>
      <c r="B823" s="203"/>
      <c r="D823" s="204"/>
      <c r="E823" s="205"/>
      <c r="F823" s="204"/>
      <c r="G823" s="204"/>
      <c r="I823" s="254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</row>
    <row r="824" spans="1:28" ht="12.75">
      <c r="A824" s="203"/>
      <c r="B824" s="203"/>
      <c r="D824" s="204"/>
      <c r="E824" s="205"/>
      <c r="F824" s="204"/>
      <c r="G824" s="204"/>
      <c r="I824" s="254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</row>
    <row r="825" spans="1:28" ht="12.75">
      <c r="A825" s="203"/>
      <c r="B825" s="203"/>
      <c r="D825" s="204"/>
      <c r="E825" s="205"/>
      <c r="F825" s="204"/>
      <c r="G825" s="204"/>
      <c r="I825" s="254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</row>
    <row r="826" spans="1:28" ht="12.75">
      <c r="A826" s="203"/>
      <c r="B826" s="203"/>
      <c r="D826" s="204"/>
      <c r="E826" s="205"/>
      <c r="F826" s="204"/>
      <c r="G826" s="204"/>
      <c r="I826" s="254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  <c r="AB826" s="201"/>
    </row>
    <row r="827" spans="1:28" ht="12.75">
      <c r="A827" s="203"/>
      <c r="B827" s="203"/>
      <c r="D827" s="204"/>
      <c r="E827" s="205"/>
      <c r="F827" s="204"/>
      <c r="G827" s="204"/>
      <c r="I827" s="254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  <c r="AB827" s="201"/>
    </row>
    <row r="828" spans="1:28" ht="12.75">
      <c r="A828" s="203"/>
      <c r="B828" s="203"/>
      <c r="D828" s="204"/>
      <c r="E828" s="205"/>
      <c r="F828" s="204"/>
      <c r="G828" s="204"/>
      <c r="I828" s="254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  <c r="AB828" s="201"/>
    </row>
    <row r="829" spans="1:28" ht="12.75">
      <c r="A829" s="203"/>
      <c r="B829" s="203"/>
      <c r="D829" s="204"/>
      <c r="E829" s="205"/>
      <c r="F829" s="204"/>
      <c r="G829" s="204"/>
      <c r="I829" s="254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  <c r="AB829" s="201"/>
    </row>
    <row r="830" spans="1:28" ht="12.75">
      <c r="A830" s="203"/>
      <c r="B830" s="203"/>
      <c r="D830" s="204"/>
      <c r="E830" s="205"/>
      <c r="F830" s="204"/>
      <c r="G830" s="204"/>
      <c r="I830" s="254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  <c r="AB830" s="201"/>
    </row>
    <row r="831" spans="1:28" ht="12.75">
      <c r="A831" s="203"/>
      <c r="B831" s="203"/>
      <c r="D831" s="41"/>
      <c r="E831" s="205"/>
      <c r="F831" s="204"/>
      <c r="G831" s="204"/>
      <c r="I831" s="254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</row>
    <row r="832" spans="1:28" ht="12.75">
      <c r="A832" s="203"/>
      <c r="B832" s="203"/>
      <c r="D832" s="204"/>
      <c r="E832" s="205"/>
      <c r="F832" s="204"/>
      <c r="G832" s="204"/>
      <c r="I832" s="254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</row>
    <row r="833" spans="1:28" ht="12.75">
      <c r="A833" s="203"/>
      <c r="B833" s="203"/>
      <c r="D833" s="207"/>
      <c r="E833" s="205"/>
      <c r="F833" s="207"/>
      <c r="G833" s="207"/>
      <c r="I833" s="254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</row>
    <row r="834" spans="1:28" ht="12.75">
      <c r="A834" s="203"/>
      <c r="B834" s="203"/>
      <c r="D834" s="204"/>
      <c r="E834" s="205"/>
      <c r="F834" s="204"/>
      <c r="G834" s="204"/>
      <c r="I834" s="254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  <c r="AB834" s="201"/>
    </row>
    <row r="835" spans="1:28" ht="12.75">
      <c r="A835" s="203"/>
      <c r="B835" s="203"/>
      <c r="D835" s="204"/>
      <c r="E835" s="205"/>
      <c r="F835" s="204"/>
      <c r="G835" s="204"/>
      <c r="I835" s="254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  <c r="AB835" s="201"/>
    </row>
    <row r="836" spans="1:28" ht="12.75">
      <c r="A836" s="203"/>
      <c r="B836" s="203"/>
      <c r="D836" s="204"/>
      <c r="E836" s="205"/>
      <c r="F836" s="204"/>
      <c r="G836" s="204"/>
      <c r="I836" s="254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  <c r="AB836" s="201"/>
    </row>
    <row r="837" spans="1:28" ht="12.75">
      <c r="A837" s="203"/>
      <c r="B837" s="203"/>
      <c r="D837" s="204"/>
      <c r="E837" s="205"/>
      <c r="F837" s="204"/>
      <c r="G837" s="204"/>
      <c r="I837" s="254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  <c r="AB837" s="201"/>
    </row>
    <row r="838" spans="1:28" ht="12.75">
      <c r="A838" s="203"/>
      <c r="B838" s="203"/>
      <c r="D838" s="204"/>
      <c r="E838" s="205"/>
      <c r="F838" s="204"/>
      <c r="G838" s="204"/>
      <c r="I838" s="254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  <c r="AB838" s="201"/>
    </row>
    <row r="839" spans="1:28" ht="12.75">
      <c r="A839" s="203"/>
      <c r="B839" s="203"/>
      <c r="D839" s="204"/>
      <c r="E839" s="205"/>
      <c r="F839" s="204"/>
      <c r="G839" s="204"/>
      <c r="I839" s="254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  <c r="AB839" s="201"/>
    </row>
    <row r="840" spans="1:28" ht="12.75">
      <c r="A840" s="203"/>
      <c r="B840" s="203"/>
      <c r="D840" s="204"/>
      <c r="E840" s="205"/>
      <c r="F840" s="204"/>
      <c r="G840" s="204"/>
      <c r="I840" s="254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  <c r="AB840" s="201"/>
    </row>
    <row r="841" spans="1:28" ht="12.75">
      <c r="A841" s="203"/>
      <c r="B841" s="203"/>
      <c r="D841" s="204"/>
      <c r="E841" s="205"/>
      <c r="F841" s="204"/>
      <c r="G841" s="204"/>
      <c r="I841" s="254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  <c r="AB841" s="201"/>
    </row>
    <row r="842" spans="1:28" ht="12.75">
      <c r="A842" s="203"/>
      <c r="B842" s="203"/>
      <c r="D842" s="204"/>
      <c r="E842" s="205"/>
      <c r="F842" s="204"/>
      <c r="G842" s="204"/>
      <c r="I842" s="254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  <c r="AB842" s="201"/>
    </row>
    <row r="843" spans="1:28" ht="12.75">
      <c r="A843" s="203"/>
      <c r="B843" s="203"/>
      <c r="D843" s="204"/>
      <c r="E843" s="205"/>
      <c r="F843" s="204"/>
      <c r="G843" s="204"/>
      <c r="I843" s="254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  <c r="AB843" s="201"/>
    </row>
    <row r="844" spans="1:28" ht="12.75">
      <c r="A844" s="203"/>
      <c r="B844" s="203"/>
      <c r="D844" s="204"/>
      <c r="E844" s="205"/>
      <c r="F844" s="204"/>
      <c r="G844" s="204"/>
      <c r="I844" s="254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  <c r="AB844" s="201"/>
    </row>
    <row r="845" spans="1:28" ht="12.75">
      <c r="A845" s="203"/>
      <c r="B845" s="203"/>
      <c r="D845" s="204"/>
      <c r="E845" s="205"/>
      <c r="F845" s="204"/>
      <c r="G845" s="204"/>
      <c r="I845" s="254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  <c r="AB845" s="201"/>
    </row>
    <row r="846" spans="1:28" ht="12.75">
      <c r="A846" s="203"/>
      <c r="B846" s="203"/>
      <c r="D846" s="204"/>
      <c r="E846" s="205"/>
      <c r="F846" s="204"/>
      <c r="G846" s="204"/>
      <c r="I846" s="254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  <c r="AB846" s="201"/>
    </row>
    <row r="847" spans="1:28" ht="12.75">
      <c r="A847" s="203"/>
      <c r="B847" s="203"/>
      <c r="D847" s="204"/>
      <c r="E847" s="205"/>
      <c r="F847" s="204"/>
      <c r="G847" s="204"/>
      <c r="I847" s="254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  <c r="AB847" s="201"/>
    </row>
    <row r="848" spans="1:28" ht="12.75">
      <c r="A848" s="203"/>
      <c r="B848" s="203"/>
      <c r="D848" s="204"/>
      <c r="E848" s="205"/>
      <c r="F848" s="204"/>
      <c r="G848" s="204"/>
      <c r="I848" s="254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  <c r="AB848" s="201"/>
    </row>
    <row r="849" spans="1:28" ht="12.75">
      <c r="A849" s="203"/>
      <c r="B849" s="203"/>
      <c r="D849" s="204"/>
      <c r="E849" s="205"/>
      <c r="F849" s="204"/>
      <c r="G849" s="204"/>
      <c r="I849" s="254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</row>
    <row r="850" spans="1:28" ht="12.75">
      <c r="A850" s="203"/>
      <c r="B850" s="203"/>
      <c r="D850" s="204"/>
      <c r="E850" s="205"/>
      <c r="F850" s="204"/>
      <c r="G850" s="204"/>
      <c r="I850" s="254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</row>
    <row r="851" spans="1:28" ht="12.75">
      <c r="A851" s="203"/>
      <c r="B851" s="203"/>
      <c r="D851" s="204"/>
      <c r="E851" s="205"/>
      <c r="F851" s="204"/>
      <c r="G851" s="204"/>
      <c r="I851" s="254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  <c r="AB851" s="201"/>
    </row>
    <row r="852" spans="1:28" ht="12.75">
      <c r="A852" s="203"/>
      <c r="B852" s="203"/>
      <c r="D852" s="204"/>
      <c r="E852" s="205"/>
      <c r="F852" s="204"/>
      <c r="G852" s="204"/>
      <c r="I852" s="254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</row>
    <row r="853" spans="1:28" ht="12.75">
      <c r="A853" s="203"/>
      <c r="B853" s="203"/>
      <c r="D853" s="204"/>
      <c r="E853" s="205"/>
      <c r="F853" s="204"/>
      <c r="G853" s="208"/>
      <c r="I853" s="254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  <c r="AB853" s="201"/>
    </row>
    <row r="854" spans="1:28" ht="12.75">
      <c r="A854" s="203"/>
      <c r="B854" s="203"/>
      <c r="D854" s="204"/>
      <c r="E854" s="205"/>
      <c r="F854" s="205"/>
      <c r="G854" s="208"/>
      <c r="I854" s="254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  <c r="AB854" s="201"/>
    </row>
    <row r="855" spans="1:28" ht="12.75">
      <c r="A855" s="203"/>
      <c r="B855" s="203"/>
      <c r="D855" s="204"/>
      <c r="E855" s="205"/>
      <c r="F855" s="204"/>
      <c r="G855" s="208"/>
      <c r="I855" s="254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  <c r="AB855" s="201"/>
    </row>
    <row r="856" spans="1:28" ht="12.75">
      <c r="A856" s="203"/>
      <c r="B856" s="203"/>
      <c r="D856" s="204"/>
      <c r="E856" s="205"/>
      <c r="F856" s="204"/>
      <c r="G856" s="208"/>
      <c r="I856" s="254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  <c r="AB856" s="201"/>
    </row>
    <row r="857" spans="1:28" ht="12.75">
      <c r="A857" s="203"/>
      <c r="B857" s="203"/>
      <c r="D857" s="208"/>
      <c r="E857" s="205"/>
      <c r="F857" s="208"/>
      <c r="G857" s="208"/>
      <c r="I857" s="254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  <c r="AB857" s="201"/>
    </row>
    <row r="858" spans="1:28" ht="12.75">
      <c r="A858" s="203"/>
      <c r="B858" s="203"/>
      <c r="D858" s="204"/>
      <c r="E858" s="205"/>
      <c r="F858" s="204"/>
      <c r="G858" s="208"/>
      <c r="I858" s="254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  <c r="AB858" s="201"/>
    </row>
    <row r="859" spans="1:28" ht="12.75">
      <c r="A859" s="203"/>
      <c r="B859" s="203"/>
      <c r="D859" s="204"/>
      <c r="E859" s="205"/>
      <c r="F859" s="204"/>
      <c r="G859" s="204"/>
      <c r="I859" s="254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  <c r="AB859" s="201"/>
    </row>
    <row r="860" spans="1:28" ht="12.75">
      <c r="A860" s="203"/>
      <c r="B860" s="203"/>
      <c r="D860" s="204"/>
      <c r="E860" s="205"/>
      <c r="F860" s="204"/>
      <c r="G860" s="204"/>
      <c r="I860" s="254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  <c r="AB860" s="201"/>
    </row>
    <row r="861" spans="1:28" ht="12.75">
      <c r="A861" s="203"/>
      <c r="B861" s="203"/>
      <c r="D861" s="204"/>
      <c r="E861" s="205"/>
      <c r="F861" s="204"/>
      <c r="G861" s="204"/>
      <c r="I861" s="254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  <c r="AB861" s="201"/>
    </row>
    <row r="862" spans="1:28" ht="12.75">
      <c r="A862" s="203"/>
      <c r="B862" s="203"/>
      <c r="D862" s="204"/>
      <c r="E862" s="205"/>
      <c r="F862" s="204"/>
      <c r="G862" s="204"/>
      <c r="I862" s="254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</row>
    <row r="863" spans="1:28" ht="12.75">
      <c r="A863" s="203"/>
      <c r="B863" s="203"/>
      <c r="D863" s="204"/>
      <c r="E863" s="205"/>
      <c r="F863" s="204"/>
      <c r="G863" s="204"/>
      <c r="I863" s="254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  <c r="AB863" s="201"/>
    </row>
    <row r="864" spans="1:28" ht="12.75">
      <c r="A864" s="203"/>
      <c r="B864" s="203"/>
      <c r="D864" s="205"/>
      <c r="E864" s="205"/>
      <c r="F864" s="205"/>
      <c r="G864" s="205"/>
      <c r="I864" s="254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  <c r="AB864" s="201"/>
    </row>
    <row r="865" spans="1:28" ht="12.75">
      <c r="A865" s="203"/>
      <c r="B865" s="203"/>
      <c r="D865" s="205"/>
      <c r="E865" s="205"/>
      <c r="F865" s="205"/>
      <c r="G865" s="205"/>
      <c r="I865" s="254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  <c r="AB865" s="201"/>
    </row>
    <row r="866" spans="1:28" ht="12.75">
      <c r="A866" s="203"/>
      <c r="B866" s="203"/>
      <c r="D866" s="205"/>
      <c r="E866" s="205"/>
      <c r="F866" s="205"/>
      <c r="G866" s="205"/>
      <c r="I866" s="254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  <c r="AB866" s="201"/>
    </row>
    <row r="867" spans="1:28" ht="12.75">
      <c r="A867" s="203"/>
      <c r="B867" s="203"/>
      <c r="D867" s="205"/>
      <c r="E867" s="205"/>
      <c r="F867" s="205"/>
      <c r="G867" s="205"/>
      <c r="I867" s="254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  <c r="AB867" s="201"/>
    </row>
    <row r="868" spans="1:28" ht="12.75">
      <c r="A868" s="203"/>
      <c r="B868" s="203"/>
      <c r="D868" s="205"/>
      <c r="E868" s="205"/>
      <c r="F868" s="205"/>
      <c r="G868" s="205"/>
      <c r="I868" s="254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  <c r="AB868" s="201"/>
    </row>
    <row r="869" spans="1:28" ht="12.75">
      <c r="A869" s="203"/>
      <c r="B869" s="203"/>
      <c r="D869" s="205"/>
      <c r="E869" s="205"/>
      <c r="F869" s="205"/>
      <c r="G869" s="205"/>
      <c r="I869" s="254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  <c r="AB869" s="201"/>
    </row>
    <row r="870" spans="1:28" ht="12.75">
      <c r="A870" s="203"/>
      <c r="B870" s="203"/>
      <c r="D870" s="205"/>
      <c r="E870" s="205"/>
      <c r="F870" s="205"/>
      <c r="G870" s="205"/>
      <c r="I870" s="254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  <c r="AB870" s="201"/>
    </row>
    <row r="871" spans="1:28" ht="12.75">
      <c r="A871" s="203"/>
      <c r="B871" s="203"/>
      <c r="D871" s="205"/>
      <c r="E871" s="205"/>
      <c r="F871" s="205"/>
      <c r="G871" s="205"/>
      <c r="I871" s="254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  <c r="AB871" s="201"/>
    </row>
    <row r="872" spans="1:28" ht="12.75">
      <c r="A872" s="203"/>
      <c r="B872" s="203"/>
      <c r="D872" s="205"/>
      <c r="E872" s="205"/>
      <c r="F872" s="205"/>
      <c r="G872" s="205"/>
      <c r="I872" s="254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  <c r="AB872" s="201"/>
    </row>
    <row r="873" spans="1:28" ht="12.75">
      <c r="A873" s="203"/>
      <c r="B873" s="203"/>
      <c r="D873" s="205"/>
      <c r="E873" s="205"/>
      <c r="F873" s="205"/>
      <c r="G873" s="205"/>
      <c r="I873" s="254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  <c r="AB873" s="201"/>
    </row>
    <row r="874" spans="1:28" ht="12.75">
      <c r="A874" s="203"/>
      <c r="B874" s="203"/>
      <c r="D874" s="204"/>
      <c r="E874" s="205"/>
      <c r="F874" s="204"/>
      <c r="G874" s="204"/>
      <c r="I874" s="254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  <c r="AB874" s="201"/>
    </row>
    <row r="875" spans="1:28" ht="12.75">
      <c r="A875" s="203"/>
      <c r="B875" s="203"/>
      <c r="D875" s="204"/>
      <c r="E875" s="205"/>
      <c r="F875" s="204"/>
      <c r="G875" s="204"/>
      <c r="I875" s="254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  <c r="AB875" s="201"/>
    </row>
    <row r="876" spans="1:28" ht="12.75">
      <c r="A876" s="203"/>
      <c r="B876" s="203"/>
      <c r="D876" s="205"/>
      <c r="E876" s="205"/>
      <c r="F876" s="205"/>
      <c r="G876" s="205"/>
      <c r="I876" s="254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  <c r="AB876" s="201"/>
    </row>
    <row r="877" spans="1:28" ht="12.75">
      <c r="A877" s="203"/>
      <c r="B877" s="203"/>
      <c r="D877" s="205"/>
      <c r="E877" s="205"/>
      <c r="F877" s="205"/>
      <c r="G877" s="205"/>
      <c r="I877" s="254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  <c r="AB877" s="201"/>
    </row>
    <row r="878" spans="1:28" ht="12.75">
      <c r="A878" s="203"/>
      <c r="B878" s="203"/>
      <c r="D878" s="205"/>
      <c r="E878" s="205"/>
      <c r="F878" s="205"/>
      <c r="G878" s="205"/>
      <c r="I878" s="254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  <c r="AB878" s="201"/>
    </row>
    <row r="879" spans="1:28" ht="12.75">
      <c r="A879" s="203"/>
      <c r="B879" s="203"/>
      <c r="D879" s="205"/>
      <c r="E879" s="205"/>
      <c r="F879" s="205"/>
      <c r="G879" s="205"/>
      <c r="I879" s="254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  <c r="AB879" s="201"/>
    </row>
    <row r="880" spans="1:28" ht="12.75">
      <c r="A880" s="203"/>
      <c r="B880" s="203"/>
      <c r="D880" s="209"/>
      <c r="E880" s="205"/>
      <c r="F880" s="209"/>
      <c r="G880" s="209"/>
      <c r="I880" s="254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  <c r="AB880" s="201"/>
    </row>
    <row r="881" spans="1:28" ht="12.75">
      <c r="A881" s="203"/>
      <c r="B881" s="203"/>
      <c r="D881" s="207"/>
      <c r="E881" s="205"/>
      <c r="F881" s="207"/>
      <c r="G881" s="207"/>
      <c r="I881" s="254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  <c r="AB881" s="201"/>
    </row>
    <row r="882" spans="1:28" ht="12.75">
      <c r="A882" s="203"/>
      <c r="B882" s="203"/>
      <c r="D882" s="208"/>
      <c r="E882" s="205"/>
      <c r="F882" s="208"/>
      <c r="G882" s="208"/>
      <c r="I882" s="254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  <c r="AB882" s="201"/>
    </row>
    <row r="883" spans="1:28" ht="12.75">
      <c r="A883" s="203"/>
      <c r="B883" s="203"/>
      <c r="D883" s="208"/>
      <c r="E883" s="205"/>
      <c r="F883" s="208"/>
      <c r="G883" s="208"/>
      <c r="I883" s="254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  <c r="AB883" s="201"/>
    </row>
    <row r="884" spans="1:28" ht="12.75">
      <c r="A884" s="203"/>
      <c r="B884" s="203"/>
      <c r="D884" s="204"/>
      <c r="E884" s="205"/>
      <c r="F884" s="204"/>
      <c r="G884" s="208"/>
      <c r="I884" s="254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  <c r="AB884" s="201"/>
    </row>
    <row r="885" spans="1:28" ht="12.75">
      <c r="A885" s="203"/>
      <c r="B885" s="203"/>
      <c r="D885" s="204"/>
      <c r="E885" s="205"/>
      <c r="F885" s="205"/>
      <c r="G885" s="208"/>
      <c r="I885" s="254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  <c r="AB885" s="201"/>
    </row>
    <row r="886" spans="1:28" ht="12.75">
      <c r="A886" s="203"/>
      <c r="B886" s="203"/>
      <c r="D886" s="204"/>
      <c r="E886" s="205"/>
      <c r="F886" s="204"/>
      <c r="G886" s="208"/>
      <c r="I886" s="254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  <c r="AA886" s="201"/>
      <c r="AB886" s="201"/>
    </row>
    <row r="887" spans="1:28" ht="12.75">
      <c r="A887" s="203"/>
      <c r="B887" s="203"/>
      <c r="D887" s="204"/>
      <c r="E887" s="205"/>
      <c r="F887" s="204"/>
      <c r="G887" s="208"/>
      <c r="I887" s="254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  <c r="AA887" s="201"/>
      <c r="AB887" s="201"/>
    </row>
    <row r="888" spans="1:28" ht="12.75">
      <c r="A888" s="203"/>
      <c r="B888" s="203"/>
      <c r="D888" s="204"/>
      <c r="E888" s="205"/>
      <c r="F888" s="204"/>
      <c r="G888" s="208"/>
      <c r="I888" s="254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  <c r="AA888" s="201"/>
      <c r="AB888" s="201"/>
    </row>
    <row r="889" spans="1:28" ht="12.75">
      <c r="A889" s="203"/>
      <c r="B889" s="203"/>
      <c r="D889" s="204"/>
      <c r="E889" s="205"/>
      <c r="F889" s="204"/>
      <c r="G889" s="208"/>
      <c r="I889" s="254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  <c r="AA889" s="201"/>
      <c r="AB889" s="201"/>
    </row>
    <row r="890" spans="1:28" ht="12.75">
      <c r="A890" s="203"/>
      <c r="B890" s="203"/>
      <c r="D890" s="204"/>
      <c r="E890" s="205"/>
      <c r="F890" s="204"/>
      <c r="G890" s="208"/>
      <c r="I890" s="254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  <c r="AA890" s="201"/>
      <c r="AB890" s="201"/>
    </row>
    <row r="891" spans="1:28" ht="12.75">
      <c r="A891" s="203"/>
      <c r="B891" s="203"/>
      <c r="D891" s="204"/>
      <c r="E891" s="205"/>
      <c r="F891" s="204"/>
      <c r="G891" s="208"/>
      <c r="I891" s="254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  <c r="AA891" s="201"/>
      <c r="AB891" s="201"/>
    </row>
    <row r="892" spans="1:28" ht="12.75">
      <c r="A892" s="203"/>
      <c r="B892" s="203"/>
      <c r="D892" s="204"/>
      <c r="E892" s="205"/>
      <c r="F892" s="204"/>
      <c r="G892" s="208"/>
      <c r="I892" s="254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  <c r="AA892" s="201"/>
      <c r="AB892" s="201"/>
    </row>
    <row r="893" spans="1:28" ht="12.75">
      <c r="A893" s="203"/>
      <c r="B893" s="203"/>
      <c r="D893" s="204"/>
      <c r="E893" s="205"/>
      <c r="F893" s="204"/>
      <c r="G893" s="208"/>
      <c r="I893" s="254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  <c r="AA893" s="201"/>
      <c r="AB893" s="201"/>
    </row>
    <row r="894" spans="1:28" ht="12.75">
      <c r="A894" s="203"/>
      <c r="B894" s="203"/>
      <c r="D894" s="204"/>
      <c r="E894" s="205"/>
      <c r="F894" s="204"/>
      <c r="G894" s="207"/>
      <c r="I894" s="254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  <c r="AA894" s="201"/>
      <c r="AB894" s="201"/>
    </row>
    <row r="895" spans="1:28" ht="12.75">
      <c r="A895" s="203"/>
      <c r="B895" s="203"/>
      <c r="D895" s="204"/>
      <c r="E895" s="205"/>
      <c r="F895" s="204"/>
      <c r="G895" s="208"/>
      <c r="I895" s="254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  <c r="AA895" s="201"/>
      <c r="AB895" s="201"/>
    </row>
    <row r="896" spans="1:28" ht="12.75">
      <c r="A896" s="203"/>
      <c r="B896" s="203"/>
      <c r="D896" s="204"/>
      <c r="E896" s="205"/>
      <c r="F896" s="204"/>
      <c r="G896" s="204"/>
      <c r="I896" s="254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  <c r="AA896" s="201"/>
      <c r="AB896" s="201"/>
    </row>
    <row r="897" spans="1:28" ht="12.75">
      <c r="A897" s="203"/>
      <c r="B897" s="203"/>
      <c r="D897" s="204"/>
      <c r="E897" s="205"/>
      <c r="F897" s="204"/>
      <c r="G897" s="208"/>
      <c r="I897" s="254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  <c r="AA897" s="201"/>
      <c r="AB897" s="201"/>
    </row>
    <row r="898" spans="1:28" ht="12.75">
      <c r="A898" s="203"/>
      <c r="B898" s="203"/>
      <c r="D898" s="204"/>
      <c r="E898" s="205"/>
      <c r="F898" s="204"/>
      <c r="G898" s="204"/>
      <c r="I898" s="254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  <c r="AA898" s="201"/>
      <c r="AB898" s="201"/>
    </row>
    <row r="899" spans="1:28" ht="12.75">
      <c r="A899" s="203"/>
      <c r="B899" s="203"/>
      <c r="D899" s="204"/>
      <c r="E899" s="205"/>
      <c r="F899" s="204"/>
      <c r="G899" s="204"/>
      <c r="I899" s="254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  <c r="AA899" s="201"/>
      <c r="AB899" s="201"/>
    </row>
    <row r="900" spans="1:28" ht="12.75">
      <c r="A900" s="203"/>
      <c r="B900" s="203"/>
      <c r="D900" s="204"/>
      <c r="E900" s="205"/>
      <c r="F900" s="204"/>
      <c r="G900" s="204"/>
      <c r="I900" s="254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  <c r="AA900" s="201"/>
      <c r="AB900" s="201"/>
    </row>
    <row r="901" spans="1:28" ht="12.75">
      <c r="A901" s="203"/>
      <c r="B901" s="203"/>
      <c r="D901" s="204"/>
      <c r="E901" s="205"/>
      <c r="F901" s="204"/>
      <c r="G901" s="204"/>
      <c r="I901" s="254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  <c r="AA901" s="201"/>
      <c r="AB901" s="201"/>
    </row>
    <row r="902" spans="1:28" ht="12.75">
      <c r="A902" s="203"/>
      <c r="B902" s="203"/>
      <c r="D902" s="204"/>
      <c r="E902" s="205"/>
      <c r="F902" s="204"/>
      <c r="G902" s="204"/>
      <c r="I902" s="254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  <c r="AA902" s="201"/>
      <c r="AB902" s="201"/>
    </row>
    <row r="903" spans="1:28" ht="12.75">
      <c r="A903" s="203"/>
      <c r="B903" s="203"/>
      <c r="D903" s="204"/>
      <c r="E903" s="205"/>
      <c r="F903" s="204"/>
      <c r="G903" s="204"/>
      <c r="I903" s="254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  <c r="AA903" s="201"/>
      <c r="AB903" s="201"/>
    </row>
    <row r="904" spans="1:28" ht="12.75">
      <c r="A904" s="203"/>
      <c r="B904" s="203"/>
      <c r="D904" s="204"/>
      <c r="E904" s="205"/>
      <c r="F904" s="204"/>
      <c r="G904" s="204"/>
      <c r="I904" s="254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  <c r="AA904" s="201"/>
      <c r="AB904" s="201"/>
    </row>
    <row r="905" spans="1:28" ht="12.75">
      <c r="A905" s="203"/>
      <c r="B905" s="203"/>
      <c r="D905" s="204"/>
      <c r="E905" s="205"/>
      <c r="F905" s="204"/>
      <c r="G905" s="204"/>
      <c r="I905" s="254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  <c r="AA905" s="201"/>
      <c r="AB905" s="201"/>
    </row>
    <row r="906" spans="1:28" ht="12.75">
      <c r="A906" s="203"/>
      <c r="B906" s="203"/>
      <c r="D906" s="204"/>
      <c r="E906" s="205"/>
      <c r="F906" s="204"/>
      <c r="G906" s="204"/>
      <c r="I906" s="254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  <c r="AA906" s="201"/>
      <c r="AB906" s="201"/>
    </row>
    <row r="907" spans="1:28" ht="12.75">
      <c r="A907" s="203"/>
      <c r="B907" s="203"/>
      <c r="D907" s="204"/>
      <c r="E907" s="205"/>
      <c r="F907" s="204"/>
      <c r="G907" s="204"/>
      <c r="I907" s="254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  <c r="AA907" s="201"/>
      <c r="AB907" s="201"/>
    </row>
    <row r="908" spans="1:28" ht="12.75">
      <c r="A908" s="203"/>
      <c r="B908" s="203"/>
      <c r="D908" s="204"/>
      <c r="E908" s="205"/>
      <c r="F908" s="204"/>
      <c r="G908" s="204"/>
      <c r="I908" s="254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  <c r="AA908" s="201"/>
      <c r="AB908" s="201"/>
    </row>
    <row r="909" spans="1:28" ht="12.75">
      <c r="A909" s="203"/>
      <c r="B909" s="203"/>
      <c r="D909" s="204"/>
      <c r="E909" s="205"/>
      <c r="F909" s="204"/>
      <c r="G909" s="204"/>
      <c r="I909" s="254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  <c r="AA909" s="201"/>
      <c r="AB909" s="201"/>
    </row>
    <row r="910" spans="1:28" ht="12.75">
      <c r="A910" s="203"/>
      <c r="B910" s="203"/>
      <c r="D910" s="204"/>
      <c r="E910" s="205"/>
      <c r="F910" s="204"/>
      <c r="G910" s="204"/>
      <c r="I910" s="254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  <c r="AA910" s="201"/>
      <c r="AB910" s="201"/>
    </row>
    <row r="911" spans="1:28" ht="12.75">
      <c r="A911" s="203"/>
      <c r="B911" s="203"/>
      <c r="D911" s="204"/>
      <c r="E911" s="205"/>
      <c r="F911" s="204"/>
      <c r="G911" s="204"/>
      <c r="I911" s="254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  <c r="AA911" s="201"/>
      <c r="AB911" s="201"/>
    </row>
    <row r="912" spans="1:28" ht="12.75">
      <c r="A912" s="203"/>
      <c r="B912" s="203"/>
      <c r="D912" s="204"/>
      <c r="E912" s="205"/>
      <c r="F912" s="204"/>
      <c r="G912" s="204"/>
      <c r="I912" s="254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  <c r="AA912" s="201"/>
      <c r="AB912" s="201"/>
    </row>
    <row r="913" spans="1:28" ht="12.75">
      <c r="A913" s="203"/>
      <c r="B913" s="203"/>
      <c r="D913" s="204"/>
      <c r="E913" s="205"/>
      <c r="F913" s="204"/>
      <c r="G913" s="204"/>
      <c r="I913" s="254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  <c r="AA913" s="201"/>
      <c r="AB913" s="201"/>
    </row>
    <row r="914" spans="1:28" ht="12.75">
      <c r="A914" s="203"/>
      <c r="B914" s="203"/>
      <c r="D914" s="204"/>
      <c r="E914" s="205"/>
      <c r="F914" s="204"/>
      <c r="G914" s="204"/>
      <c r="I914" s="254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  <c r="AA914" s="201"/>
      <c r="AB914" s="201"/>
    </row>
    <row r="915" spans="1:28" ht="12.75">
      <c r="A915" s="203"/>
      <c r="B915" s="203"/>
      <c r="D915" s="204"/>
      <c r="E915" s="205"/>
      <c r="F915" s="204"/>
      <c r="G915" s="204"/>
      <c r="I915" s="254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  <c r="AA915" s="201"/>
      <c r="AB915" s="201"/>
    </row>
    <row r="916" spans="1:28" ht="12.75">
      <c r="A916" s="203"/>
      <c r="B916" s="203"/>
      <c r="D916" s="204"/>
      <c r="E916" s="205"/>
      <c r="F916" s="204"/>
      <c r="G916" s="204"/>
      <c r="I916" s="254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  <c r="AA916" s="201"/>
      <c r="AB916" s="201"/>
    </row>
    <row r="917" spans="1:28" ht="12.75">
      <c r="A917" s="203"/>
      <c r="B917" s="203"/>
      <c r="D917" s="204"/>
      <c r="E917" s="205"/>
      <c r="F917" s="204"/>
      <c r="G917" s="204"/>
      <c r="I917" s="254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  <c r="AA917" s="201"/>
      <c r="AB917" s="201"/>
    </row>
    <row r="918" spans="1:28" ht="12.75">
      <c r="A918" s="203"/>
      <c r="B918" s="203"/>
      <c r="D918" s="204"/>
      <c r="E918" s="205"/>
      <c r="F918" s="204"/>
      <c r="G918" s="204"/>
      <c r="I918" s="254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  <c r="AA918" s="201"/>
      <c r="AB918" s="201"/>
    </row>
    <row r="919" spans="1:28" ht="12.75">
      <c r="A919" s="203"/>
      <c r="B919" s="203"/>
      <c r="D919" s="41"/>
      <c r="E919" s="205"/>
      <c r="F919" s="204"/>
      <c r="G919" s="204"/>
      <c r="I919" s="254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  <c r="AA919" s="201"/>
      <c r="AB919" s="201"/>
    </row>
    <row r="920" spans="1:28" ht="12.75">
      <c r="A920" s="203"/>
      <c r="B920" s="203"/>
      <c r="D920" s="204"/>
      <c r="E920" s="205"/>
      <c r="F920" s="204"/>
      <c r="G920" s="204"/>
      <c r="I920" s="254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  <c r="AA920" s="201"/>
      <c r="AB920" s="201"/>
    </row>
    <row r="921" spans="1:28" ht="12.75">
      <c r="A921" s="203"/>
      <c r="B921" s="203"/>
      <c r="D921" s="207"/>
      <c r="E921" s="205"/>
      <c r="F921" s="207"/>
      <c r="G921" s="207"/>
      <c r="I921" s="254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  <c r="AA921" s="201"/>
      <c r="AB921" s="201"/>
    </row>
    <row r="922" spans="1:28" ht="12.75">
      <c r="A922" s="203"/>
      <c r="B922" s="203"/>
      <c r="D922" s="204"/>
      <c r="E922" s="205"/>
      <c r="F922" s="204"/>
      <c r="G922" s="204"/>
      <c r="I922" s="254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  <c r="AA922" s="201"/>
      <c r="AB922" s="201"/>
    </row>
    <row r="923" spans="1:28" ht="12.75">
      <c r="A923" s="203"/>
      <c r="B923" s="203"/>
      <c r="D923" s="204"/>
      <c r="E923" s="205"/>
      <c r="F923" s="204"/>
      <c r="G923" s="204"/>
      <c r="I923" s="254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  <c r="AA923" s="201"/>
      <c r="AB923" s="201"/>
    </row>
    <row r="924" spans="1:28" ht="12.75">
      <c r="A924" s="203"/>
      <c r="B924" s="203"/>
      <c r="D924" s="204"/>
      <c r="E924" s="205"/>
      <c r="F924" s="204"/>
      <c r="G924" s="204"/>
      <c r="I924" s="254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  <c r="AA924" s="201"/>
      <c r="AB924" s="201"/>
    </row>
    <row r="925" spans="1:28" ht="12.75">
      <c r="A925" s="203"/>
      <c r="B925" s="203"/>
      <c r="D925" s="204"/>
      <c r="E925" s="205"/>
      <c r="F925" s="204"/>
      <c r="G925" s="204"/>
      <c r="I925" s="254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  <c r="AA925" s="201"/>
      <c r="AB925" s="201"/>
    </row>
    <row r="926" spans="1:28" ht="12.75">
      <c r="A926" s="203"/>
      <c r="B926" s="203"/>
      <c r="D926" s="204"/>
      <c r="E926" s="205"/>
      <c r="F926" s="204"/>
      <c r="G926" s="204"/>
      <c r="I926" s="254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  <c r="AA926" s="201"/>
      <c r="AB926" s="201"/>
    </row>
    <row r="927" spans="1:28" ht="12.75">
      <c r="A927" s="203"/>
      <c r="B927" s="203"/>
      <c r="D927" s="204"/>
      <c r="E927" s="205"/>
      <c r="F927" s="204"/>
      <c r="G927" s="204"/>
      <c r="I927" s="254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  <c r="AA927" s="201"/>
      <c r="AB927" s="201"/>
    </row>
    <row r="928" spans="1:28" ht="12.75">
      <c r="A928" s="203"/>
      <c r="B928" s="203"/>
      <c r="D928" s="204"/>
      <c r="E928" s="205"/>
      <c r="F928" s="204"/>
      <c r="G928" s="204"/>
      <c r="I928" s="254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  <c r="AA928" s="201"/>
      <c r="AB928" s="201"/>
    </row>
    <row r="929" spans="1:28" ht="12.75">
      <c r="A929" s="203"/>
      <c r="B929" s="203"/>
      <c r="D929" s="204"/>
      <c r="E929" s="205"/>
      <c r="F929" s="204"/>
      <c r="G929" s="204"/>
      <c r="I929" s="254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  <c r="AA929" s="201"/>
      <c r="AB929" s="201"/>
    </row>
    <row r="930" spans="1:28" ht="12.75">
      <c r="A930" s="203"/>
      <c r="B930" s="203"/>
      <c r="D930" s="204"/>
      <c r="E930" s="205"/>
      <c r="F930" s="204"/>
      <c r="G930" s="204"/>
      <c r="I930" s="254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  <c r="AA930" s="201"/>
      <c r="AB930" s="201"/>
    </row>
    <row r="931" spans="1:28" ht="12.75">
      <c r="A931" s="203"/>
      <c r="B931" s="203"/>
      <c r="D931" s="204"/>
      <c r="E931" s="205"/>
      <c r="F931" s="204"/>
      <c r="G931" s="204"/>
      <c r="I931" s="254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  <c r="AA931" s="201"/>
      <c r="AB931" s="201"/>
    </row>
    <row r="932" spans="1:28" ht="12.75">
      <c r="A932" s="203"/>
      <c r="B932" s="203"/>
      <c r="D932" s="204"/>
      <c r="E932" s="205"/>
      <c r="F932" s="204"/>
      <c r="G932" s="204"/>
      <c r="I932" s="254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  <c r="AA932" s="201"/>
      <c r="AB932" s="201"/>
    </row>
    <row r="933" spans="1:28" ht="12.75">
      <c r="A933" s="203"/>
      <c r="B933" s="203"/>
      <c r="D933" s="204"/>
      <c r="E933" s="205"/>
      <c r="F933" s="204"/>
      <c r="G933" s="204"/>
      <c r="I933" s="254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  <c r="AA933" s="201"/>
      <c r="AB933" s="201"/>
    </row>
    <row r="934" spans="1:28" ht="12.75">
      <c r="A934" s="203"/>
      <c r="B934" s="203"/>
      <c r="D934" s="204"/>
      <c r="E934" s="205"/>
      <c r="F934" s="204"/>
      <c r="G934" s="204"/>
      <c r="I934" s="254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  <c r="AA934" s="201"/>
      <c r="AB934" s="201"/>
    </row>
    <row r="935" spans="1:28" ht="12.75">
      <c r="A935" s="203"/>
      <c r="B935" s="203"/>
      <c r="D935" s="204"/>
      <c r="E935" s="205"/>
      <c r="F935" s="204"/>
      <c r="G935" s="204"/>
      <c r="I935" s="254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  <c r="AA935" s="201"/>
      <c r="AB935" s="201"/>
    </row>
    <row r="936" spans="1:28" ht="12.75">
      <c r="A936" s="203"/>
      <c r="B936" s="203"/>
      <c r="D936" s="204"/>
      <c r="E936" s="205"/>
      <c r="F936" s="204"/>
      <c r="G936" s="204"/>
      <c r="I936" s="254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  <c r="AA936" s="201"/>
      <c r="AB936" s="201"/>
    </row>
    <row r="937" spans="1:28" ht="12.75">
      <c r="A937" s="203"/>
      <c r="B937" s="203"/>
      <c r="D937" s="204"/>
      <c r="E937" s="205"/>
      <c r="F937" s="204"/>
      <c r="G937" s="204"/>
      <c r="I937" s="254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  <c r="AA937" s="201"/>
      <c r="AB937" s="201"/>
    </row>
    <row r="938" spans="1:28" ht="12.75">
      <c r="A938" s="203"/>
      <c r="B938" s="203"/>
      <c r="D938" s="204"/>
      <c r="E938" s="205"/>
      <c r="F938" s="204"/>
      <c r="G938" s="204"/>
      <c r="I938" s="254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  <c r="AA938" s="201"/>
      <c r="AB938" s="201"/>
    </row>
    <row r="939" spans="1:28" ht="12.75">
      <c r="A939" s="203"/>
      <c r="B939" s="203"/>
      <c r="D939" s="204"/>
      <c r="E939" s="205"/>
      <c r="F939" s="204"/>
      <c r="G939" s="204"/>
      <c r="I939" s="254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  <c r="AA939" s="201"/>
      <c r="AB939" s="201"/>
    </row>
    <row r="940" spans="1:28" ht="12.75">
      <c r="A940" s="203"/>
      <c r="B940" s="203"/>
      <c r="D940" s="204"/>
      <c r="E940" s="205"/>
      <c r="F940" s="204"/>
      <c r="G940" s="204"/>
      <c r="I940" s="254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  <c r="AA940" s="201"/>
      <c r="AB940" s="201"/>
    </row>
    <row r="941" spans="1:28" ht="12.75">
      <c r="A941" s="203"/>
      <c r="B941" s="203"/>
      <c r="D941" s="204"/>
      <c r="E941" s="205"/>
      <c r="F941" s="204"/>
      <c r="G941" s="208"/>
      <c r="I941" s="254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  <c r="AA941" s="201"/>
      <c r="AB941" s="201"/>
    </row>
    <row r="942" spans="1:28" ht="12.75">
      <c r="A942" s="203"/>
      <c r="B942" s="203"/>
      <c r="D942" s="204"/>
      <c r="E942" s="205"/>
      <c r="F942" s="205"/>
      <c r="G942" s="208"/>
      <c r="I942" s="254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  <c r="AA942" s="201"/>
      <c r="AB942" s="201"/>
    </row>
    <row r="943" spans="1:28" ht="12.75">
      <c r="A943" s="203"/>
      <c r="B943" s="203"/>
      <c r="D943" s="204"/>
      <c r="E943" s="205"/>
      <c r="F943" s="204"/>
      <c r="G943" s="208"/>
      <c r="I943" s="254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  <c r="AA943" s="201"/>
      <c r="AB943" s="201"/>
    </row>
    <row r="944" spans="1:28" ht="12.75">
      <c r="A944" s="203"/>
      <c r="B944" s="203"/>
      <c r="D944" s="204"/>
      <c r="E944" s="205"/>
      <c r="F944" s="204"/>
      <c r="G944" s="208"/>
      <c r="I944" s="254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  <c r="AA944" s="201"/>
      <c r="AB944" s="201"/>
    </row>
    <row r="945" spans="1:28" ht="12.75">
      <c r="A945" s="203"/>
      <c r="B945" s="203"/>
      <c r="D945" s="208"/>
      <c r="E945" s="205"/>
      <c r="F945" s="208"/>
      <c r="G945" s="208"/>
      <c r="I945" s="254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  <c r="AA945" s="201"/>
      <c r="AB945" s="201"/>
    </row>
    <row r="946" spans="1:28" ht="12.75">
      <c r="A946" s="203"/>
      <c r="B946" s="203"/>
      <c r="D946" s="204"/>
      <c r="E946" s="205"/>
      <c r="F946" s="204"/>
      <c r="G946" s="208"/>
      <c r="I946" s="254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  <c r="AA946" s="201"/>
      <c r="AB946" s="201"/>
    </row>
    <row r="947" spans="1:28" ht="12.75">
      <c r="A947" s="203"/>
      <c r="B947" s="203"/>
      <c r="D947" s="204"/>
      <c r="E947" s="205"/>
      <c r="F947" s="204"/>
      <c r="G947" s="204"/>
      <c r="I947" s="254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  <c r="AA947" s="201"/>
      <c r="AB947" s="201"/>
    </row>
    <row r="948" spans="1:28" ht="12.75">
      <c r="A948" s="203"/>
      <c r="B948" s="203"/>
      <c r="D948" s="204"/>
      <c r="E948" s="205"/>
      <c r="F948" s="204"/>
      <c r="G948" s="204"/>
      <c r="I948" s="254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  <c r="AA948" s="201"/>
      <c r="AB948" s="201"/>
    </row>
    <row r="949" spans="1:28" ht="12.75">
      <c r="A949" s="203"/>
      <c r="B949" s="203"/>
      <c r="D949" s="204"/>
      <c r="E949" s="205"/>
      <c r="F949" s="204"/>
      <c r="G949" s="204"/>
      <c r="I949" s="254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  <c r="AA949" s="201"/>
      <c r="AB949" s="201"/>
    </row>
    <row r="950" spans="1:28" ht="12.75">
      <c r="A950" s="203"/>
      <c r="B950" s="203"/>
      <c r="D950" s="204"/>
      <c r="E950" s="205"/>
      <c r="F950" s="204"/>
      <c r="G950" s="204"/>
      <c r="I950" s="254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  <c r="AA950" s="201"/>
      <c r="AB950" s="201"/>
    </row>
    <row r="951" spans="1:28" ht="12.75">
      <c r="A951" s="203"/>
      <c r="B951" s="203"/>
      <c r="D951" s="204"/>
      <c r="E951" s="205"/>
      <c r="F951" s="204"/>
      <c r="G951" s="204"/>
      <c r="I951" s="254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  <c r="AA951" s="201"/>
      <c r="AB951" s="201"/>
    </row>
    <row r="952" spans="1:28" ht="12.75">
      <c r="A952" s="203"/>
      <c r="B952" s="203"/>
      <c r="D952" s="205"/>
      <c r="E952" s="205"/>
      <c r="F952" s="205"/>
      <c r="G952" s="205"/>
      <c r="I952" s="254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  <c r="AA952" s="201"/>
      <c r="AB952" s="201"/>
    </row>
    <row r="953" spans="1:28" ht="12.75">
      <c r="A953" s="203"/>
      <c r="B953" s="203"/>
      <c r="D953" s="205"/>
      <c r="E953" s="205"/>
      <c r="F953" s="205"/>
      <c r="G953" s="205"/>
      <c r="I953" s="254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  <c r="AA953" s="201"/>
      <c r="AB953" s="201"/>
    </row>
    <row r="954" spans="1:28" ht="12.75">
      <c r="A954" s="203"/>
      <c r="B954" s="203"/>
      <c r="D954" s="205"/>
      <c r="E954" s="205"/>
      <c r="F954" s="205"/>
      <c r="G954" s="205"/>
      <c r="I954" s="254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  <c r="AA954" s="201"/>
      <c r="AB954" s="201"/>
    </row>
    <row r="955" spans="1:28" ht="12.75">
      <c r="A955" s="203"/>
      <c r="B955" s="203"/>
      <c r="D955" s="205"/>
      <c r="E955" s="205"/>
      <c r="F955" s="205"/>
      <c r="G955" s="205"/>
      <c r="I955" s="254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  <c r="AA955" s="201"/>
      <c r="AB955" s="201"/>
    </row>
    <row r="956" spans="1:28" ht="12.75">
      <c r="A956" s="203"/>
      <c r="B956" s="203"/>
      <c r="D956" s="205"/>
      <c r="E956" s="205"/>
      <c r="F956" s="205"/>
      <c r="G956" s="205"/>
      <c r="I956" s="254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  <c r="AA956" s="201"/>
      <c r="AB956" s="201"/>
    </row>
    <row r="957" spans="1:28" ht="12.75">
      <c r="A957" s="203"/>
      <c r="B957" s="203"/>
      <c r="D957" s="205"/>
      <c r="E957" s="205"/>
      <c r="F957" s="205"/>
      <c r="G957" s="205"/>
      <c r="I957" s="254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  <c r="AA957" s="201"/>
      <c r="AB957" s="201"/>
    </row>
    <row r="958" spans="1:28" ht="12.75">
      <c r="A958" s="203"/>
      <c r="B958" s="203"/>
      <c r="D958" s="205"/>
      <c r="E958" s="205"/>
      <c r="F958" s="205"/>
      <c r="G958" s="205"/>
      <c r="I958" s="254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  <c r="AA958" s="201"/>
      <c r="AB958" s="201"/>
    </row>
    <row r="959" spans="1:28" ht="12.75">
      <c r="A959" s="203"/>
      <c r="B959" s="203"/>
      <c r="D959" s="205"/>
      <c r="E959" s="205"/>
      <c r="F959" s="205"/>
      <c r="G959" s="205"/>
      <c r="I959" s="254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  <c r="AA959" s="201"/>
      <c r="AB959" s="201"/>
    </row>
    <row r="960" spans="1:28" ht="12.75">
      <c r="A960" s="203"/>
      <c r="B960" s="203"/>
      <c r="D960" s="205"/>
      <c r="E960" s="205"/>
      <c r="F960" s="205"/>
      <c r="G960" s="205"/>
      <c r="I960" s="254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  <c r="AA960" s="201"/>
      <c r="AB960" s="201"/>
    </row>
    <row r="961" spans="1:28" ht="12.75">
      <c r="A961" s="203"/>
      <c r="B961" s="203"/>
      <c r="D961" s="205"/>
      <c r="E961" s="205"/>
      <c r="F961" s="205"/>
      <c r="G961" s="205"/>
      <c r="I961" s="254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  <c r="AA961" s="201"/>
      <c r="AB961" s="201"/>
    </row>
    <row r="962" spans="1:28" ht="12.75">
      <c r="A962" s="203"/>
      <c r="B962" s="203"/>
      <c r="D962" s="204"/>
      <c r="E962" s="205"/>
      <c r="F962" s="204"/>
      <c r="G962" s="204"/>
      <c r="I962" s="254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  <c r="AA962" s="201"/>
      <c r="AB962" s="201"/>
    </row>
    <row r="963" spans="1:28" ht="12.75">
      <c r="A963" s="203"/>
      <c r="B963" s="203"/>
      <c r="D963" s="204"/>
      <c r="E963" s="205"/>
      <c r="F963" s="204"/>
      <c r="G963" s="204"/>
      <c r="I963" s="254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  <c r="AA963" s="201"/>
      <c r="AB963" s="201"/>
    </row>
    <row r="964" spans="1:28" ht="12.75">
      <c r="A964" s="203"/>
      <c r="B964" s="203"/>
      <c r="D964" s="205"/>
      <c r="E964" s="205"/>
      <c r="F964" s="205"/>
      <c r="G964" s="205"/>
      <c r="I964" s="254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  <c r="AA964" s="201"/>
      <c r="AB964" s="201"/>
    </row>
    <row r="965" spans="1:28" ht="12.75">
      <c r="A965" s="203"/>
      <c r="B965" s="203"/>
      <c r="D965" s="205"/>
      <c r="E965" s="205"/>
      <c r="F965" s="205"/>
      <c r="G965" s="205"/>
      <c r="I965" s="254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  <c r="AA965" s="201"/>
      <c r="AB965" s="201"/>
    </row>
    <row r="966" spans="1:28" ht="12.75">
      <c r="A966" s="203"/>
      <c r="B966" s="203"/>
      <c r="D966" s="205"/>
      <c r="E966" s="205"/>
      <c r="F966" s="205"/>
      <c r="G966" s="205"/>
      <c r="I966" s="254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  <c r="AA966" s="201"/>
      <c r="AB966" s="201"/>
    </row>
    <row r="967" spans="1:28" ht="12.75">
      <c r="A967" s="203"/>
      <c r="B967" s="203"/>
      <c r="D967" s="205"/>
      <c r="E967" s="205"/>
      <c r="F967" s="205"/>
      <c r="G967" s="205"/>
      <c r="I967" s="254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  <c r="AA967" s="201"/>
      <c r="AB967" s="201"/>
    </row>
    <row r="968" spans="1:28" ht="12.75">
      <c r="A968" s="203"/>
      <c r="B968" s="203"/>
      <c r="D968" s="209"/>
      <c r="E968" s="205"/>
      <c r="F968" s="209"/>
      <c r="G968" s="209"/>
      <c r="I968" s="254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  <c r="AA968" s="201"/>
      <c r="AB968" s="201"/>
    </row>
    <row r="969" spans="1:28" ht="12.75">
      <c r="A969" s="203"/>
      <c r="B969" s="203"/>
      <c r="D969" s="207"/>
      <c r="E969" s="205"/>
      <c r="F969" s="207"/>
      <c r="G969" s="207"/>
      <c r="I969" s="254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  <c r="AA969" s="201"/>
      <c r="AB969" s="201"/>
    </row>
    <row r="970" spans="1:28" ht="12.75">
      <c r="A970" s="203"/>
      <c r="B970" s="203"/>
      <c r="D970" s="208"/>
      <c r="E970" s="205"/>
      <c r="F970" s="208"/>
      <c r="G970" s="208"/>
      <c r="I970" s="254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  <c r="AA970" s="201"/>
      <c r="AB970" s="201"/>
    </row>
    <row r="971" spans="1:28" ht="12.75">
      <c r="A971" s="203"/>
      <c r="B971" s="203"/>
      <c r="D971" s="208"/>
      <c r="E971" s="205"/>
      <c r="F971" s="208"/>
      <c r="G971" s="208"/>
      <c r="I971" s="254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  <c r="AA971" s="201"/>
      <c r="AB971" s="201"/>
    </row>
    <row r="972" spans="1:28" ht="12.75">
      <c r="A972" s="203"/>
      <c r="B972" s="203"/>
      <c r="D972" s="204"/>
      <c r="E972" s="205"/>
      <c r="F972" s="204"/>
      <c r="G972" s="208"/>
      <c r="I972" s="254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  <c r="AA972" s="201"/>
      <c r="AB972" s="201"/>
    </row>
    <row r="973" spans="1:28" ht="12.75">
      <c r="A973" s="203"/>
      <c r="B973" s="203"/>
      <c r="D973" s="204"/>
      <c r="E973" s="205"/>
      <c r="F973" s="205"/>
      <c r="G973" s="208"/>
      <c r="I973" s="254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  <c r="AA973" s="201"/>
      <c r="AB973" s="201"/>
    </row>
    <row r="974" spans="1:28" ht="12.75">
      <c r="A974" s="203"/>
      <c r="B974" s="203"/>
      <c r="D974" s="204"/>
      <c r="E974" s="205"/>
      <c r="F974" s="204"/>
      <c r="G974" s="208"/>
      <c r="I974" s="254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  <c r="AA974" s="201"/>
      <c r="AB974" s="201"/>
    </row>
    <row r="975" spans="1:28" ht="12.75">
      <c r="A975" s="203"/>
      <c r="B975" s="203"/>
      <c r="D975" s="204"/>
      <c r="E975" s="205"/>
      <c r="F975" s="204"/>
      <c r="G975" s="208"/>
      <c r="I975" s="254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  <c r="AA975" s="201"/>
      <c r="AB975" s="201"/>
    </row>
    <row r="976" spans="1:28" ht="12.75">
      <c r="A976" s="203"/>
      <c r="B976" s="203"/>
      <c r="D976" s="204"/>
      <c r="E976" s="205"/>
      <c r="F976" s="204"/>
      <c r="G976" s="208"/>
      <c r="I976" s="254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  <c r="AA976" s="201"/>
      <c r="AB976" s="201"/>
    </row>
    <row r="977" spans="1:28" ht="12.75">
      <c r="A977" s="203"/>
      <c r="B977" s="203"/>
      <c r="D977" s="204"/>
      <c r="E977" s="205"/>
      <c r="F977" s="204"/>
      <c r="G977" s="208"/>
      <c r="I977" s="254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  <c r="AA977" s="201"/>
      <c r="AB977" s="201"/>
    </row>
    <row r="978" spans="1:28" ht="12.75">
      <c r="A978" s="203"/>
      <c r="B978" s="203"/>
      <c r="D978" s="204"/>
      <c r="E978" s="205"/>
      <c r="F978" s="204"/>
      <c r="G978" s="208"/>
      <c r="I978" s="254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  <c r="AA978" s="201"/>
      <c r="AB978" s="201"/>
    </row>
    <row r="979" spans="1:28" ht="12.75">
      <c r="A979" s="203"/>
      <c r="B979" s="203"/>
      <c r="D979" s="204"/>
      <c r="E979" s="205"/>
      <c r="F979" s="204"/>
      <c r="G979" s="208"/>
      <c r="I979" s="254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  <c r="AA979" s="201"/>
      <c r="AB979" s="201"/>
    </row>
    <row r="980" spans="1:28" ht="12.75">
      <c r="A980" s="203"/>
      <c r="B980" s="203"/>
      <c r="D980" s="204"/>
      <c r="E980" s="205"/>
      <c r="F980" s="204"/>
      <c r="G980" s="208"/>
      <c r="I980" s="254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  <c r="AA980" s="201"/>
      <c r="AB980" s="201"/>
    </row>
    <row r="981" spans="1:28" ht="12.75">
      <c r="A981" s="203"/>
      <c r="B981" s="203"/>
      <c r="D981" s="204"/>
      <c r="E981" s="205"/>
      <c r="F981" s="204"/>
      <c r="G981" s="208"/>
      <c r="I981" s="254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  <c r="AA981" s="201"/>
      <c r="AB981" s="201"/>
    </row>
    <row r="982" spans="1:28" ht="12.75">
      <c r="A982" s="203"/>
      <c r="B982" s="203"/>
      <c r="D982" s="204"/>
      <c r="E982" s="205"/>
      <c r="F982" s="204"/>
      <c r="G982" s="207"/>
      <c r="I982" s="254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  <c r="AA982" s="201"/>
      <c r="AB982" s="201"/>
    </row>
    <row r="983" spans="1:28" ht="12.75">
      <c r="A983" s="203"/>
      <c r="B983" s="203"/>
      <c r="D983" s="204"/>
      <c r="E983" s="205"/>
      <c r="F983" s="204"/>
      <c r="G983" s="208"/>
      <c r="I983" s="254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  <c r="AA983" s="201"/>
      <c r="AB983" s="201"/>
    </row>
    <row r="984" spans="1:28" ht="12.75">
      <c r="A984" s="203"/>
      <c r="B984" s="203"/>
      <c r="D984" s="204"/>
      <c r="E984" s="205"/>
      <c r="F984" s="204"/>
      <c r="G984" s="204"/>
      <c r="I984" s="254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  <c r="AA984" s="201"/>
      <c r="AB984" s="201"/>
    </row>
    <row r="985" spans="1:28" ht="12.75">
      <c r="A985" s="203"/>
      <c r="B985" s="203"/>
      <c r="D985" s="204"/>
      <c r="E985" s="205"/>
      <c r="F985" s="204"/>
      <c r="G985" s="208"/>
      <c r="I985" s="254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  <c r="AA985" s="201"/>
      <c r="AB985" s="201"/>
    </row>
    <row r="986" spans="1:28" ht="12.75">
      <c r="A986" s="203"/>
      <c r="B986" s="203"/>
      <c r="D986" s="204"/>
      <c r="E986" s="205"/>
      <c r="F986" s="204"/>
      <c r="G986" s="204"/>
      <c r="I986" s="254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  <c r="AA986" s="201"/>
      <c r="AB986" s="201"/>
    </row>
    <row r="987" spans="1:28" ht="12.75">
      <c r="A987" s="203"/>
      <c r="B987" s="203"/>
      <c r="D987" s="204"/>
      <c r="E987" s="205"/>
      <c r="F987" s="204"/>
      <c r="G987" s="204"/>
      <c r="I987" s="254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  <c r="AA987" s="201"/>
      <c r="AB987" s="201"/>
    </row>
    <row r="988" spans="1:28" ht="12.75">
      <c r="A988" s="203"/>
      <c r="B988" s="203"/>
      <c r="D988" s="204"/>
      <c r="E988" s="205"/>
      <c r="F988" s="204"/>
      <c r="G988" s="204"/>
      <c r="I988" s="254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  <c r="AA988" s="201"/>
      <c r="AB988" s="201"/>
    </row>
    <row r="989" spans="1:28" ht="12.75">
      <c r="A989" s="203"/>
      <c r="B989" s="203"/>
      <c r="D989" s="204"/>
      <c r="E989" s="205"/>
      <c r="F989" s="204"/>
      <c r="G989" s="204"/>
      <c r="I989" s="254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  <c r="AA989" s="201"/>
      <c r="AB989" s="201"/>
    </row>
    <row r="990" spans="1:28" ht="12.75">
      <c r="A990" s="203"/>
      <c r="B990" s="203"/>
      <c r="D990" s="204"/>
      <c r="E990" s="205"/>
      <c r="F990" s="204"/>
      <c r="G990" s="204"/>
      <c r="I990" s="254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  <c r="AA990" s="201"/>
      <c r="AB990" s="201"/>
    </row>
    <row r="991" spans="1:28" ht="12.75">
      <c r="A991" s="203"/>
      <c r="B991" s="203"/>
      <c r="D991" s="204"/>
      <c r="E991" s="205"/>
      <c r="F991" s="204"/>
      <c r="G991" s="204"/>
      <c r="I991" s="254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  <c r="AA991" s="201"/>
      <c r="AB991" s="201"/>
    </row>
    <row r="992" spans="1:28" ht="12.75">
      <c r="A992" s="203"/>
      <c r="B992" s="203"/>
      <c r="D992" s="204"/>
      <c r="E992" s="205"/>
      <c r="F992" s="204"/>
      <c r="G992" s="204"/>
      <c r="I992" s="254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  <c r="AA992" s="201"/>
      <c r="AB992" s="201"/>
    </row>
    <row r="993" spans="1:28" ht="12.75">
      <c r="A993" s="203"/>
      <c r="B993" s="203"/>
      <c r="D993" s="204"/>
      <c r="E993" s="205"/>
      <c r="F993" s="204"/>
      <c r="G993" s="204"/>
      <c r="I993" s="254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  <c r="AA993" s="201"/>
      <c r="AB993" s="201"/>
    </row>
    <row r="994" spans="1:28" ht="12.75">
      <c r="A994" s="203"/>
      <c r="B994" s="203"/>
      <c r="D994" s="204"/>
      <c r="E994" s="205"/>
      <c r="F994" s="204"/>
      <c r="G994" s="204"/>
      <c r="I994" s="254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  <c r="AA994" s="201"/>
      <c r="AB994" s="201"/>
    </row>
    <row r="995" spans="1:28" ht="12.75">
      <c r="A995" s="203"/>
      <c r="B995" s="203"/>
      <c r="D995" s="204"/>
      <c r="E995" s="205"/>
      <c r="F995" s="204"/>
      <c r="G995" s="204"/>
      <c r="I995" s="254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  <c r="AA995" s="201"/>
      <c r="AB995" s="201"/>
    </row>
    <row r="996" spans="1:28" ht="12.75">
      <c r="A996" s="203"/>
      <c r="B996" s="203"/>
      <c r="D996" s="204"/>
      <c r="E996" s="205"/>
      <c r="F996" s="204"/>
      <c r="G996" s="204"/>
      <c r="I996" s="254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  <c r="AA996" s="201"/>
      <c r="AB996" s="201"/>
    </row>
    <row r="997" spans="1:28" ht="12.75">
      <c r="A997" s="203"/>
      <c r="B997" s="203"/>
      <c r="D997" s="204"/>
      <c r="E997" s="205"/>
      <c r="F997" s="204"/>
      <c r="G997" s="204"/>
      <c r="I997" s="254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  <c r="AA997" s="201"/>
      <c r="AB997" s="201"/>
    </row>
    <row r="998" spans="1:28" ht="12.75">
      <c r="A998" s="203"/>
      <c r="B998" s="203"/>
      <c r="D998" s="204"/>
      <c r="E998" s="205"/>
      <c r="F998" s="204"/>
      <c r="G998" s="204"/>
      <c r="I998" s="254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  <c r="AA998" s="201"/>
      <c r="AB998" s="201"/>
    </row>
    <row r="999" spans="1:28" ht="12.75">
      <c r="A999" s="203"/>
      <c r="B999" s="203"/>
      <c r="D999" s="204"/>
      <c r="E999" s="205"/>
      <c r="F999" s="204"/>
      <c r="G999" s="204"/>
      <c r="I999" s="254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  <c r="AA999" s="201"/>
      <c r="AB999" s="201"/>
    </row>
    <row r="1000" spans="1:28" ht="12.75">
      <c r="A1000" s="203"/>
      <c r="B1000" s="203"/>
      <c r="D1000" s="204"/>
      <c r="E1000" s="205"/>
      <c r="F1000" s="204"/>
      <c r="G1000" s="204"/>
      <c r="I1000" s="254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  <c r="AA1000" s="201"/>
      <c r="AB1000" s="201"/>
    </row>
    <row r="1001" spans="1:28" ht="12.75">
      <c r="A1001" s="203"/>
      <c r="B1001" s="203"/>
      <c r="D1001" s="204"/>
      <c r="E1001" s="205"/>
      <c r="F1001" s="204"/>
      <c r="G1001" s="204"/>
      <c r="I1001" s="254"/>
      <c r="L1001" s="201"/>
      <c r="M1001" s="201"/>
      <c r="N1001" s="201"/>
      <c r="O1001" s="201"/>
      <c r="P1001" s="201"/>
      <c r="Q1001" s="201"/>
      <c r="R1001" s="201"/>
      <c r="S1001" s="201"/>
      <c r="T1001" s="201"/>
      <c r="U1001" s="201"/>
      <c r="V1001" s="201"/>
      <c r="W1001" s="201"/>
      <c r="X1001" s="201"/>
      <c r="Y1001" s="201"/>
      <c r="Z1001" s="201"/>
      <c r="AA1001" s="201"/>
      <c r="AB1001" s="201"/>
    </row>
    <row r="1002" spans="1:28" ht="12.75">
      <c r="A1002" s="203"/>
      <c r="B1002" s="203"/>
      <c r="D1002" s="204"/>
      <c r="E1002" s="205"/>
      <c r="F1002" s="204"/>
      <c r="G1002" s="204"/>
      <c r="I1002" s="254"/>
      <c r="L1002" s="201"/>
      <c r="M1002" s="201"/>
      <c r="N1002" s="201"/>
      <c r="O1002" s="201"/>
      <c r="P1002" s="201"/>
      <c r="Q1002" s="201"/>
      <c r="R1002" s="201"/>
      <c r="S1002" s="201"/>
      <c r="T1002" s="201"/>
      <c r="U1002" s="201"/>
      <c r="V1002" s="201"/>
      <c r="W1002" s="201"/>
      <c r="X1002" s="201"/>
      <c r="Y1002" s="201"/>
      <c r="Z1002" s="201"/>
      <c r="AA1002" s="201"/>
      <c r="AB1002" s="201"/>
    </row>
    <row r="1003" spans="1:28" ht="12.75">
      <c r="A1003" s="203"/>
      <c r="B1003" s="203"/>
      <c r="D1003" s="204"/>
      <c r="E1003" s="205"/>
      <c r="F1003" s="204"/>
      <c r="G1003" s="204"/>
      <c r="I1003" s="254"/>
      <c r="L1003" s="201"/>
      <c r="M1003" s="201"/>
      <c r="N1003" s="201"/>
      <c r="O1003" s="201"/>
      <c r="P1003" s="201"/>
      <c r="Q1003" s="201"/>
      <c r="R1003" s="201"/>
      <c r="S1003" s="201"/>
      <c r="T1003" s="201"/>
      <c r="U1003" s="201"/>
      <c r="V1003" s="201"/>
      <c r="W1003" s="201"/>
      <c r="X1003" s="201"/>
      <c r="Y1003" s="201"/>
      <c r="Z1003" s="201"/>
      <c r="AA1003" s="201"/>
      <c r="AB1003" s="201"/>
    </row>
    <row r="1004" spans="1:28" ht="12.75">
      <c r="A1004" s="203"/>
      <c r="B1004" s="203"/>
      <c r="D1004" s="204"/>
      <c r="E1004" s="205"/>
      <c r="F1004" s="204"/>
      <c r="G1004" s="204"/>
      <c r="I1004" s="254"/>
      <c r="L1004" s="201"/>
      <c r="M1004" s="201"/>
      <c r="N1004" s="201"/>
      <c r="O1004" s="201"/>
      <c r="P1004" s="201"/>
      <c r="Q1004" s="201"/>
      <c r="R1004" s="201"/>
      <c r="S1004" s="201"/>
      <c r="T1004" s="201"/>
      <c r="U1004" s="201"/>
      <c r="V1004" s="201"/>
      <c r="W1004" s="201"/>
      <c r="X1004" s="201"/>
      <c r="Y1004" s="201"/>
      <c r="Z1004" s="201"/>
      <c r="AA1004" s="201"/>
      <c r="AB1004" s="201"/>
    </row>
    <row r="1005" spans="1:28" ht="12.75">
      <c r="A1005" s="203"/>
      <c r="B1005" s="203"/>
      <c r="D1005" s="204"/>
      <c r="E1005" s="205"/>
      <c r="F1005" s="204"/>
      <c r="G1005" s="204"/>
      <c r="I1005" s="254"/>
      <c r="L1005" s="201"/>
      <c r="M1005" s="201"/>
      <c r="N1005" s="201"/>
      <c r="O1005" s="201"/>
      <c r="P1005" s="201"/>
      <c r="Q1005" s="201"/>
      <c r="R1005" s="201"/>
      <c r="S1005" s="201"/>
      <c r="T1005" s="201"/>
      <c r="U1005" s="201"/>
      <c r="V1005" s="201"/>
      <c r="W1005" s="201"/>
      <c r="X1005" s="201"/>
      <c r="Y1005" s="201"/>
      <c r="Z1005" s="201"/>
      <c r="AA1005" s="201"/>
      <c r="AB1005" s="201"/>
    </row>
    <row r="1006" spans="1:28" ht="12.75">
      <c r="A1006" s="203"/>
      <c r="B1006" s="203"/>
      <c r="D1006" s="204"/>
      <c r="E1006" s="205"/>
      <c r="F1006" s="204"/>
      <c r="G1006" s="204"/>
      <c r="I1006" s="254"/>
      <c r="L1006" s="201"/>
      <c r="M1006" s="201"/>
      <c r="N1006" s="201"/>
      <c r="O1006" s="201"/>
      <c r="P1006" s="201"/>
      <c r="Q1006" s="201"/>
      <c r="R1006" s="201"/>
      <c r="S1006" s="201"/>
      <c r="T1006" s="201"/>
      <c r="U1006" s="201"/>
      <c r="V1006" s="201"/>
      <c r="W1006" s="201"/>
      <c r="X1006" s="201"/>
      <c r="Y1006" s="201"/>
      <c r="Z1006" s="201"/>
      <c r="AA1006" s="201"/>
      <c r="AB1006" s="201"/>
    </row>
    <row r="1007" spans="1:28" ht="12.75">
      <c r="A1007" s="203"/>
      <c r="B1007" s="203"/>
      <c r="D1007" s="41"/>
      <c r="E1007" s="205"/>
      <c r="F1007" s="204"/>
      <c r="G1007" s="204"/>
      <c r="I1007" s="254"/>
      <c r="L1007" s="201"/>
      <c r="M1007" s="201"/>
      <c r="N1007" s="201"/>
      <c r="O1007" s="201"/>
      <c r="P1007" s="201"/>
      <c r="Q1007" s="201"/>
      <c r="R1007" s="201"/>
      <c r="S1007" s="201"/>
      <c r="T1007" s="201"/>
      <c r="U1007" s="201"/>
      <c r="V1007" s="201"/>
      <c r="W1007" s="201"/>
      <c r="X1007" s="201"/>
      <c r="Y1007" s="201"/>
      <c r="Z1007" s="201"/>
      <c r="AA1007" s="201"/>
      <c r="AB1007" s="201"/>
    </row>
    <row r="1008" spans="1:28" ht="12.75">
      <c r="A1008" s="203"/>
      <c r="B1008" s="203"/>
      <c r="D1008" s="204"/>
      <c r="E1008" s="205"/>
      <c r="F1008" s="204"/>
      <c r="G1008" s="204"/>
      <c r="I1008" s="254"/>
      <c r="L1008" s="201"/>
      <c r="M1008" s="201"/>
      <c r="N1008" s="201"/>
      <c r="O1008" s="201"/>
      <c r="P1008" s="201"/>
      <c r="Q1008" s="201"/>
      <c r="R1008" s="201"/>
      <c r="S1008" s="201"/>
      <c r="T1008" s="201"/>
      <c r="U1008" s="201"/>
      <c r="V1008" s="201"/>
      <c r="W1008" s="201"/>
      <c r="X1008" s="201"/>
      <c r="Y1008" s="201"/>
      <c r="Z1008" s="201"/>
      <c r="AA1008" s="201"/>
      <c r="AB1008" s="201"/>
    </row>
    <row r="1009" spans="1:28" ht="12.75">
      <c r="A1009" s="203"/>
      <c r="B1009" s="203"/>
      <c r="D1009" s="207"/>
      <c r="E1009" s="205"/>
      <c r="F1009" s="207"/>
      <c r="G1009" s="207"/>
      <c r="I1009" s="254"/>
      <c r="L1009" s="201"/>
      <c r="M1009" s="201"/>
      <c r="N1009" s="201"/>
      <c r="O1009" s="201"/>
      <c r="P1009" s="201"/>
      <c r="Q1009" s="201"/>
      <c r="R1009" s="201"/>
      <c r="S1009" s="201"/>
      <c r="T1009" s="201"/>
      <c r="U1009" s="201"/>
      <c r="V1009" s="201"/>
      <c r="W1009" s="201"/>
      <c r="X1009" s="201"/>
      <c r="Y1009" s="201"/>
      <c r="Z1009" s="201"/>
      <c r="AA1009" s="201"/>
      <c r="AB1009" s="201"/>
    </row>
    <row r="1010" spans="1:28" ht="12.75">
      <c r="A1010" s="203"/>
      <c r="B1010" s="203"/>
      <c r="D1010" s="204"/>
      <c r="E1010" s="205"/>
      <c r="F1010" s="204"/>
      <c r="G1010" s="204"/>
      <c r="I1010" s="254"/>
      <c r="L1010" s="201"/>
      <c r="M1010" s="201"/>
      <c r="N1010" s="201"/>
      <c r="O1010" s="201"/>
      <c r="P1010" s="201"/>
      <c r="Q1010" s="201"/>
      <c r="R1010" s="201"/>
      <c r="S1010" s="201"/>
      <c r="T1010" s="201"/>
      <c r="U1010" s="201"/>
      <c r="V1010" s="201"/>
      <c r="W1010" s="201"/>
      <c r="X1010" s="201"/>
      <c r="Y1010" s="201"/>
      <c r="Z1010" s="201"/>
      <c r="AA1010" s="201"/>
      <c r="AB1010" s="201"/>
    </row>
    <row r="1011" spans="1:28" ht="12.75">
      <c r="A1011" s="203"/>
      <c r="B1011" s="203"/>
      <c r="D1011" s="204"/>
      <c r="E1011" s="205"/>
      <c r="F1011" s="204"/>
      <c r="G1011" s="204"/>
      <c r="I1011" s="254"/>
      <c r="L1011" s="201"/>
      <c r="M1011" s="201"/>
      <c r="N1011" s="201"/>
      <c r="O1011" s="201"/>
      <c r="P1011" s="201"/>
      <c r="Q1011" s="201"/>
      <c r="R1011" s="201"/>
      <c r="S1011" s="201"/>
      <c r="T1011" s="201"/>
      <c r="U1011" s="201"/>
      <c r="V1011" s="201"/>
      <c r="W1011" s="201"/>
      <c r="X1011" s="201"/>
      <c r="Y1011" s="201"/>
      <c r="Z1011" s="201"/>
      <c r="AA1011" s="201"/>
      <c r="AB1011" s="201"/>
    </row>
    <row r="1012" spans="1:28" ht="12.75">
      <c r="A1012" s="203"/>
      <c r="B1012" s="203"/>
      <c r="D1012" s="204"/>
      <c r="E1012" s="205"/>
      <c r="F1012" s="204"/>
      <c r="G1012" s="204"/>
      <c r="I1012" s="254"/>
      <c r="L1012" s="201"/>
      <c r="M1012" s="201"/>
      <c r="N1012" s="201"/>
      <c r="O1012" s="201"/>
      <c r="P1012" s="201"/>
      <c r="Q1012" s="201"/>
      <c r="R1012" s="201"/>
      <c r="S1012" s="201"/>
      <c r="T1012" s="201"/>
      <c r="U1012" s="201"/>
      <c r="V1012" s="201"/>
      <c r="W1012" s="201"/>
      <c r="X1012" s="201"/>
      <c r="Y1012" s="201"/>
      <c r="Z1012" s="201"/>
      <c r="AA1012" s="201"/>
      <c r="AB1012" s="201"/>
    </row>
    <row r="1013" spans="1:28" ht="12.75">
      <c r="A1013" s="203"/>
      <c r="B1013" s="203"/>
      <c r="D1013" s="204"/>
      <c r="E1013" s="205"/>
      <c r="F1013" s="204"/>
      <c r="G1013" s="204"/>
      <c r="I1013" s="254"/>
      <c r="L1013" s="201"/>
      <c r="M1013" s="201"/>
      <c r="N1013" s="201"/>
      <c r="O1013" s="201"/>
      <c r="P1013" s="201"/>
      <c r="Q1013" s="201"/>
      <c r="R1013" s="201"/>
      <c r="S1013" s="201"/>
      <c r="T1013" s="201"/>
      <c r="U1013" s="201"/>
      <c r="V1013" s="201"/>
      <c r="W1013" s="201"/>
      <c r="X1013" s="201"/>
      <c r="Y1013" s="201"/>
      <c r="Z1013" s="201"/>
      <c r="AA1013" s="201"/>
      <c r="AB1013" s="201"/>
    </row>
    <row r="1014" spans="1:28" ht="12.75">
      <c r="A1014" s="203"/>
      <c r="B1014" s="203"/>
      <c r="D1014" s="204"/>
      <c r="E1014" s="205"/>
      <c r="F1014" s="204"/>
      <c r="G1014" s="204"/>
      <c r="I1014" s="254"/>
      <c r="L1014" s="201"/>
      <c r="M1014" s="201"/>
      <c r="N1014" s="201"/>
      <c r="O1014" s="201"/>
      <c r="P1014" s="201"/>
      <c r="Q1014" s="201"/>
      <c r="R1014" s="201"/>
      <c r="S1014" s="201"/>
      <c r="T1014" s="201"/>
      <c r="U1014" s="201"/>
      <c r="V1014" s="201"/>
      <c r="W1014" s="201"/>
      <c r="X1014" s="201"/>
      <c r="Y1014" s="201"/>
      <c r="Z1014" s="201"/>
      <c r="AA1014" s="201"/>
      <c r="AB1014" s="201"/>
    </row>
    <row r="1015" spans="1:28" ht="12.75">
      <c r="A1015" s="203"/>
      <c r="B1015" s="203"/>
      <c r="D1015" s="204"/>
      <c r="E1015" s="205"/>
      <c r="F1015" s="204"/>
      <c r="G1015" s="204"/>
      <c r="I1015" s="254"/>
      <c r="L1015" s="201"/>
      <c r="M1015" s="201"/>
      <c r="N1015" s="201"/>
      <c r="O1015" s="201"/>
      <c r="P1015" s="201"/>
      <c r="Q1015" s="201"/>
      <c r="R1015" s="201"/>
      <c r="S1015" s="201"/>
      <c r="T1015" s="201"/>
      <c r="U1015" s="201"/>
      <c r="V1015" s="201"/>
      <c r="W1015" s="201"/>
      <c r="X1015" s="201"/>
      <c r="Y1015" s="201"/>
      <c r="Z1015" s="201"/>
      <c r="AA1015" s="201"/>
      <c r="AB1015" s="201"/>
    </row>
    <row r="1016" spans="1:28" ht="12.75">
      <c r="A1016" s="203"/>
      <c r="B1016" s="203"/>
      <c r="D1016" s="204"/>
      <c r="E1016" s="205"/>
      <c r="F1016" s="204"/>
      <c r="G1016" s="204"/>
      <c r="I1016" s="254"/>
      <c r="L1016" s="201"/>
      <c r="M1016" s="201"/>
      <c r="N1016" s="201"/>
      <c r="O1016" s="201"/>
      <c r="P1016" s="201"/>
      <c r="Q1016" s="201"/>
      <c r="R1016" s="201"/>
      <c r="S1016" s="201"/>
      <c r="T1016" s="201"/>
      <c r="U1016" s="201"/>
      <c r="V1016" s="201"/>
      <c r="W1016" s="201"/>
      <c r="X1016" s="201"/>
      <c r="Y1016" s="201"/>
      <c r="Z1016" s="201"/>
      <c r="AA1016" s="201"/>
      <c r="AB1016" s="201"/>
    </row>
    <row r="1017" spans="1:28" ht="12.75">
      <c r="A1017" s="203"/>
      <c r="B1017" s="203"/>
      <c r="D1017" s="204"/>
      <c r="E1017" s="205"/>
      <c r="F1017" s="204"/>
      <c r="G1017" s="204"/>
      <c r="I1017" s="254"/>
      <c r="L1017" s="201"/>
      <c r="M1017" s="201"/>
      <c r="N1017" s="201"/>
      <c r="O1017" s="201"/>
      <c r="P1017" s="201"/>
      <c r="Q1017" s="201"/>
      <c r="R1017" s="201"/>
      <c r="S1017" s="201"/>
      <c r="T1017" s="201"/>
      <c r="U1017" s="201"/>
      <c r="V1017" s="201"/>
      <c r="W1017" s="201"/>
      <c r="X1017" s="201"/>
      <c r="Y1017" s="201"/>
      <c r="Z1017" s="201"/>
      <c r="AA1017" s="201"/>
      <c r="AB1017" s="201"/>
    </row>
    <row r="1018" spans="1:28" ht="12.75">
      <c r="A1018" s="203"/>
      <c r="B1018" s="203"/>
      <c r="D1018" s="204"/>
      <c r="E1018" s="205"/>
      <c r="F1018" s="204"/>
      <c r="G1018" s="204"/>
      <c r="I1018" s="254"/>
      <c r="L1018" s="201"/>
      <c r="M1018" s="201"/>
      <c r="N1018" s="201"/>
      <c r="O1018" s="201"/>
      <c r="P1018" s="201"/>
      <c r="Q1018" s="201"/>
      <c r="R1018" s="201"/>
      <c r="S1018" s="201"/>
      <c r="T1018" s="201"/>
      <c r="U1018" s="201"/>
      <c r="V1018" s="201"/>
      <c r="W1018" s="201"/>
      <c r="X1018" s="201"/>
      <c r="Y1018" s="201"/>
      <c r="Z1018" s="201"/>
      <c r="AA1018" s="201"/>
      <c r="AB1018" s="201"/>
    </row>
    <row r="1019" spans="1:28" ht="12.75">
      <c r="A1019" s="203"/>
      <c r="B1019" s="203"/>
      <c r="D1019" s="204"/>
      <c r="E1019" s="205"/>
      <c r="F1019" s="204"/>
      <c r="G1019" s="204"/>
      <c r="I1019" s="254"/>
      <c r="L1019" s="201"/>
      <c r="M1019" s="201"/>
      <c r="N1019" s="201"/>
      <c r="O1019" s="201"/>
      <c r="P1019" s="201"/>
      <c r="Q1019" s="201"/>
      <c r="R1019" s="201"/>
      <c r="S1019" s="201"/>
      <c r="T1019" s="201"/>
      <c r="U1019" s="201"/>
      <c r="V1019" s="201"/>
      <c r="W1019" s="201"/>
      <c r="X1019" s="201"/>
      <c r="Y1019" s="201"/>
      <c r="Z1019" s="201"/>
      <c r="AA1019" s="201"/>
      <c r="AB1019" s="201"/>
    </row>
    <row r="1020" spans="1:28" ht="12.75">
      <c r="A1020" s="203"/>
      <c r="B1020" s="203"/>
      <c r="D1020" s="204"/>
      <c r="E1020" s="205"/>
      <c r="F1020" s="204"/>
      <c r="G1020" s="204"/>
      <c r="I1020" s="254"/>
      <c r="L1020" s="201"/>
      <c r="M1020" s="201"/>
      <c r="N1020" s="201"/>
      <c r="O1020" s="201"/>
      <c r="P1020" s="201"/>
      <c r="Q1020" s="201"/>
      <c r="R1020" s="201"/>
      <c r="S1020" s="201"/>
      <c r="T1020" s="201"/>
      <c r="U1020" s="201"/>
      <c r="V1020" s="201"/>
      <c r="W1020" s="201"/>
      <c r="X1020" s="201"/>
      <c r="Y1020" s="201"/>
      <c r="Z1020" s="201"/>
      <c r="AA1020" s="201"/>
      <c r="AB1020" s="201"/>
    </row>
    <row r="1021" spans="1:28" ht="12.75">
      <c r="A1021" s="203"/>
      <c r="B1021" s="203"/>
      <c r="D1021" s="204"/>
      <c r="E1021" s="205"/>
      <c r="F1021" s="204"/>
      <c r="G1021" s="204"/>
      <c r="I1021" s="254"/>
      <c r="L1021" s="201"/>
      <c r="M1021" s="201"/>
      <c r="N1021" s="201"/>
      <c r="O1021" s="201"/>
      <c r="P1021" s="201"/>
      <c r="Q1021" s="201"/>
      <c r="R1021" s="201"/>
      <c r="S1021" s="201"/>
      <c r="T1021" s="201"/>
      <c r="U1021" s="201"/>
      <c r="V1021" s="201"/>
      <c r="W1021" s="201"/>
      <c r="X1021" s="201"/>
      <c r="Y1021" s="201"/>
      <c r="Z1021" s="201"/>
      <c r="AA1021" s="201"/>
      <c r="AB1021" s="201"/>
    </row>
    <row r="1022" spans="1:28" ht="12.75">
      <c r="A1022" s="203"/>
      <c r="B1022" s="203"/>
      <c r="D1022" s="204"/>
      <c r="E1022" s="205"/>
      <c r="F1022" s="204"/>
      <c r="G1022" s="204"/>
      <c r="I1022" s="254"/>
      <c r="L1022" s="201"/>
      <c r="M1022" s="201"/>
      <c r="N1022" s="201"/>
      <c r="O1022" s="201"/>
      <c r="P1022" s="201"/>
      <c r="Q1022" s="201"/>
      <c r="R1022" s="201"/>
      <c r="S1022" s="201"/>
      <c r="T1022" s="201"/>
      <c r="U1022" s="201"/>
      <c r="V1022" s="201"/>
      <c r="W1022" s="201"/>
      <c r="X1022" s="201"/>
      <c r="Y1022" s="201"/>
      <c r="Z1022" s="201"/>
      <c r="AA1022" s="201"/>
      <c r="AB1022" s="201"/>
    </row>
    <row r="1023" spans="1:28" ht="12.75">
      <c r="A1023" s="203"/>
      <c r="B1023" s="203"/>
      <c r="D1023" s="204"/>
      <c r="E1023" s="205"/>
      <c r="F1023" s="204"/>
      <c r="G1023" s="204"/>
      <c r="I1023" s="254"/>
      <c r="L1023" s="201"/>
      <c r="M1023" s="201"/>
      <c r="N1023" s="201"/>
      <c r="O1023" s="201"/>
      <c r="P1023" s="201"/>
      <c r="Q1023" s="201"/>
      <c r="R1023" s="201"/>
      <c r="S1023" s="201"/>
      <c r="T1023" s="201"/>
      <c r="U1023" s="201"/>
      <c r="V1023" s="201"/>
      <c r="W1023" s="201"/>
      <c r="X1023" s="201"/>
      <c r="Y1023" s="201"/>
      <c r="Z1023" s="201"/>
      <c r="AA1023" s="201"/>
      <c r="AB1023" s="201"/>
    </row>
    <row r="1024" spans="1:28" ht="12.75">
      <c r="A1024" s="203"/>
      <c r="B1024" s="203"/>
      <c r="D1024" s="204"/>
      <c r="E1024" s="205"/>
      <c r="F1024" s="204"/>
      <c r="G1024" s="204"/>
      <c r="I1024" s="254"/>
      <c r="L1024" s="201"/>
      <c r="M1024" s="201"/>
      <c r="N1024" s="201"/>
      <c r="O1024" s="201"/>
      <c r="P1024" s="201"/>
      <c r="Q1024" s="201"/>
      <c r="R1024" s="201"/>
      <c r="S1024" s="201"/>
      <c r="T1024" s="201"/>
      <c r="U1024" s="201"/>
      <c r="V1024" s="201"/>
      <c r="W1024" s="201"/>
      <c r="X1024" s="201"/>
      <c r="Y1024" s="201"/>
      <c r="Z1024" s="201"/>
      <c r="AA1024" s="201"/>
      <c r="AB1024" s="201"/>
    </row>
    <row r="1025" spans="1:28" ht="12.75">
      <c r="A1025" s="203"/>
      <c r="B1025" s="203"/>
      <c r="D1025" s="204"/>
      <c r="E1025" s="205"/>
      <c r="F1025" s="204"/>
      <c r="G1025" s="204"/>
      <c r="I1025" s="254"/>
      <c r="L1025" s="201"/>
      <c r="M1025" s="201"/>
      <c r="N1025" s="201"/>
      <c r="O1025" s="201"/>
      <c r="P1025" s="201"/>
      <c r="Q1025" s="201"/>
      <c r="R1025" s="201"/>
      <c r="S1025" s="201"/>
      <c r="T1025" s="201"/>
      <c r="U1025" s="201"/>
      <c r="V1025" s="201"/>
      <c r="W1025" s="201"/>
      <c r="X1025" s="201"/>
      <c r="Y1025" s="201"/>
      <c r="Z1025" s="201"/>
      <c r="AA1025" s="201"/>
      <c r="AB1025" s="201"/>
    </row>
    <row r="1026" spans="1:28" ht="12.75">
      <c r="A1026" s="203"/>
      <c r="B1026" s="203"/>
      <c r="D1026" s="204"/>
      <c r="E1026" s="205"/>
      <c r="F1026" s="204"/>
      <c r="G1026" s="204"/>
      <c r="I1026" s="254"/>
      <c r="L1026" s="201"/>
      <c r="M1026" s="201"/>
      <c r="N1026" s="201"/>
      <c r="O1026" s="201"/>
      <c r="P1026" s="201"/>
      <c r="Q1026" s="201"/>
      <c r="R1026" s="201"/>
      <c r="S1026" s="201"/>
      <c r="T1026" s="201"/>
      <c r="U1026" s="201"/>
      <c r="V1026" s="201"/>
      <c r="W1026" s="201"/>
      <c r="X1026" s="201"/>
      <c r="Y1026" s="201"/>
      <c r="Z1026" s="201"/>
      <c r="AA1026" s="201"/>
      <c r="AB1026" s="201"/>
    </row>
    <row r="1027" spans="1:28" ht="12.75">
      <c r="A1027" s="203"/>
      <c r="B1027" s="203"/>
      <c r="D1027" s="204"/>
      <c r="E1027" s="205"/>
      <c r="F1027" s="204"/>
      <c r="G1027" s="204"/>
      <c r="I1027" s="254"/>
      <c r="L1027" s="201"/>
      <c r="M1027" s="201"/>
      <c r="N1027" s="201"/>
      <c r="O1027" s="201"/>
      <c r="P1027" s="201"/>
      <c r="Q1027" s="201"/>
      <c r="R1027" s="201"/>
      <c r="S1027" s="201"/>
      <c r="T1027" s="201"/>
      <c r="U1027" s="201"/>
      <c r="V1027" s="201"/>
      <c r="W1027" s="201"/>
      <c r="X1027" s="201"/>
      <c r="Y1027" s="201"/>
      <c r="Z1027" s="201"/>
      <c r="AA1027" s="201"/>
      <c r="AB1027" s="201"/>
    </row>
    <row r="1028" spans="1:28" ht="12.75">
      <c r="A1028" s="203"/>
      <c r="B1028" s="203"/>
      <c r="D1028" s="204"/>
      <c r="E1028" s="205"/>
      <c r="F1028" s="204"/>
      <c r="G1028" s="204"/>
      <c r="I1028" s="254"/>
      <c r="L1028" s="201"/>
      <c r="M1028" s="201"/>
      <c r="N1028" s="201"/>
      <c r="O1028" s="201"/>
      <c r="P1028" s="201"/>
      <c r="Q1028" s="201"/>
      <c r="R1028" s="201"/>
      <c r="S1028" s="201"/>
      <c r="T1028" s="201"/>
      <c r="U1028" s="201"/>
      <c r="V1028" s="201"/>
      <c r="W1028" s="201"/>
      <c r="X1028" s="201"/>
      <c r="Y1028" s="201"/>
      <c r="Z1028" s="201"/>
      <c r="AA1028" s="201"/>
      <c r="AB1028" s="201"/>
    </row>
    <row r="1029" spans="1:28" ht="12.75">
      <c r="A1029" s="203"/>
      <c r="B1029" s="203"/>
      <c r="D1029" s="204"/>
      <c r="E1029" s="205"/>
      <c r="F1029" s="204"/>
      <c r="G1029" s="208"/>
      <c r="I1029" s="254"/>
      <c r="L1029" s="201"/>
      <c r="M1029" s="201"/>
      <c r="N1029" s="201"/>
      <c r="O1029" s="201"/>
      <c r="P1029" s="201"/>
      <c r="Q1029" s="201"/>
      <c r="R1029" s="201"/>
      <c r="S1029" s="201"/>
      <c r="T1029" s="201"/>
      <c r="U1029" s="201"/>
      <c r="V1029" s="201"/>
      <c r="W1029" s="201"/>
      <c r="X1029" s="201"/>
      <c r="Y1029" s="201"/>
      <c r="Z1029" s="201"/>
      <c r="AA1029" s="201"/>
      <c r="AB1029" s="201"/>
    </row>
    <row r="1030" spans="1:28" ht="12.75">
      <c r="A1030" s="203"/>
      <c r="B1030" s="203"/>
      <c r="D1030" s="204"/>
      <c r="E1030" s="205"/>
      <c r="F1030" s="205"/>
      <c r="G1030" s="208"/>
      <c r="I1030" s="254"/>
      <c r="L1030" s="201"/>
      <c r="M1030" s="201"/>
      <c r="N1030" s="201"/>
      <c r="O1030" s="201"/>
      <c r="P1030" s="201"/>
      <c r="Q1030" s="201"/>
      <c r="R1030" s="201"/>
      <c r="S1030" s="201"/>
      <c r="T1030" s="201"/>
      <c r="U1030" s="201"/>
      <c r="V1030" s="201"/>
      <c r="W1030" s="201"/>
      <c r="X1030" s="201"/>
      <c r="Y1030" s="201"/>
      <c r="Z1030" s="201"/>
      <c r="AA1030" s="201"/>
      <c r="AB1030" s="201"/>
    </row>
    <row r="1031" spans="1:28" ht="12.75">
      <c r="A1031" s="203"/>
      <c r="B1031" s="203"/>
      <c r="D1031" s="204"/>
      <c r="E1031" s="205"/>
      <c r="F1031" s="204"/>
      <c r="G1031" s="208"/>
      <c r="I1031" s="254"/>
      <c r="L1031" s="201"/>
      <c r="M1031" s="201"/>
      <c r="N1031" s="201"/>
      <c r="O1031" s="201"/>
      <c r="P1031" s="201"/>
      <c r="Q1031" s="201"/>
      <c r="R1031" s="201"/>
      <c r="S1031" s="201"/>
      <c r="T1031" s="201"/>
      <c r="U1031" s="201"/>
      <c r="V1031" s="201"/>
      <c r="W1031" s="201"/>
      <c r="X1031" s="201"/>
      <c r="Y1031" s="201"/>
      <c r="Z1031" s="201"/>
      <c r="AA1031" s="201"/>
      <c r="AB1031" s="201"/>
    </row>
    <row r="1032" spans="1:28" ht="12.75">
      <c r="A1032" s="203"/>
      <c r="B1032" s="203"/>
      <c r="D1032" s="204"/>
      <c r="E1032" s="205"/>
      <c r="F1032" s="204"/>
      <c r="G1032" s="208"/>
      <c r="I1032" s="254"/>
      <c r="L1032" s="201"/>
      <c r="M1032" s="201"/>
      <c r="N1032" s="201"/>
      <c r="O1032" s="201"/>
      <c r="P1032" s="201"/>
      <c r="Q1032" s="201"/>
      <c r="R1032" s="201"/>
      <c r="S1032" s="201"/>
      <c r="T1032" s="201"/>
      <c r="U1032" s="201"/>
      <c r="V1032" s="201"/>
      <c r="W1032" s="201"/>
      <c r="X1032" s="201"/>
      <c r="Y1032" s="201"/>
      <c r="Z1032" s="201"/>
      <c r="AA1032" s="201"/>
      <c r="AB1032" s="201"/>
    </row>
    <row r="1033" spans="1:28" ht="12.75">
      <c r="A1033" s="203"/>
      <c r="B1033" s="203"/>
      <c r="D1033" s="208"/>
      <c r="E1033" s="205"/>
      <c r="F1033" s="208"/>
      <c r="G1033" s="208"/>
      <c r="I1033" s="254"/>
      <c r="L1033" s="201"/>
      <c r="M1033" s="201"/>
      <c r="N1033" s="201"/>
      <c r="O1033" s="201"/>
      <c r="P1033" s="201"/>
      <c r="Q1033" s="201"/>
      <c r="R1033" s="201"/>
      <c r="S1033" s="201"/>
      <c r="T1033" s="201"/>
      <c r="U1033" s="201"/>
      <c r="V1033" s="201"/>
      <c r="W1033" s="201"/>
      <c r="X1033" s="201"/>
      <c r="Y1033" s="201"/>
      <c r="Z1033" s="201"/>
      <c r="AA1033" s="201"/>
      <c r="AB1033" s="201"/>
    </row>
    <row r="1034" spans="1:28" ht="12.75">
      <c r="A1034" s="203"/>
      <c r="B1034" s="203"/>
      <c r="D1034" s="204"/>
      <c r="E1034" s="205"/>
      <c r="F1034" s="204"/>
      <c r="G1034" s="208"/>
      <c r="I1034" s="254"/>
      <c r="L1034" s="201"/>
      <c r="M1034" s="201"/>
      <c r="N1034" s="201"/>
      <c r="O1034" s="201"/>
      <c r="P1034" s="201"/>
      <c r="Q1034" s="201"/>
      <c r="R1034" s="201"/>
      <c r="S1034" s="201"/>
      <c r="T1034" s="201"/>
      <c r="U1034" s="201"/>
      <c r="V1034" s="201"/>
      <c r="W1034" s="201"/>
      <c r="X1034" s="201"/>
      <c r="Y1034" s="201"/>
      <c r="Z1034" s="201"/>
      <c r="AA1034" s="201"/>
      <c r="AB1034" s="201"/>
    </row>
    <row r="1035" spans="1:28" ht="12.75">
      <c r="A1035" s="203"/>
      <c r="B1035" s="203"/>
      <c r="D1035" s="204"/>
      <c r="E1035" s="205"/>
      <c r="F1035" s="204"/>
      <c r="G1035" s="204"/>
      <c r="I1035" s="254"/>
      <c r="L1035" s="201"/>
      <c r="M1035" s="201"/>
      <c r="N1035" s="201"/>
      <c r="O1035" s="201"/>
      <c r="P1035" s="201"/>
      <c r="Q1035" s="201"/>
      <c r="R1035" s="201"/>
      <c r="S1035" s="201"/>
      <c r="T1035" s="201"/>
      <c r="U1035" s="201"/>
      <c r="V1035" s="201"/>
      <c r="W1035" s="201"/>
      <c r="X1035" s="201"/>
      <c r="Y1035" s="201"/>
      <c r="Z1035" s="201"/>
      <c r="AA1035" s="201"/>
      <c r="AB1035" s="201"/>
    </row>
    <row r="1036" spans="1:28" ht="12.75">
      <c r="A1036" s="203"/>
      <c r="B1036" s="203"/>
      <c r="D1036" s="204"/>
      <c r="E1036" s="205"/>
      <c r="F1036" s="204"/>
      <c r="G1036" s="204"/>
      <c r="I1036" s="254"/>
      <c r="L1036" s="201"/>
      <c r="M1036" s="201"/>
      <c r="N1036" s="201"/>
      <c r="O1036" s="201"/>
      <c r="P1036" s="201"/>
      <c r="Q1036" s="201"/>
      <c r="R1036" s="201"/>
      <c r="S1036" s="201"/>
      <c r="T1036" s="201"/>
      <c r="U1036" s="201"/>
      <c r="V1036" s="201"/>
      <c r="W1036" s="201"/>
      <c r="X1036" s="201"/>
      <c r="Y1036" s="201"/>
      <c r="Z1036" s="201"/>
      <c r="AA1036" s="201"/>
      <c r="AB1036" s="201"/>
    </row>
    <row r="1037" spans="1:28" ht="12.75">
      <c r="A1037" s="203"/>
      <c r="B1037" s="203"/>
      <c r="D1037" s="204"/>
      <c r="E1037" s="205"/>
      <c r="F1037" s="204"/>
      <c r="G1037" s="204"/>
      <c r="I1037" s="254"/>
      <c r="L1037" s="201"/>
      <c r="M1037" s="201"/>
      <c r="N1037" s="201"/>
      <c r="O1037" s="201"/>
      <c r="P1037" s="201"/>
      <c r="Q1037" s="201"/>
      <c r="R1037" s="201"/>
      <c r="S1037" s="201"/>
      <c r="T1037" s="201"/>
      <c r="U1037" s="201"/>
      <c r="V1037" s="201"/>
      <c r="W1037" s="201"/>
      <c r="X1037" s="201"/>
      <c r="Y1037" s="201"/>
      <c r="Z1037" s="201"/>
      <c r="AA1037" s="201"/>
      <c r="AB1037" s="201"/>
    </row>
    <row r="1038" spans="1:28" ht="12.75">
      <c r="A1038" s="203"/>
      <c r="B1038" s="203"/>
      <c r="D1038" s="204"/>
      <c r="E1038" s="205"/>
      <c r="F1038" s="204"/>
      <c r="G1038" s="204"/>
      <c r="I1038" s="254"/>
      <c r="L1038" s="201"/>
      <c r="M1038" s="201"/>
      <c r="N1038" s="201"/>
      <c r="O1038" s="201"/>
      <c r="P1038" s="201"/>
      <c r="Q1038" s="201"/>
      <c r="R1038" s="201"/>
      <c r="S1038" s="201"/>
      <c r="T1038" s="201"/>
      <c r="U1038" s="201"/>
      <c r="V1038" s="201"/>
      <c r="W1038" s="201"/>
      <c r="X1038" s="201"/>
      <c r="Y1038" s="201"/>
      <c r="Z1038" s="201"/>
      <c r="AA1038" s="201"/>
      <c r="AB1038" s="201"/>
    </row>
    <row r="1039" spans="1:28" ht="12.75">
      <c r="A1039" s="203"/>
      <c r="B1039" s="203"/>
      <c r="D1039" s="204"/>
      <c r="E1039" s="205"/>
      <c r="F1039" s="204"/>
      <c r="G1039" s="204"/>
      <c r="I1039" s="254"/>
      <c r="L1039" s="201"/>
      <c r="M1039" s="201"/>
      <c r="N1039" s="201"/>
      <c r="O1039" s="201"/>
      <c r="P1039" s="201"/>
      <c r="Q1039" s="201"/>
      <c r="R1039" s="201"/>
      <c r="S1039" s="201"/>
      <c r="T1039" s="201"/>
      <c r="U1039" s="201"/>
      <c r="V1039" s="201"/>
      <c r="W1039" s="201"/>
      <c r="X1039" s="201"/>
      <c r="Y1039" s="201"/>
      <c r="Z1039" s="201"/>
      <c r="AA1039" s="201"/>
      <c r="AB1039" s="201"/>
    </row>
    <row r="1040" spans="1:28" ht="12.75">
      <c r="A1040" s="203"/>
      <c r="B1040" s="203"/>
      <c r="D1040" s="205"/>
      <c r="E1040" s="205"/>
      <c r="F1040" s="205"/>
      <c r="G1040" s="205"/>
      <c r="I1040" s="254"/>
      <c r="L1040" s="201"/>
      <c r="M1040" s="201"/>
      <c r="N1040" s="201"/>
      <c r="O1040" s="201"/>
      <c r="P1040" s="201"/>
      <c r="Q1040" s="201"/>
      <c r="R1040" s="201"/>
      <c r="S1040" s="201"/>
      <c r="T1040" s="201"/>
      <c r="U1040" s="201"/>
      <c r="V1040" s="201"/>
      <c r="W1040" s="201"/>
      <c r="X1040" s="201"/>
      <c r="Y1040" s="201"/>
      <c r="Z1040" s="201"/>
      <c r="AA1040" s="201"/>
      <c r="AB1040" s="201"/>
    </row>
    <row r="1041" spans="1:28" ht="12.75">
      <c r="A1041" s="203"/>
      <c r="B1041" s="203"/>
      <c r="D1041" s="205"/>
      <c r="E1041" s="205"/>
      <c r="F1041" s="205"/>
      <c r="G1041" s="205"/>
      <c r="I1041" s="254"/>
      <c r="L1041" s="201"/>
      <c r="M1041" s="201"/>
      <c r="N1041" s="201"/>
      <c r="O1041" s="201"/>
      <c r="P1041" s="201"/>
      <c r="Q1041" s="201"/>
      <c r="R1041" s="201"/>
      <c r="S1041" s="201"/>
      <c r="T1041" s="201"/>
      <c r="U1041" s="201"/>
      <c r="V1041" s="201"/>
      <c r="W1041" s="201"/>
      <c r="X1041" s="201"/>
      <c r="Y1041" s="201"/>
      <c r="Z1041" s="201"/>
      <c r="AA1041" s="201"/>
      <c r="AB1041" s="201"/>
    </row>
    <row r="1042" spans="1:28" ht="12.75">
      <c r="A1042" s="203"/>
      <c r="B1042" s="203"/>
      <c r="D1042" s="205"/>
      <c r="E1042" s="205"/>
      <c r="F1042" s="205"/>
      <c r="G1042" s="205"/>
      <c r="I1042" s="254"/>
      <c r="L1042" s="201"/>
      <c r="M1042" s="201"/>
      <c r="N1042" s="201"/>
      <c r="O1042" s="201"/>
      <c r="P1042" s="201"/>
      <c r="Q1042" s="201"/>
      <c r="R1042" s="201"/>
      <c r="S1042" s="201"/>
      <c r="T1042" s="201"/>
      <c r="U1042" s="201"/>
      <c r="V1042" s="201"/>
      <c r="W1042" s="201"/>
      <c r="X1042" s="201"/>
      <c r="Y1042" s="201"/>
      <c r="Z1042" s="201"/>
      <c r="AA1042" s="201"/>
      <c r="AB1042" s="201"/>
    </row>
    <row r="1043" spans="1:28" ht="12.75">
      <c r="A1043" s="203"/>
      <c r="B1043" s="203"/>
      <c r="D1043" s="205"/>
      <c r="E1043" s="205"/>
      <c r="F1043" s="205"/>
      <c r="G1043" s="205"/>
      <c r="I1043" s="254"/>
      <c r="L1043" s="201"/>
      <c r="M1043" s="201"/>
      <c r="N1043" s="201"/>
      <c r="O1043" s="201"/>
      <c r="P1043" s="201"/>
      <c r="Q1043" s="201"/>
      <c r="R1043" s="201"/>
      <c r="S1043" s="201"/>
      <c r="T1043" s="201"/>
      <c r="U1043" s="201"/>
      <c r="V1043" s="201"/>
      <c r="W1043" s="201"/>
      <c r="X1043" s="201"/>
      <c r="Y1043" s="201"/>
      <c r="Z1043" s="201"/>
      <c r="AA1043" s="201"/>
      <c r="AB1043" s="201"/>
    </row>
    <row r="1044" spans="1:28" ht="12.75">
      <c r="A1044" s="203"/>
      <c r="B1044" s="203"/>
      <c r="D1044" s="205"/>
      <c r="E1044" s="205"/>
      <c r="F1044" s="205"/>
      <c r="G1044" s="205"/>
      <c r="I1044" s="254"/>
      <c r="L1044" s="201"/>
      <c r="M1044" s="201"/>
      <c r="N1044" s="201"/>
      <c r="O1044" s="201"/>
      <c r="P1044" s="201"/>
      <c r="Q1044" s="201"/>
      <c r="R1044" s="201"/>
      <c r="S1044" s="201"/>
      <c r="T1044" s="201"/>
      <c r="U1044" s="201"/>
      <c r="V1044" s="201"/>
      <c r="W1044" s="201"/>
      <c r="X1044" s="201"/>
      <c r="Y1044" s="201"/>
      <c r="Z1044" s="201"/>
      <c r="AA1044" s="201"/>
      <c r="AB1044" s="201"/>
    </row>
    <row r="1045" spans="1:28" ht="12.75">
      <c r="A1045" s="203"/>
      <c r="B1045" s="203"/>
      <c r="D1045" s="205"/>
      <c r="E1045" s="205"/>
      <c r="F1045" s="205"/>
      <c r="G1045" s="205"/>
      <c r="I1045" s="254"/>
      <c r="L1045" s="201"/>
      <c r="M1045" s="201"/>
      <c r="N1045" s="201"/>
      <c r="O1045" s="201"/>
      <c r="P1045" s="201"/>
      <c r="Q1045" s="201"/>
      <c r="R1045" s="201"/>
      <c r="S1045" s="201"/>
      <c r="T1045" s="201"/>
      <c r="U1045" s="201"/>
      <c r="V1045" s="201"/>
      <c r="W1045" s="201"/>
      <c r="X1045" s="201"/>
      <c r="Y1045" s="201"/>
      <c r="Z1045" s="201"/>
      <c r="AA1045" s="201"/>
      <c r="AB1045" s="201"/>
    </row>
    <row r="1046" spans="1:28" ht="12.75">
      <c r="A1046" s="203"/>
      <c r="B1046" s="203"/>
      <c r="D1046" s="205"/>
      <c r="E1046" s="205"/>
      <c r="F1046" s="205"/>
      <c r="G1046" s="205"/>
      <c r="I1046" s="254"/>
      <c r="L1046" s="201"/>
      <c r="M1046" s="201"/>
      <c r="N1046" s="201"/>
      <c r="O1046" s="201"/>
      <c r="P1046" s="201"/>
      <c r="Q1046" s="201"/>
      <c r="R1046" s="201"/>
      <c r="S1046" s="201"/>
      <c r="T1046" s="201"/>
      <c r="U1046" s="201"/>
      <c r="V1046" s="201"/>
      <c r="W1046" s="201"/>
      <c r="X1046" s="201"/>
      <c r="Y1046" s="201"/>
      <c r="Z1046" s="201"/>
      <c r="AA1046" s="201"/>
      <c r="AB1046" s="201"/>
    </row>
    <row r="1047" spans="1:28" ht="12.75">
      <c r="A1047" s="203"/>
      <c r="B1047" s="203"/>
      <c r="D1047" s="205"/>
      <c r="E1047" s="205"/>
      <c r="F1047" s="205"/>
      <c r="G1047" s="205"/>
      <c r="I1047" s="254"/>
      <c r="L1047" s="201"/>
      <c r="M1047" s="201"/>
      <c r="N1047" s="201"/>
      <c r="O1047" s="201"/>
      <c r="P1047" s="201"/>
      <c r="Q1047" s="201"/>
      <c r="R1047" s="201"/>
      <c r="S1047" s="201"/>
      <c r="T1047" s="201"/>
      <c r="U1047" s="201"/>
      <c r="V1047" s="201"/>
      <c r="W1047" s="201"/>
      <c r="X1047" s="201"/>
      <c r="Y1047" s="201"/>
      <c r="Z1047" s="201"/>
      <c r="AA1047" s="201"/>
      <c r="AB1047" s="201"/>
    </row>
    <row r="1048" spans="1:28" ht="12.75">
      <c r="A1048" s="203"/>
      <c r="B1048" s="203"/>
      <c r="D1048" s="205"/>
      <c r="E1048" s="205"/>
      <c r="F1048" s="205"/>
      <c r="G1048" s="205"/>
      <c r="I1048" s="254"/>
      <c r="L1048" s="201"/>
      <c r="M1048" s="201"/>
      <c r="N1048" s="201"/>
      <c r="O1048" s="201"/>
      <c r="P1048" s="201"/>
      <c r="Q1048" s="201"/>
      <c r="R1048" s="201"/>
      <c r="S1048" s="201"/>
      <c r="T1048" s="201"/>
      <c r="U1048" s="201"/>
      <c r="V1048" s="201"/>
      <c r="W1048" s="201"/>
      <c r="X1048" s="201"/>
      <c r="Y1048" s="201"/>
      <c r="Z1048" s="201"/>
      <c r="AA1048" s="201"/>
      <c r="AB1048" s="201"/>
    </row>
    <row r="1049" spans="1:28" ht="12.75">
      <c r="A1049" s="203"/>
      <c r="B1049" s="203"/>
      <c r="D1049" s="205"/>
      <c r="E1049" s="205"/>
      <c r="F1049" s="205"/>
      <c r="G1049" s="205"/>
      <c r="I1049" s="254"/>
      <c r="L1049" s="201"/>
      <c r="M1049" s="201"/>
      <c r="N1049" s="201"/>
      <c r="O1049" s="201"/>
      <c r="P1049" s="201"/>
      <c r="Q1049" s="201"/>
      <c r="R1049" s="201"/>
      <c r="S1049" s="201"/>
      <c r="T1049" s="201"/>
      <c r="U1049" s="201"/>
      <c r="V1049" s="201"/>
      <c r="W1049" s="201"/>
      <c r="X1049" s="201"/>
      <c r="Y1049" s="201"/>
      <c r="Z1049" s="201"/>
      <c r="AA1049" s="201"/>
      <c r="AB1049" s="201"/>
    </row>
    <row r="1050" spans="1:28" ht="12.75">
      <c r="A1050" s="203"/>
      <c r="B1050" s="203"/>
      <c r="D1050" s="204"/>
      <c r="E1050" s="205"/>
      <c r="F1050" s="204"/>
      <c r="G1050" s="204"/>
      <c r="I1050" s="254"/>
      <c r="L1050" s="201"/>
      <c r="M1050" s="201"/>
      <c r="N1050" s="201"/>
      <c r="O1050" s="201"/>
      <c r="P1050" s="201"/>
      <c r="Q1050" s="201"/>
      <c r="R1050" s="201"/>
      <c r="S1050" s="201"/>
      <c r="T1050" s="201"/>
      <c r="U1050" s="201"/>
      <c r="V1050" s="201"/>
      <c r="W1050" s="201"/>
      <c r="X1050" s="201"/>
      <c r="Y1050" s="201"/>
      <c r="Z1050" s="201"/>
      <c r="AA1050" s="201"/>
      <c r="AB1050" s="201"/>
    </row>
    <row r="1051" spans="1:28" ht="12.75">
      <c r="A1051" s="203"/>
      <c r="B1051" s="203"/>
      <c r="D1051" s="204"/>
      <c r="E1051" s="205"/>
      <c r="F1051" s="204"/>
      <c r="G1051" s="204"/>
      <c r="I1051" s="254"/>
      <c r="L1051" s="201"/>
      <c r="M1051" s="201"/>
      <c r="N1051" s="201"/>
      <c r="O1051" s="201"/>
      <c r="P1051" s="201"/>
      <c r="Q1051" s="201"/>
      <c r="R1051" s="201"/>
      <c r="S1051" s="201"/>
      <c r="T1051" s="201"/>
      <c r="U1051" s="201"/>
      <c r="V1051" s="201"/>
      <c r="W1051" s="201"/>
      <c r="X1051" s="201"/>
      <c r="Y1051" s="201"/>
      <c r="Z1051" s="201"/>
      <c r="AA1051" s="201"/>
      <c r="AB1051" s="201"/>
    </row>
    <row r="1052" spans="1:28" ht="12.75">
      <c r="A1052" s="203"/>
      <c r="B1052" s="203"/>
      <c r="D1052" s="205"/>
      <c r="E1052" s="205"/>
      <c r="F1052" s="205"/>
      <c r="G1052" s="205"/>
      <c r="I1052" s="254"/>
      <c r="L1052" s="201"/>
      <c r="M1052" s="201"/>
      <c r="N1052" s="201"/>
      <c r="O1052" s="201"/>
      <c r="P1052" s="201"/>
      <c r="Q1052" s="201"/>
      <c r="R1052" s="201"/>
      <c r="S1052" s="201"/>
      <c r="T1052" s="201"/>
      <c r="U1052" s="201"/>
      <c r="V1052" s="201"/>
      <c r="W1052" s="201"/>
      <c r="X1052" s="201"/>
      <c r="Y1052" s="201"/>
      <c r="Z1052" s="201"/>
      <c r="AA1052" s="201"/>
      <c r="AB1052" s="201"/>
    </row>
    <row r="1053" spans="1:28" ht="12.75">
      <c r="A1053" s="203"/>
      <c r="B1053" s="203"/>
      <c r="D1053" s="205"/>
      <c r="E1053" s="205"/>
      <c r="F1053" s="205"/>
      <c r="G1053" s="205"/>
      <c r="I1053" s="254"/>
      <c r="L1053" s="201"/>
      <c r="M1053" s="201"/>
      <c r="N1053" s="201"/>
      <c r="O1053" s="201"/>
      <c r="P1053" s="201"/>
      <c r="Q1053" s="201"/>
      <c r="R1053" s="201"/>
      <c r="S1053" s="201"/>
      <c r="T1053" s="201"/>
      <c r="U1053" s="201"/>
      <c r="V1053" s="201"/>
      <c r="W1053" s="201"/>
      <c r="X1053" s="201"/>
      <c r="Y1053" s="201"/>
      <c r="Z1053" s="201"/>
      <c r="AA1053" s="201"/>
      <c r="AB1053" s="201"/>
    </row>
    <row r="1054" spans="1:28" ht="12.75">
      <c r="A1054" s="203"/>
      <c r="B1054" s="203"/>
      <c r="D1054" s="205"/>
      <c r="E1054" s="205"/>
      <c r="F1054" s="205"/>
      <c r="G1054" s="205"/>
      <c r="I1054" s="254"/>
      <c r="L1054" s="201"/>
      <c r="M1054" s="201"/>
      <c r="N1054" s="201"/>
      <c r="O1054" s="201"/>
      <c r="P1054" s="201"/>
      <c r="Q1054" s="201"/>
      <c r="R1054" s="201"/>
      <c r="S1054" s="201"/>
      <c r="T1054" s="201"/>
      <c r="U1054" s="201"/>
      <c r="V1054" s="201"/>
      <c r="W1054" s="201"/>
      <c r="X1054" s="201"/>
      <c r="Y1054" s="201"/>
      <c r="Z1054" s="201"/>
      <c r="AA1054" s="201"/>
      <c r="AB1054" s="201"/>
    </row>
    <row r="1055" spans="1:28" ht="12.75">
      <c r="A1055" s="203"/>
      <c r="B1055" s="203"/>
      <c r="D1055" s="205"/>
      <c r="E1055" s="205"/>
      <c r="F1055" s="205"/>
      <c r="G1055" s="205"/>
      <c r="I1055" s="254"/>
      <c r="L1055" s="201"/>
      <c r="M1055" s="201"/>
      <c r="N1055" s="201"/>
      <c r="O1055" s="201"/>
      <c r="P1055" s="201"/>
      <c r="Q1055" s="201"/>
      <c r="R1055" s="201"/>
      <c r="S1055" s="201"/>
      <c r="T1055" s="201"/>
      <c r="U1055" s="201"/>
      <c r="V1055" s="201"/>
      <c r="W1055" s="201"/>
      <c r="X1055" s="201"/>
      <c r="Y1055" s="201"/>
      <c r="Z1055" s="201"/>
      <c r="AA1055" s="201"/>
      <c r="AB1055" s="201"/>
    </row>
    <row r="1056" spans="1:28" ht="12.75">
      <c r="A1056" s="203"/>
      <c r="B1056" s="203"/>
      <c r="D1056" s="201"/>
      <c r="E1056" s="205"/>
      <c r="F1056" s="201"/>
      <c r="G1056" s="210"/>
      <c r="I1056" s="254"/>
      <c r="L1056" s="201"/>
      <c r="M1056" s="201"/>
      <c r="N1056" s="201"/>
      <c r="O1056" s="201"/>
      <c r="P1056" s="201"/>
      <c r="Q1056" s="201"/>
      <c r="R1056" s="201"/>
      <c r="S1056" s="201"/>
      <c r="T1056" s="201"/>
      <c r="U1056" s="201"/>
      <c r="V1056" s="201"/>
      <c r="W1056" s="201"/>
      <c r="X1056" s="201"/>
      <c r="Y1056" s="201"/>
      <c r="Z1056" s="201"/>
      <c r="AA1056" s="201"/>
      <c r="AB1056" s="201"/>
    </row>
    <row r="1057" spans="1:28" ht="12.75">
      <c r="A1057" s="203"/>
      <c r="B1057" s="203"/>
      <c r="D1057" s="201"/>
      <c r="E1057" s="205"/>
      <c r="F1057" s="201"/>
      <c r="G1057" s="210"/>
      <c r="I1057" s="254"/>
      <c r="L1057" s="201"/>
      <c r="M1057" s="201"/>
      <c r="N1057" s="201"/>
      <c r="O1057" s="201"/>
      <c r="P1057" s="201"/>
      <c r="Q1057" s="201"/>
      <c r="R1057" s="201"/>
      <c r="S1057" s="201"/>
      <c r="T1057" s="201"/>
      <c r="U1057" s="201"/>
      <c r="V1057" s="201"/>
      <c r="W1057" s="201"/>
      <c r="X1057" s="201"/>
      <c r="Y1057" s="201"/>
      <c r="Z1057" s="201"/>
      <c r="AA1057" s="201"/>
      <c r="AB1057" s="201"/>
    </row>
    <row r="1058" spans="1:28" ht="12.75">
      <c r="A1058" s="203"/>
      <c r="B1058" s="203"/>
      <c r="D1058" s="201"/>
      <c r="E1058" s="205"/>
      <c r="F1058" s="201"/>
      <c r="G1058" s="210"/>
      <c r="I1058" s="254"/>
      <c r="L1058" s="201"/>
      <c r="M1058" s="201"/>
      <c r="N1058" s="201"/>
      <c r="O1058" s="201"/>
      <c r="P1058" s="201"/>
      <c r="Q1058" s="201"/>
      <c r="R1058" s="201"/>
      <c r="S1058" s="201"/>
      <c r="T1058" s="201"/>
      <c r="U1058" s="201"/>
      <c r="V1058" s="201"/>
      <c r="W1058" s="201"/>
      <c r="X1058" s="201"/>
      <c r="Y1058" s="201"/>
      <c r="Z1058" s="201"/>
      <c r="AA1058" s="201"/>
      <c r="AB1058" s="201"/>
    </row>
    <row r="1059" spans="1:28" ht="12.75">
      <c r="A1059" s="203"/>
      <c r="B1059" s="203"/>
      <c r="D1059" s="201"/>
      <c r="E1059" s="205"/>
      <c r="F1059" s="201"/>
      <c r="G1059" s="210"/>
      <c r="I1059" s="254"/>
      <c r="L1059" s="201"/>
      <c r="M1059" s="201"/>
      <c r="N1059" s="201"/>
      <c r="O1059" s="201"/>
      <c r="P1059" s="201"/>
      <c r="Q1059" s="201"/>
      <c r="R1059" s="201"/>
      <c r="S1059" s="201"/>
      <c r="T1059" s="201"/>
      <c r="U1059" s="201"/>
      <c r="V1059" s="201"/>
      <c r="W1059" s="201"/>
      <c r="X1059" s="201"/>
      <c r="Y1059" s="201"/>
      <c r="Z1059" s="201"/>
      <c r="AA1059" s="201"/>
      <c r="AB1059" s="201"/>
    </row>
    <row r="1060" spans="1:28" ht="12.75">
      <c r="A1060" s="203"/>
      <c r="B1060" s="203"/>
      <c r="D1060" s="201"/>
      <c r="E1060" s="205"/>
      <c r="F1060" s="201"/>
      <c r="G1060" s="210"/>
      <c r="I1060" s="254"/>
      <c r="L1060" s="201"/>
      <c r="M1060" s="201"/>
      <c r="N1060" s="201"/>
      <c r="O1060" s="201"/>
      <c r="P1060" s="201"/>
      <c r="Q1060" s="201"/>
      <c r="R1060" s="201"/>
      <c r="S1060" s="201"/>
      <c r="T1060" s="201"/>
      <c r="U1060" s="201"/>
      <c r="V1060" s="201"/>
      <c r="W1060" s="201"/>
      <c r="X1060" s="201"/>
      <c r="Y1060" s="201"/>
      <c r="Z1060" s="201"/>
      <c r="AA1060" s="201"/>
      <c r="AB1060" s="201"/>
    </row>
    <row r="1061" spans="1:28" ht="12.75">
      <c r="A1061" s="203"/>
      <c r="B1061" s="203"/>
      <c r="D1061" s="201"/>
      <c r="E1061" s="205"/>
      <c r="F1061" s="201"/>
      <c r="G1061" s="210"/>
      <c r="I1061" s="254"/>
      <c r="L1061" s="201"/>
      <c r="M1061" s="201"/>
      <c r="N1061" s="201"/>
      <c r="O1061" s="201"/>
      <c r="P1061" s="201"/>
      <c r="Q1061" s="201"/>
      <c r="R1061" s="201"/>
      <c r="S1061" s="201"/>
      <c r="T1061" s="201"/>
      <c r="U1061" s="201"/>
      <c r="V1061" s="201"/>
      <c r="W1061" s="201"/>
      <c r="X1061" s="201"/>
      <c r="Y1061" s="201"/>
      <c r="Z1061" s="201"/>
      <c r="AA1061" s="201"/>
      <c r="AB1061" s="201"/>
    </row>
    <row r="1062" spans="1:28" ht="12.75">
      <c r="A1062" s="203"/>
      <c r="B1062" s="203"/>
      <c r="D1062" s="201"/>
      <c r="E1062" s="205"/>
      <c r="F1062" s="201"/>
      <c r="G1062" s="210"/>
      <c r="I1062" s="254"/>
      <c r="L1062" s="201"/>
      <c r="M1062" s="201"/>
      <c r="N1062" s="201"/>
      <c r="O1062" s="201"/>
      <c r="P1062" s="201"/>
      <c r="Q1062" s="201"/>
      <c r="R1062" s="201"/>
      <c r="S1062" s="201"/>
      <c r="T1062" s="201"/>
      <c r="U1062" s="201"/>
      <c r="V1062" s="201"/>
      <c r="W1062" s="201"/>
      <c r="X1062" s="201"/>
      <c r="Y1062" s="201"/>
      <c r="Z1062" s="201"/>
      <c r="AA1062" s="201"/>
      <c r="AB1062" s="201"/>
    </row>
    <row r="1063" spans="1:28" ht="12.75">
      <c r="A1063" s="203"/>
      <c r="B1063" s="203"/>
      <c r="D1063" s="201"/>
      <c r="E1063" s="205"/>
      <c r="F1063" s="201"/>
      <c r="G1063" s="210"/>
      <c r="I1063" s="254"/>
      <c r="L1063" s="201"/>
      <c r="M1063" s="201"/>
      <c r="N1063" s="201"/>
      <c r="O1063" s="201"/>
      <c r="P1063" s="201"/>
      <c r="Q1063" s="201"/>
      <c r="R1063" s="201"/>
      <c r="S1063" s="201"/>
      <c r="T1063" s="201"/>
      <c r="U1063" s="201"/>
      <c r="V1063" s="201"/>
      <c r="W1063" s="201"/>
      <c r="X1063" s="201"/>
      <c r="Y1063" s="201"/>
      <c r="Z1063" s="201"/>
      <c r="AA1063" s="201"/>
      <c r="AB1063" s="201"/>
    </row>
    <row r="1064" spans="1:28" ht="12.75">
      <c r="A1064" s="203"/>
      <c r="B1064" s="203"/>
      <c r="D1064" s="201"/>
      <c r="E1064" s="205"/>
      <c r="F1064" s="201"/>
      <c r="G1064" s="210"/>
      <c r="I1064" s="254"/>
      <c r="L1064" s="201"/>
      <c r="M1064" s="201"/>
      <c r="N1064" s="201"/>
      <c r="O1064" s="201"/>
      <c r="P1064" s="201"/>
      <c r="Q1064" s="201"/>
      <c r="R1064" s="201"/>
      <c r="S1064" s="201"/>
      <c r="T1064" s="201"/>
      <c r="U1064" s="201"/>
      <c r="V1064" s="201"/>
      <c r="W1064" s="201"/>
      <c r="X1064" s="201"/>
      <c r="Y1064" s="201"/>
      <c r="Z1064" s="201"/>
      <c r="AA1064" s="201"/>
      <c r="AB1064" s="201"/>
    </row>
    <row r="1065" spans="1:28" ht="12.75">
      <c r="A1065" s="203"/>
      <c r="B1065" s="203"/>
      <c r="D1065" s="201"/>
      <c r="E1065" s="205"/>
      <c r="F1065" s="201"/>
      <c r="G1065" s="210"/>
      <c r="I1065" s="254"/>
      <c r="L1065" s="201"/>
      <c r="M1065" s="201"/>
      <c r="N1065" s="201"/>
      <c r="O1065" s="201"/>
      <c r="P1065" s="201"/>
      <c r="Q1065" s="201"/>
      <c r="R1065" s="201"/>
      <c r="S1065" s="201"/>
      <c r="T1065" s="201"/>
      <c r="U1065" s="201"/>
      <c r="V1065" s="201"/>
      <c r="W1065" s="201"/>
      <c r="X1065" s="201"/>
      <c r="Y1065" s="201"/>
      <c r="Z1065" s="201"/>
      <c r="AA1065" s="201"/>
      <c r="AB1065" s="201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113"/>
  <sheetViews>
    <sheetView workbookViewId="0"/>
  </sheetViews>
  <sheetFormatPr defaultColWidth="12.5703125" defaultRowHeight="15" customHeight="1"/>
  <cols>
    <col min="1" max="1" width="24.140625" customWidth="1"/>
  </cols>
  <sheetData>
    <row r="2" spans="1:1">
      <c r="A2" s="211" t="str">
        <f ca="1">IFERROR(__xludf.UNSUPPORTED(IMPORTRANGE('[1]PLANILHA PESQ 2024'!$H$1:$H$112)),"Classificação do Pesquisador Principal NA PLATAFORMA  BRASIL(FHEMIG)")</f>
        <v>Classificação do Pesquisador Principal NA PLATAFORMA  BRASIL(FHEMIG)</v>
      </c>
    </row>
    <row r="3" spans="1:1">
      <c r="A3" s="211" t="str">
        <f ca="1">IFERROR(__xludf.UNSUPPORTED("""COMPUTED_VALUE"""),"SERVIDOR")</f>
        <v>SERVIDOR</v>
      </c>
    </row>
    <row r="4" spans="1:1">
      <c r="A4" s="211" t="str">
        <f ca="1">IFERROR(__xludf.UNSUPPORTED("""COMPUTED_VALUE"""),"SERVIDOR")</f>
        <v>SERVIDOR</v>
      </c>
    </row>
    <row r="5" spans="1:1">
      <c r="A5" s="211" t="str">
        <f ca="1">IFERROR(__xludf.UNSUPPORTED("""COMPUTED_VALUE"""),"PESQ EXTERNO")</f>
        <v>PESQ EXTERNO</v>
      </c>
    </row>
    <row r="6" spans="1:1">
      <c r="A6" s="211" t="str">
        <f ca="1">IFERROR(__xludf.UNSUPPORTED("""COMPUTED_VALUE"""),"PESQ EXTERNO")</f>
        <v>PESQ EXTERNO</v>
      </c>
    </row>
    <row r="7" spans="1:1">
      <c r="A7" s="211" t="str">
        <f ca="1">IFERROR(__xludf.UNSUPPORTED("""COMPUTED_VALUE"""),"SERVIDOR")</f>
        <v>SERVIDOR</v>
      </c>
    </row>
    <row r="8" spans="1:1">
      <c r="A8" s="211" t="str">
        <f ca="1">IFERROR(__xludf.UNSUPPORTED("""COMPUTED_VALUE"""),"SERVIDOR")</f>
        <v>SERVIDOR</v>
      </c>
    </row>
    <row r="9" spans="1:1">
      <c r="A9" s="211" t="str">
        <f ca="1">IFERROR(__xludf.UNSUPPORTED("""COMPUTED_VALUE"""),"PESQ EXTERNO")</f>
        <v>PESQ EXTERNO</v>
      </c>
    </row>
    <row r="10" spans="1:1">
      <c r="A10" s="211" t="str">
        <f ca="1">IFERROR(__xludf.UNSUPPORTED("""COMPUTED_VALUE"""),"SERVIDOR")</f>
        <v>SERVIDOR</v>
      </c>
    </row>
    <row r="11" spans="1:1">
      <c r="A11" s="211" t="str">
        <f ca="1">IFERROR(__xludf.UNSUPPORTED("""COMPUTED_VALUE"""),"SERVIDOR")</f>
        <v>SERVIDOR</v>
      </c>
    </row>
    <row r="12" spans="1:1">
      <c r="A12" s="211" t="str">
        <f ca="1">IFERROR(__xludf.UNSUPPORTED("""COMPUTED_VALUE"""),"SERVIDOR")</f>
        <v>SERVIDOR</v>
      </c>
    </row>
    <row r="13" spans="1:1">
      <c r="A13" s="211" t="str">
        <f ca="1">IFERROR(__xludf.UNSUPPORTED("""COMPUTED_VALUE"""),"RESIDENTE MULTI")</f>
        <v>RESIDENTE MULTI</v>
      </c>
    </row>
    <row r="14" spans="1:1">
      <c r="A14" s="211" t="str">
        <f ca="1">IFERROR(__xludf.UNSUPPORTED("""COMPUTED_VALUE"""),"RESIDENTE MÉDIC")</f>
        <v>RESIDENTE MÉDIC</v>
      </c>
    </row>
    <row r="15" spans="1:1">
      <c r="A15" s="211" t="str">
        <f ca="1">IFERROR(__xludf.UNSUPPORTED("""COMPUTED_VALUE"""),"SERVIDOR")</f>
        <v>SERVIDOR</v>
      </c>
    </row>
    <row r="16" spans="1:1">
      <c r="A16" s="211" t="str">
        <f ca="1">IFERROR(__xludf.UNSUPPORTED("""COMPUTED_VALUE"""),"SERVIDOR")</f>
        <v>SERVIDOR</v>
      </c>
    </row>
    <row r="17" spans="1:1">
      <c r="A17" s="211" t="str">
        <f ca="1">IFERROR(__xludf.UNSUPPORTED("""COMPUTED_VALUE"""),"SERVIDOR")</f>
        <v>SERVIDOR</v>
      </c>
    </row>
    <row r="18" spans="1:1">
      <c r="A18" s="211" t="str">
        <f ca="1">IFERROR(__xludf.UNSUPPORTED("""COMPUTED_VALUE"""),"SERVIDOR")</f>
        <v>SERVIDOR</v>
      </c>
    </row>
    <row r="19" spans="1:1">
      <c r="A19" s="211" t="str">
        <f ca="1">IFERROR(__xludf.UNSUPPORTED("""COMPUTED_VALUE"""),"SERVIDOR")</f>
        <v>SERVIDOR</v>
      </c>
    </row>
    <row r="20" spans="1:1">
      <c r="A20" s="211" t="str">
        <f ca="1">IFERROR(__xludf.UNSUPPORTED("""COMPUTED_VALUE"""),"SERVIDOR")</f>
        <v>SERVIDOR</v>
      </c>
    </row>
    <row r="21" spans="1:1">
      <c r="A21" s="211" t="str">
        <f ca="1">IFERROR(__xludf.UNSUPPORTED("""COMPUTED_VALUE"""),"SERVIDOR")</f>
        <v>SERVIDOR</v>
      </c>
    </row>
    <row r="22" spans="1:1">
      <c r="A22" s="211" t="str">
        <f ca="1">IFERROR(__xludf.UNSUPPORTED("""COMPUTED_VALUE"""),"SERVIDOR")</f>
        <v>SERVIDOR</v>
      </c>
    </row>
    <row r="23" spans="1:1">
      <c r="A23" s="211" t="str">
        <f ca="1">IFERROR(__xludf.UNSUPPORTED("""COMPUTED_VALUE"""),"SERVIDOR")</f>
        <v>SERVIDOR</v>
      </c>
    </row>
    <row r="24" spans="1:1">
      <c r="A24" s="211" t="str">
        <f ca="1">IFERROR(__xludf.UNSUPPORTED("""COMPUTED_VALUE"""),"RESIDENTE MULTI")</f>
        <v>RESIDENTE MULTI</v>
      </c>
    </row>
    <row r="25" spans="1:1">
      <c r="A25" s="211" t="str">
        <f ca="1">IFERROR(__xludf.UNSUPPORTED("""COMPUTED_VALUE"""),"RESIDENTE MÉDIC")</f>
        <v>RESIDENTE MÉDIC</v>
      </c>
    </row>
    <row r="26" spans="1:1">
      <c r="A26" s="211" t="str">
        <f ca="1">IFERROR(__xludf.UNSUPPORTED("""COMPUTED_VALUE"""),"RESIDENTE MULTI")</f>
        <v>RESIDENTE MULTI</v>
      </c>
    </row>
    <row r="27" spans="1:1">
      <c r="A27" s="211" t="str">
        <f ca="1">IFERROR(__xludf.UNSUPPORTED("""COMPUTED_VALUE"""),"RESIDENTE MULTI")</f>
        <v>RESIDENTE MULTI</v>
      </c>
    </row>
    <row r="28" spans="1:1">
      <c r="A28" s="211" t="str">
        <f ca="1">IFERROR(__xludf.UNSUPPORTED("""COMPUTED_VALUE"""),"RESIDENTE MULTI")</f>
        <v>RESIDENTE MULTI</v>
      </c>
    </row>
    <row r="29" spans="1:1">
      <c r="A29" s="211" t="str">
        <f ca="1">IFERROR(__xludf.UNSUPPORTED("""COMPUTED_VALUE"""),"RESIDENTE MULTI")</f>
        <v>RESIDENTE MULTI</v>
      </c>
    </row>
    <row r="30" spans="1:1">
      <c r="A30" s="211" t="str">
        <f ca="1">IFERROR(__xludf.UNSUPPORTED("""COMPUTED_VALUE"""),"SERVIDOR")</f>
        <v>SERVIDOR</v>
      </c>
    </row>
    <row r="31" spans="1:1">
      <c r="A31" s="211" t="str">
        <f ca="1">IFERROR(__xludf.UNSUPPORTED("""COMPUTED_VALUE"""),"SERVIDOR")</f>
        <v>SERVIDOR</v>
      </c>
    </row>
    <row r="32" spans="1:1">
      <c r="A32" s="211" t="str">
        <f ca="1">IFERROR(__xludf.UNSUPPORTED("""COMPUTED_VALUE"""),"RESIDENTE MULTI")</f>
        <v>RESIDENTE MULTI</v>
      </c>
    </row>
    <row r="33" spans="1:1">
      <c r="A33" s="211" t="str">
        <f ca="1">IFERROR(__xludf.UNSUPPORTED("""COMPUTED_VALUE"""),"RESIDENTE MULTI")</f>
        <v>RESIDENTE MULTI</v>
      </c>
    </row>
    <row r="34" spans="1:1">
      <c r="A34" s="211" t="str">
        <f ca="1">IFERROR(__xludf.UNSUPPORTED("""COMPUTED_VALUE"""),"RESIDENTE MULTI")</f>
        <v>RESIDENTE MULTI</v>
      </c>
    </row>
    <row r="35" spans="1:1">
      <c r="A35" s="211" t="str">
        <f ca="1">IFERROR(__xludf.UNSUPPORTED("""COMPUTED_VALUE"""),"RESIDENTE MULTI")</f>
        <v>RESIDENTE MULTI</v>
      </c>
    </row>
    <row r="36" spans="1:1">
      <c r="A36" s="211" t="str">
        <f ca="1">IFERROR(__xludf.UNSUPPORTED("""COMPUTED_VALUE"""),"RESIDENTE MULTI")</f>
        <v>RESIDENTE MULTI</v>
      </c>
    </row>
    <row r="37" spans="1:1">
      <c r="A37" s="211" t="str">
        <f ca="1">IFERROR(__xludf.UNSUPPORTED("""COMPUTED_VALUE"""),"SERVIDOR")</f>
        <v>SERVIDOR</v>
      </c>
    </row>
    <row r="38" spans="1:1">
      <c r="A38" s="211" t="str">
        <f ca="1">IFERROR(__xludf.UNSUPPORTED("""COMPUTED_VALUE"""),"RESIDENTE MULTI")</f>
        <v>RESIDENTE MULTI</v>
      </c>
    </row>
    <row r="39" spans="1:1">
      <c r="A39" s="211" t="str">
        <f ca="1">IFERROR(__xludf.UNSUPPORTED("""COMPUTED_VALUE"""),"RESIDENTE MULTI")</f>
        <v>RESIDENTE MULTI</v>
      </c>
    </row>
    <row r="40" spans="1:1">
      <c r="A40" s="211" t="str">
        <f ca="1">IFERROR(__xludf.UNSUPPORTED("""COMPUTED_VALUE"""),"RESIDENTE MULTI")</f>
        <v>RESIDENTE MULTI</v>
      </c>
    </row>
    <row r="41" spans="1:1">
      <c r="A41" s="211" t="str">
        <f ca="1">IFERROR(__xludf.UNSUPPORTED("""COMPUTED_VALUE"""),"RESIDENTE MULTI")</f>
        <v>RESIDENTE MULTI</v>
      </c>
    </row>
    <row r="42" spans="1:1">
      <c r="A42" s="211" t="str">
        <f ca="1">IFERROR(__xludf.UNSUPPORTED("""COMPUTED_VALUE"""),"RESIDENTE MULTI")</f>
        <v>RESIDENTE MULTI</v>
      </c>
    </row>
    <row r="43" spans="1:1">
      <c r="A43" s="211" t="str">
        <f ca="1">IFERROR(__xludf.UNSUPPORTED("""COMPUTED_VALUE"""),"RESIDENTE MULTI")</f>
        <v>RESIDENTE MULTI</v>
      </c>
    </row>
    <row r="44" spans="1:1">
      <c r="A44" s="211" t="str">
        <f ca="1">IFERROR(__xludf.UNSUPPORTED("""COMPUTED_VALUE"""),"SERVIDOR")</f>
        <v>SERVIDOR</v>
      </c>
    </row>
    <row r="45" spans="1:1">
      <c r="A45" s="211" t="str">
        <f ca="1">IFERROR(__xludf.UNSUPPORTED("""COMPUTED_VALUE"""),"RESIDENTE MULTI")</f>
        <v>RESIDENTE MULTI</v>
      </c>
    </row>
    <row r="46" spans="1:1">
      <c r="A46" s="211" t="str">
        <f ca="1">IFERROR(__xludf.UNSUPPORTED("""COMPUTED_VALUE"""),"RESIDENTE MULTI")</f>
        <v>RESIDENTE MULTI</v>
      </c>
    </row>
    <row r="47" spans="1:1">
      <c r="A47" s="211" t="str">
        <f ca="1">IFERROR(__xludf.UNSUPPORTED("""COMPUTED_VALUE"""),"SERVIDOR")</f>
        <v>SERVIDOR</v>
      </c>
    </row>
    <row r="48" spans="1:1">
      <c r="A48" s="211" t="str">
        <f ca="1">IFERROR(__xludf.UNSUPPORTED("""COMPUTED_VALUE"""),"SERVIDOR")</f>
        <v>SERVIDOR</v>
      </c>
    </row>
    <row r="49" spans="1:1">
      <c r="A49" s="211" t="str">
        <f ca="1">IFERROR(__xludf.UNSUPPORTED("""COMPUTED_VALUE"""),"PESQ EXTERNO")</f>
        <v>PESQ EXTERNO</v>
      </c>
    </row>
    <row r="50" spans="1:1">
      <c r="A50" s="211" t="str">
        <f ca="1">IFERROR(__xludf.UNSUPPORTED("""COMPUTED_VALUE"""),"SERVIDOR")</f>
        <v>SERVIDOR</v>
      </c>
    </row>
    <row r="51" spans="1:1">
      <c r="A51" s="211" t="str">
        <f ca="1">IFERROR(__xludf.UNSUPPORTED("""COMPUTED_VALUE"""),"SERVIDOR")</f>
        <v>SERVIDOR</v>
      </c>
    </row>
    <row r="52" spans="1:1">
      <c r="A52" s="211" t="str">
        <f ca="1">IFERROR(__xludf.UNSUPPORTED("""COMPUTED_VALUE"""),"RESIDENTE MULTI")</f>
        <v>RESIDENTE MULTI</v>
      </c>
    </row>
    <row r="53" spans="1:1">
      <c r="A53" s="211" t="str">
        <f ca="1">IFERROR(__xludf.UNSUPPORTED("""COMPUTED_VALUE"""),"SERVIDOR")</f>
        <v>SERVIDOR</v>
      </c>
    </row>
    <row r="54" spans="1:1">
      <c r="A54" s="211" t="str">
        <f ca="1">IFERROR(__xludf.UNSUPPORTED("""COMPUTED_VALUE"""),"RESIDENTE MÉDIC")</f>
        <v>RESIDENTE MÉDIC</v>
      </c>
    </row>
    <row r="55" spans="1:1">
      <c r="A55" s="211" t="str">
        <f ca="1">IFERROR(__xludf.UNSUPPORTED("""COMPUTED_VALUE"""),"SERVIDOR")</f>
        <v>SERVIDOR</v>
      </c>
    </row>
    <row r="56" spans="1:1">
      <c r="A56" s="211" t="str">
        <f ca="1">IFERROR(__xludf.UNSUPPORTED("""COMPUTED_VALUE"""),"RESIDENTE MÉDIC")</f>
        <v>RESIDENTE MÉDIC</v>
      </c>
    </row>
    <row r="57" spans="1:1">
      <c r="A57" s="211" t="str">
        <f ca="1">IFERROR(__xludf.UNSUPPORTED("""COMPUTED_VALUE"""),"RESIDENTE BUCO")</f>
        <v>RESIDENTE BUCO</v>
      </c>
    </row>
    <row r="58" spans="1:1">
      <c r="A58" s="211" t="str">
        <f ca="1">IFERROR(__xludf.UNSUPPORTED("""COMPUTED_VALUE"""),"RESIDENTE MULTI")</f>
        <v>RESIDENTE MULTI</v>
      </c>
    </row>
    <row r="59" spans="1:1">
      <c r="A59" s="211" t="str">
        <f ca="1">IFERROR(__xludf.UNSUPPORTED("""COMPUTED_VALUE"""),"SERVIDOR")</f>
        <v>SERVIDOR</v>
      </c>
    </row>
    <row r="60" spans="1:1">
      <c r="A60" s="211" t="str">
        <f ca="1">IFERROR(__xludf.UNSUPPORTED("""COMPUTED_VALUE"""),"PESQ EXTERNO")</f>
        <v>PESQ EXTERNO</v>
      </c>
    </row>
    <row r="61" spans="1:1">
      <c r="A61" s="211" t="str">
        <f ca="1">IFERROR(__xludf.UNSUPPORTED("""COMPUTED_VALUE"""),"RESIDENTE MÉDIC")</f>
        <v>RESIDENTE MÉDIC</v>
      </c>
    </row>
    <row r="62" spans="1:1">
      <c r="A62" s="211" t="str">
        <f ca="1">IFERROR(__xludf.UNSUPPORTED("""COMPUTED_VALUE"""),"RESIDENTE MULTI")</f>
        <v>RESIDENTE MULTI</v>
      </c>
    </row>
    <row r="63" spans="1:1">
      <c r="A63" s="211" t="str">
        <f ca="1">IFERROR(__xludf.UNSUPPORTED("""COMPUTED_VALUE"""),"RESIDENTE BUCO")</f>
        <v>RESIDENTE BUCO</v>
      </c>
    </row>
    <row r="64" spans="1:1">
      <c r="A64" s="211" t="str">
        <f ca="1">IFERROR(__xludf.UNSUPPORTED("""COMPUTED_VALUE"""),"RESIDENTE MÉDIC")</f>
        <v>RESIDENTE MÉDIC</v>
      </c>
    </row>
    <row r="65" spans="1:1">
      <c r="A65" s="211" t="str">
        <f ca="1">IFERROR(__xludf.UNSUPPORTED("""COMPUTED_VALUE"""),"RESIDENTE MÉDIC")</f>
        <v>RESIDENTE MÉDIC</v>
      </c>
    </row>
    <row r="66" spans="1:1">
      <c r="A66" s="211" t="str">
        <f ca="1">IFERROR(__xludf.UNSUPPORTED("""COMPUTED_VALUE"""),"PESQ EXTERNO")</f>
        <v>PESQ EXTERNO</v>
      </c>
    </row>
    <row r="67" spans="1:1">
      <c r="A67" s="211" t="str">
        <f ca="1">IFERROR(__xludf.UNSUPPORTED("""COMPUTED_VALUE"""),"RESIDENTE MÉDIC")</f>
        <v>RESIDENTE MÉDIC</v>
      </c>
    </row>
    <row r="68" spans="1:1">
      <c r="A68" s="211" t="str">
        <f ca="1">IFERROR(__xludf.UNSUPPORTED("""COMPUTED_VALUE"""),"SERVIDOR")</f>
        <v>SERVIDOR</v>
      </c>
    </row>
    <row r="69" spans="1:1">
      <c r="A69" s="211" t="str">
        <f ca="1">IFERROR(__xludf.UNSUPPORTED("""COMPUTED_VALUE"""),"RESIDENTE MULTI")</f>
        <v>RESIDENTE MULTI</v>
      </c>
    </row>
    <row r="70" spans="1:1">
      <c r="A70" s="211" t="str">
        <f ca="1">IFERROR(__xludf.UNSUPPORTED("""COMPUTED_VALUE"""),"RESIDENTE MULTI")</f>
        <v>RESIDENTE MULTI</v>
      </c>
    </row>
    <row r="71" spans="1:1">
      <c r="A71" s="211" t="str">
        <f ca="1">IFERROR(__xludf.UNSUPPORTED("""COMPUTED_VALUE"""),"SERVIDOR")</f>
        <v>SERVIDOR</v>
      </c>
    </row>
    <row r="72" spans="1:1">
      <c r="A72" s="211" t="str">
        <f ca="1">IFERROR(__xludf.UNSUPPORTED("""COMPUTED_VALUE"""),"SERVIDOR")</f>
        <v>SERVIDOR</v>
      </c>
    </row>
    <row r="73" spans="1:1">
      <c r="A73" s="211" t="str">
        <f ca="1">IFERROR(__xludf.UNSUPPORTED("""COMPUTED_VALUE"""),"SERVIDOR")</f>
        <v>SERVIDOR</v>
      </c>
    </row>
    <row r="74" spans="1:1">
      <c r="A74" s="211" t="str">
        <f ca="1">IFERROR(__xludf.UNSUPPORTED("""COMPUTED_VALUE"""),"RESIDENTE BUCO")</f>
        <v>RESIDENTE BUCO</v>
      </c>
    </row>
    <row r="75" spans="1:1">
      <c r="A75" s="211" t="str">
        <f ca="1">IFERROR(__xludf.UNSUPPORTED("""COMPUTED_VALUE"""),"RESIDENTE MÉDIC")</f>
        <v>RESIDENTE MÉDIC</v>
      </c>
    </row>
    <row r="76" spans="1:1">
      <c r="A76" s="211" t="str">
        <f ca="1">IFERROR(__xludf.UNSUPPORTED("""COMPUTED_VALUE"""),"PESQ EXTERNO")</f>
        <v>PESQ EXTERNO</v>
      </c>
    </row>
    <row r="77" spans="1:1">
      <c r="A77" s="211" t="str">
        <f ca="1">IFERROR(__xludf.UNSUPPORTED("""COMPUTED_VALUE"""),"RESIDENTE MULTI")</f>
        <v>RESIDENTE MULTI</v>
      </c>
    </row>
    <row r="78" spans="1:1">
      <c r="A78" s="211" t="str">
        <f ca="1">IFERROR(__xludf.UNSUPPORTED("""COMPUTED_VALUE"""),"SERVIDOR")</f>
        <v>SERVIDOR</v>
      </c>
    </row>
    <row r="79" spans="1:1">
      <c r="A79" s="211" t="str">
        <f ca="1">IFERROR(__xludf.UNSUPPORTED("""COMPUTED_VALUE"""),"RESIDENTE MÉDIC")</f>
        <v>RESIDENTE MÉDIC</v>
      </c>
    </row>
    <row r="80" spans="1:1">
      <c r="A80" s="211" t="str">
        <f ca="1">IFERROR(__xludf.UNSUPPORTED("""COMPUTED_VALUE"""),"RESIDENTE MÉDIC")</f>
        <v>RESIDENTE MÉDIC</v>
      </c>
    </row>
    <row r="81" spans="1:1">
      <c r="A81" s="211" t="str">
        <f ca="1">IFERROR(__xludf.UNSUPPORTED("""COMPUTED_VALUE"""),"RESIDENTE MÉDIC")</f>
        <v>RESIDENTE MÉDIC</v>
      </c>
    </row>
    <row r="82" spans="1:1">
      <c r="A82" s="211" t="str">
        <f ca="1">IFERROR(__xludf.UNSUPPORTED("""COMPUTED_VALUE"""),"SERVIDOR")</f>
        <v>SERVIDOR</v>
      </c>
    </row>
    <row r="83" spans="1:1">
      <c r="A83" s="211" t="str">
        <f ca="1">IFERROR(__xludf.UNSUPPORTED("""COMPUTED_VALUE"""),"SERVIDOR")</f>
        <v>SERVIDOR</v>
      </c>
    </row>
    <row r="84" spans="1:1">
      <c r="A84" s="211" t="str">
        <f ca="1">IFERROR(__xludf.UNSUPPORTED("""COMPUTED_VALUE"""),"SERVIDOR")</f>
        <v>SERVIDOR</v>
      </c>
    </row>
    <row r="85" spans="1:1">
      <c r="A85" s="211" t="str">
        <f ca="1">IFERROR(__xludf.UNSUPPORTED("""COMPUTED_VALUE"""),"RESIDENTE MÉDIC")</f>
        <v>RESIDENTE MÉDIC</v>
      </c>
    </row>
    <row r="86" spans="1:1">
      <c r="A86" s="211" t="str">
        <f ca="1">IFERROR(__xludf.UNSUPPORTED("""COMPUTED_VALUE"""),"RESIDENTE MULTI")</f>
        <v>RESIDENTE MULTI</v>
      </c>
    </row>
    <row r="87" spans="1:1">
      <c r="A87" s="211" t="str">
        <f ca="1">IFERROR(__xludf.UNSUPPORTED("""COMPUTED_VALUE"""),"SERVIDOR")</f>
        <v>SERVIDOR</v>
      </c>
    </row>
    <row r="88" spans="1:1">
      <c r="A88" s="211" t="str">
        <f ca="1">IFERROR(__xludf.UNSUPPORTED("""COMPUTED_VALUE"""),"SERVIDOR")</f>
        <v>SERVIDOR</v>
      </c>
    </row>
    <row r="89" spans="1:1">
      <c r="A89" s="211" t="str">
        <f ca="1">IFERROR(__xludf.UNSUPPORTED("""COMPUTED_VALUE"""),"PESQ EXTERNO")</f>
        <v>PESQ EXTERNO</v>
      </c>
    </row>
    <row r="90" spans="1:1">
      <c r="A90" s="211" t="str">
        <f ca="1">IFERROR(__xludf.UNSUPPORTED("""COMPUTED_VALUE"""),"SERVIDOR")</f>
        <v>SERVIDOR</v>
      </c>
    </row>
    <row r="91" spans="1:1">
      <c r="A91" s="211" t="str">
        <f ca="1">IFERROR(__xludf.UNSUPPORTED("""COMPUTED_VALUE"""),"SERVIDOR")</f>
        <v>SERVIDOR</v>
      </c>
    </row>
    <row r="92" spans="1:1">
      <c r="A92" s="211" t="str">
        <f ca="1">IFERROR(__xludf.UNSUPPORTED("""COMPUTED_VALUE"""),"PESQ EXTERNO")</f>
        <v>PESQ EXTERNO</v>
      </c>
    </row>
    <row r="93" spans="1:1">
      <c r="A93" s="211" t="str">
        <f ca="1">IFERROR(__xludf.UNSUPPORTED("""COMPUTED_VALUE"""),"SERVIDOR")</f>
        <v>SERVIDOR</v>
      </c>
    </row>
    <row r="94" spans="1:1">
      <c r="A94" s="211" t="str">
        <f ca="1">IFERROR(__xludf.UNSUPPORTED("""COMPUTED_VALUE"""),"SERVIDOR")</f>
        <v>SERVIDOR</v>
      </c>
    </row>
    <row r="95" spans="1:1">
      <c r="A95" s="211" t="str">
        <f ca="1">IFERROR(__xludf.UNSUPPORTED("""COMPUTED_VALUE"""),"RESIDENTE BUCO")</f>
        <v>RESIDENTE BUCO</v>
      </c>
    </row>
    <row r="96" spans="1:1">
      <c r="A96" s="211" t="str">
        <f ca="1">IFERROR(__xludf.UNSUPPORTED("""COMPUTED_VALUE"""),"PESQ EXTERNO")</f>
        <v>PESQ EXTERNO</v>
      </c>
    </row>
    <row r="97" spans="1:1">
      <c r="A97" s="211" t="str">
        <f ca="1">IFERROR(__xludf.UNSUPPORTED("""COMPUTED_VALUE"""),"SERVIDOR")</f>
        <v>SERVIDOR</v>
      </c>
    </row>
    <row r="98" spans="1:1">
      <c r="A98" s="211" t="str">
        <f ca="1">IFERROR(__xludf.UNSUPPORTED("""COMPUTED_VALUE"""),"PESQ EXTERNO")</f>
        <v>PESQ EXTERNO</v>
      </c>
    </row>
    <row r="99" spans="1:1">
      <c r="A99" s="211" t="str">
        <f ca="1">IFERROR(__xludf.UNSUPPORTED("""COMPUTED_VALUE"""),"SERVIDOR")</f>
        <v>SERVIDOR</v>
      </c>
    </row>
    <row r="100" spans="1:1">
      <c r="A100" s="211" t="str">
        <f ca="1">IFERROR(__xludf.UNSUPPORTED("""COMPUTED_VALUE"""),"RESIDENTE MÉDIC")</f>
        <v>RESIDENTE MÉDIC</v>
      </c>
    </row>
    <row r="101" spans="1:1">
      <c r="A101" s="211" t="str">
        <f ca="1">IFERROR(__xludf.UNSUPPORTED("""COMPUTED_VALUE"""),"RESIDENTE MÉDIC")</f>
        <v>RESIDENTE MÉDIC</v>
      </c>
    </row>
    <row r="102" spans="1:1">
      <c r="A102" s="211" t="str">
        <f ca="1">IFERROR(__xludf.UNSUPPORTED("""COMPUTED_VALUE"""),"PESQ EXTERNO")</f>
        <v>PESQ EXTERNO</v>
      </c>
    </row>
    <row r="103" spans="1:1">
      <c r="A103" s="211" t="str">
        <f ca="1">IFERROR(__xludf.UNSUPPORTED("""COMPUTED_VALUE"""),"SERVIDOR")</f>
        <v>SERVIDOR</v>
      </c>
    </row>
    <row r="104" spans="1:1">
      <c r="A104" s="211" t="str">
        <f ca="1">IFERROR(__xludf.UNSUPPORTED("""COMPUTED_VALUE"""),"SERVIDOR")</f>
        <v>SERVIDOR</v>
      </c>
    </row>
    <row r="105" spans="1:1">
      <c r="A105" s="211" t="str">
        <f ca="1">IFERROR(__xludf.UNSUPPORTED("""COMPUTED_VALUE"""),"SERVIDOR")</f>
        <v>SERVIDOR</v>
      </c>
    </row>
    <row r="106" spans="1:1">
      <c r="A106" s="211" t="str">
        <f ca="1">IFERROR(__xludf.UNSUPPORTED("""COMPUTED_VALUE"""),"SERVIDOR")</f>
        <v>SERVIDOR</v>
      </c>
    </row>
    <row r="107" spans="1:1">
      <c r="A107" s="211" t="str">
        <f ca="1">IFERROR(__xludf.UNSUPPORTED("""COMPUTED_VALUE"""),"SERVIDOR")</f>
        <v>SERVIDOR</v>
      </c>
    </row>
    <row r="108" spans="1:1">
      <c r="A108" s="211" t="str">
        <f ca="1">IFERROR(__xludf.UNSUPPORTED("""COMPUTED_VALUE"""),"SERVIDOR")</f>
        <v>SERVIDOR</v>
      </c>
    </row>
    <row r="109" spans="1:1">
      <c r="A109" s="211" t="str">
        <f ca="1">IFERROR(__xludf.UNSUPPORTED("""COMPUTED_VALUE"""),"SERVIDOR")</f>
        <v>SERVIDOR</v>
      </c>
    </row>
    <row r="110" spans="1:1">
      <c r="A110" s="211" t="str">
        <f ca="1">IFERROR(__xludf.UNSUPPORTED("""COMPUTED_VALUE"""),"SERVIDOR")</f>
        <v>SERVIDOR</v>
      </c>
    </row>
    <row r="111" spans="1:1">
      <c r="A111" s="211" t="str">
        <f ca="1">IFERROR(__xludf.UNSUPPORTED("""COMPUTED_VALUE"""),"RESIDENTE MÉDIC")</f>
        <v>RESIDENTE MÉDIC</v>
      </c>
    </row>
    <row r="112" spans="1:1">
      <c r="A112" s="211" t="str">
        <f ca="1">IFERROR(__xludf.UNSUPPORTED("""COMPUTED_VALUE"""),"SERVIDOR")</f>
        <v>SERVIDOR</v>
      </c>
    </row>
    <row r="113" spans="1:1">
      <c r="A113" s="21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/>
  </sheetViews>
  <sheetFormatPr defaultColWidth="12.5703125" defaultRowHeight="15" customHeight="1"/>
  <cols>
    <col min="1" max="1" width="17.7109375" customWidth="1"/>
    <col min="2" max="2" width="17.85546875" customWidth="1"/>
    <col min="5" max="5" width="22.85546875" customWidth="1"/>
  </cols>
  <sheetData>
    <row r="1" spans="1:26">
      <c r="A1" s="211"/>
      <c r="E1" s="256"/>
    </row>
    <row r="2" spans="1:26">
      <c r="E2" s="256"/>
    </row>
    <row r="3" spans="1:26">
      <c r="A3" s="212" t="s">
        <v>637</v>
      </c>
      <c r="B3" s="212"/>
      <c r="C3" s="212"/>
      <c r="D3" s="212"/>
      <c r="E3" s="257"/>
      <c r="F3" s="212"/>
      <c r="G3" s="212"/>
      <c r="H3" s="212"/>
      <c r="I3" s="212"/>
      <c r="J3" s="212"/>
      <c r="K3" s="212"/>
      <c r="L3" s="212"/>
    </row>
    <row r="4" spans="1:26">
      <c r="A4" s="213" t="s">
        <v>638</v>
      </c>
      <c r="B4" s="213" t="s">
        <v>639</v>
      </c>
      <c r="C4" s="213" t="s">
        <v>640</v>
      </c>
      <c r="D4" s="213" t="s">
        <v>641</v>
      </c>
      <c r="E4" s="258" t="s">
        <v>642</v>
      </c>
      <c r="F4" s="213"/>
      <c r="G4" s="213"/>
      <c r="H4" s="213"/>
      <c r="I4" s="213"/>
      <c r="J4" s="213"/>
      <c r="K4" s="213"/>
      <c r="L4" s="213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</row>
    <row r="5" spans="1:26">
      <c r="A5" s="259" t="s">
        <v>643</v>
      </c>
      <c r="B5" s="215" t="s">
        <v>644</v>
      </c>
      <c r="C5" s="215" t="s">
        <v>645</v>
      </c>
      <c r="D5" s="216" t="s">
        <v>646</v>
      </c>
      <c r="E5" s="260" t="s">
        <v>647</v>
      </c>
      <c r="F5" s="217"/>
      <c r="G5" s="217"/>
      <c r="H5" s="217"/>
      <c r="I5" s="217"/>
      <c r="J5" s="217"/>
      <c r="K5" s="217"/>
      <c r="L5" s="217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pans="1:26">
      <c r="A6" s="212" t="s">
        <v>34</v>
      </c>
      <c r="B6" s="212" t="s">
        <v>35</v>
      </c>
      <c r="C6" s="212" t="s">
        <v>648</v>
      </c>
      <c r="D6" s="212" t="s">
        <v>98</v>
      </c>
      <c r="E6" s="219" t="s">
        <v>649</v>
      </c>
      <c r="F6" s="212"/>
      <c r="G6" s="212"/>
      <c r="H6" s="212"/>
      <c r="I6" s="212"/>
      <c r="J6" s="212"/>
      <c r="K6" s="212"/>
      <c r="L6" s="212"/>
    </row>
    <row r="7" spans="1:26">
      <c r="A7" s="212" t="s">
        <v>112</v>
      </c>
      <c r="B7" s="212" t="s">
        <v>77</v>
      </c>
      <c r="C7" s="212" t="s">
        <v>53</v>
      </c>
      <c r="D7" s="212" t="s">
        <v>113</v>
      </c>
      <c r="E7" s="219" t="s">
        <v>650</v>
      </c>
      <c r="F7" s="212"/>
      <c r="G7" s="212"/>
      <c r="H7" s="212"/>
      <c r="I7" s="212"/>
      <c r="J7" s="212"/>
      <c r="K7" s="212"/>
      <c r="L7" s="212"/>
    </row>
    <row r="8" spans="1:26">
      <c r="A8" s="212" t="s">
        <v>651</v>
      </c>
      <c r="B8" s="220" t="s">
        <v>652</v>
      </c>
      <c r="C8" s="212" t="s">
        <v>152</v>
      </c>
      <c r="D8" s="212" t="s">
        <v>653</v>
      </c>
      <c r="E8" s="257" t="s">
        <v>654</v>
      </c>
      <c r="F8" s="212"/>
      <c r="G8" s="212"/>
      <c r="H8" s="212"/>
      <c r="I8" s="212"/>
      <c r="J8" s="212"/>
      <c r="K8" s="212"/>
      <c r="L8" s="212"/>
    </row>
    <row r="9" spans="1:26">
      <c r="A9" s="212" t="s">
        <v>350</v>
      </c>
      <c r="B9" s="212" t="s">
        <v>305</v>
      </c>
      <c r="C9" s="212"/>
      <c r="D9" s="212" t="s">
        <v>67</v>
      </c>
      <c r="E9" s="257" t="s">
        <v>655</v>
      </c>
      <c r="F9" s="212"/>
      <c r="G9" s="212"/>
      <c r="H9" s="212"/>
      <c r="I9" s="212"/>
      <c r="J9" s="212"/>
      <c r="K9" s="212"/>
      <c r="L9" s="212"/>
    </row>
    <row r="10" spans="1:26">
      <c r="A10" s="212"/>
      <c r="B10" s="212" t="s">
        <v>52</v>
      </c>
      <c r="C10" s="212"/>
      <c r="D10" s="212" t="s">
        <v>656</v>
      </c>
      <c r="E10" s="219" t="s">
        <v>657</v>
      </c>
      <c r="F10" s="212"/>
      <c r="G10" s="212"/>
      <c r="H10" s="212"/>
      <c r="I10" s="212"/>
      <c r="J10" s="212"/>
      <c r="K10" s="212"/>
      <c r="L10" s="212"/>
    </row>
    <row r="11" spans="1:26">
      <c r="A11" s="212"/>
      <c r="B11" s="212" t="s">
        <v>130</v>
      </c>
      <c r="C11" s="212"/>
      <c r="D11" s="212"/>
      <c r="E11" s="219" t="s">
        <v>658</v>
      </c>
      <c r="F11" s="212"/>
      <c r="G11" s="212"/>
      <c r="H11" s="212"/>
      <c r="I11" s="212"/>
      <c r="J11" s="212"/>
      <c r="K11" s="212"/>
      <c r="L11" s="212"/>
    </row>
    <row r="12" spans="1:26">
      <c r="A12" s="212"/>
      <c r="B12" s="211" t="s">
        <v>598</v>
      </c>
      <c r="C12" s="212"/>
      <c r="D12" s="212"/>
      <c r="E12" s="219" t="s">
        <v>659</v>
      </c>
      <c r="F12" s="212"/>
      <c r="G12" s="212"/>
      <c r="H12" s="212"/>
      <c r="I12" s="212"/>
      <c r="J12" s="212"/>
      <c r="K12" s="212"/>
      <c r="L12" s="212"/>
    </row>
    <row r="13" spans="1:26">
      <c r="E13" s="221" t="s">
        <v>660</v>
      </c>
    </row>
    <row r="14" spans="1:26">
      <c r="E14" s="219" t="s">
        <v>661</v>
      </c>
    </row>
    <row r="15" spans="1:26">
      <c r="B15" s="222" t="s">
        <v>662</v>
      </c>
      <c r="E15" s="257" t="s">
        <v>663</v>
      </c>
    </row>
    <row r="16" spans="1:26">
      <c r="E16" s="211" t="s">
        <v>664</v>
      </c>
    </row>
    <row r="17" spans="5:5">
      <c r="E17" s="257" t="s">
        <v>665</v>
      </c>
    </row>
    <row r="18" spans="5:5">
      <c r="E18" s="257" t="s">
        <v>666</v>
      </c>
    </row>
    <row r="19" spans="5:5">
      <c r="E19" s="256"/>
    </row>
    <row r="20" spans="5:5">
      <c r="E20" s="223" t="s">
        <v>667</v>
      </c>
    </row>
    <row r="21" spans="5:5">
      <c r="E21" s="223" t="s">
        <v>668</v>
      </c>
    </row>
    <row r="22" spans="5:5">
      <c r="E22" s="223" t="s">
        <v>669</v>
      </c>
    </row>
    <row r="23" spans="5:5">
      <c r="E23" s="223" t="s">
        <v>670</v>
      </c>
    </row>
    <row r="24" spans="5:5">
      <c r="E24" s="223" t="s">
        <v>671</v>
      </c>
    </row>
    <row r="25" spans="5:5">
      <c r="E25" s="256"/>
    </row>
    <row r="26" spans="5:5">
      <c r="E26" s="256"/>
    </row>
    <row r="27" spans="5:5">
      <c r="E27" s="256"/>
    </row>
    <row r="28" spans="5:5">
      <c r="E28" s="256"/>
    </row>
    <row r="29" spans="5:5">
      <c r="E29" s="256"/>
    </row>
    <row r="30" spans="5:5">
      <c r="E30" s="256"/>
    </row>
    <row r="31" spans="5:5">
      <c r="E31" s="256"/>
    </row>
    <row r="32" spans="5:5">
      <c r="E32" s="256"/>
    </row>
    <row r="33" spans="5:5">
      <c r="E33" s="256"/>
    </row>
    <row r="34" spans="5:5">
      <c r="E34" s="256"/>
    </row>
    <row r="35" spans="5:5">
      <c r="E35" s="256"/>
    </row>
    <row r="36" spans="5:5">
      <c r="E36" s="256"/>
    </row>
    <row r="37" spans="5:5">
      <c r="E37" s="256"/>
    </row>
    <row r="38" spans="5:5">
      <c r="E38" s="256"/>
    </row>
    <row r="39" spans="5:5">
      <c r="E39" s="256"/>
    </row>
    <row r="40" spans="5:5">
      <c r="E40" s="256"/>
    </row>
    <row r="41" spans="5:5">
      <c r="E41" s="256"/>
    </row>
    <row r="42" spans="5:5">
      <c r="E42" s="256"/>
    </row>
    <row r="43" spans="5:5">
      <c r="E43" s="256"/>
    </row>
    <row r="44" spans="5:5">
      <c r="E44" s="256"/>
    </row>
    <row r="45" spans="5:5">
      <c r="E45" s="256"/>
    </row>
    <row r="46" spans="5:5">
      <c r="E46" s="256"/>
    </row>
    <row r="47" spans="5:5">
      <c r="E47" s="256"/>
    </row>
    <row r="48" spans="5:5">
      <c r="E48" s="256"/>
    </row>
    <row r="49" spans="5:5">
      <c r="E49" s="256"/>
    </row>
    <row r="50" spans="5:5">
      <c r="E50" s="256"/>
    </row>
    <row r="51" spans="5:5">
      <c r="E51" s="256"/>
    </row>
    <row r="52" spans="5:5">
      <c r="E52" s="256"/>
    </row>
    <row r="53" spans="5:5">
      <c r="E53" s="256"/>
    </row>
    <row r="54" spans="5:5">
      <c r="E54" s="256"/>
    </row>
    <row r="55" spans="5:5">
      <c r="E55" s="256"/>
    </row>
    <row r="56" spans="5:5">
      <c r="E56" s="256"/>
    </row>
    <row r="57" spans="5:5">
      <c r="E57" s="256"/>
    </row>
    <row r="58" spans="5:5">
      <c r="E58" s="256"/>
    </row>
    <row r="59" spans="5:5">
      <c r="E59" s="256"/>
    </row>
    <row r="60" spans="5:5">
      <c r="E60" s="256"/>
    </row>
    <row r="61" spans="5:5">
      <c r="E61" s="256"/>
    </row>
    <row r="62" spans="5:5">
      <c r="E62" s="256"/>
    </row>
    <row r="63" spans="5:5">
      <c r="E63" s="256"/>
    </row>
    <row r="64" spans="5:5">
      <c r="E64" s="256"/>
    </row>
    <row r="65" spans="5:5">
      <c r="E65" s="256"/>
    </row>
    <row r="66" spans="5:5">
      <c r="E66" s="256"/>
    </row>
    <row r="67" spans="5:5">
      <c r="E67" s="256"/>
    </row>
    <row r="68" spans="5:5">
      <c r="E68" s="256"/>
    </row>
    <row r="69" spans="5:5">
      <c r="E69" s="256"/>
    </row>
    <row r="70" spans="5:5">
      <c r="E70" s="256"/>
    </row>
    <row r="71" spans="5:5">
      <c r="E71" s="256"/>
    </row>
    <row r="72" spans="5:5">
      <c r="E72" s="256"/>
    </row>
    <row r="73" spans="5:5">
      <c r="E73" s="256"/>
    </row>
    <row r="74" spans="5:5">
      <c r="E74" s="256"/>
    </row>
    <row r="75" spans="5:5">
      <c r="E75" s="256"/>
    </row>
    <row r="76" spans="5:5">
      <c r="E76" s="256"/>
    </row>
    <row r="77" spans="5:5">
      <c r="E77" s="256"/>
    </row>
    <row r="78" spans="5:5">
      <c r="E78" s="256"/>
    </row>
    <row r="79" spans="5:5">
      <c r="E79" s="256"/>
    </row>
    <row r="80" spans="5:5">
      <c r="E80" s="256"/>
    </row>
    <row r="81" spans="5:5">
      <c r="E81" s="256"/>
    </row>
    <row r="82" spans="5:5">
      <c r="E82" s="256"/>
    </row>
    <row r="83" spans="5:5">
      <c r="E83" s="256"/>
    </row>
    <row r="84" spans="5:5">
      <c r="E84" s="256"/>
    </row>
    <row r="85" spans="5:5">
      <c r="E85" s="256"/>
    </row>
    <row r="86" spans="5:5">
      <c r="E86" s="256"/>
    </row>
    <row r="87" spans="5:5">
      <c r="E87" s="256"/>
    </row>
    <row r="88" spans="5:5">
      <c r="E88" s="256"/>
    </row>
    <row r="89" spans="5:5">
      <c r="E89" s="256"/>
    </row>
    <row r="90" spans="5:5">
      <c r="E90" s="256"/>
    </row>
    <row r="91" spans="5:5">
      <c r="E91" s="256"/>
    </row>
    <row r="92" spans="5:5">
      <c r="E92" s="256"/>
    </row>
    <row r="93" spans="5:5">
      <c r="E93" s="256"/>
    </row>
    <row r="94" spans="5:5">
      <c r="E94" s="256"/>
    </row>
    <row r="95" spans="5:5">
      <c r="E95" s="256"/>
    </row>
    <row r="96" spans="5:5">
      <c r="E96" s="256"/>
    </row>
    <row r="97" spans="5:5">
      <c r="E97" s="256"/>
    </row>
    <row r="98" spans="5:5">
      <c r="E98" s="256"/>
    </row>
    <row r="99" spans="5:5">
      <c r="E99" s="256"/>
    </row>
    <row r="100" spans="5:5">
      <c r="E100" s="256"/>
    </row>
    <row r="101" spans="5:5">
      <c r="E101" s="256"/>
    </row>
    <row r="102" spans="5:5">
      <c r="E102" s="256"/>
    </row>
    <row r="103" spans="5:5">
      <c r="E103" s="256"/>
    </row>
    <row r="104" spans="5:5">
      <c r="E104" s="256"/>
    </row>
    <row r="105" spans="5:5">
      <c r="E105" s="256"/>
    </row>
    <row r="106" spans="5:5">
      <c r="E106" s="256"/>
    </row>
    <row r="107" spans="5:5">
      <c r="E107" s="256"/>
    </row>
    <row r="108" spans="5:5">
      <c r="E108" s="256"/>
    </row>
    <row r="109" spans="5:5">
      <c r="E109" s="256"/>
    </row>
    <row r="110" spans="5:5">
      <c r="E110" s="256"/>
    </row>
    <row r="111" spans="5:5">
      <c r="E111" s="256"/>
    </row>
    <row r="112" spans="5:5">
      <c r="E112" s="256"/>
    </row>
    <row r="113" spans="5:5">
      <c r="E113" s="256"/>
    </row>
    <row r="114" spans="5:5">
      <c r="E114" s="256"/>
    </row>
    <row r="115" spans="5:5">
      <c r="E115" s="256"/>
    </row>
    <row r="116" spans="5:5">
      <c r="E116" s="256"/>
    </row>
    <row r="117" spans="5:5">
      <c r="E117" s="256"/>
    </row>
    <row r="118" spans="5:5">
      <c r="E118" s="256"/>
    </row>
    <row r="119" spans="5:5">
      <c r="E119" s="256"/>
    </row>
    <row r="120" spans="5:5">
      <c r="E120" s="256"/>
    </row>
    <row r="121" spans="5:5">
      <c r="E121" s="256"/>
    </row>
    <row r="122" spans="5:5">
      <c r="E122" s="256"/>
    </row>
    <row r="123" spans="5:5">
      <c r="E123" s="256"/>
    </row>
    <row r="124" spans="5:5">
      <c r="E124" s="256"/>
    </row>
    <row r="125" spans="5:5">
      <c r="E125" s="256"/>
    </row>
    <row r="126" spans="5:5">
      <c r="E126" s="256"/>
    </row>
    <row r="127" spans="5:5">
      <c r="E127" s="256"/>
    </row>
    <row r="128" spans="5:5">
      <c r="E128" s="256"/>
    </row>
    <row r="129" spans="5:5">
      <c r="E129" s="256"/>
    </row>
    <row r="130" spans="5:5">
      <c r="E130" s="256"/>
    </row>
    <row r="131" spans="5:5">
      <c r="E131" s="256"/>
    </row>
    <row r="132" spans="5:5">
      <c r="E132" s="256"/>
    </row>
    <row r="133" spans="5:5">
      <c r="E133" s="256"/>
    </row>
    <row r="134" spans="5:5">
      <c r="E134" s="256"/>
    </row>
    <row r="135" spans="5:5">
      <c r="E135" s="256"/>
    </row>
    <row r="136" spans="5:5">
      <c r="E136" s="256"/>
    </row>
    <row r="137" spans="5:5">
      <c r="E137" s="256"/>
    </row>
    <row r="138" spans="5:5">
      <c r="E138" s="256"/>
    </row>
    <row r="139" spans="5:5">
      <c r="E139" s="256"/>
    </row>
    <row r="140" spans="5:5">
      <c r="E140" s="256"/>
    </row>
    <row r="141" spans="5:5">
      <c r="E141" s="256"/>
    </row>
    <row r="142" spans="5:5">
      <c r="E142" s="256"/>
    </row>
    <row r="143" spans="5:5">
      <c r="E143" s="256"/>
    </row>
    <row r="144" spans="5:5">
      <c r="E144" s="256"/>
    </row>
    <row r="145" spans="5:5">
      <c r="E145" s="256"/>
    </row>
    <row r="146" spans="5:5">
      <c r="E146" s="256"/>
    </row>
    <row r="147" spans="5:5">
      <c r="E147" s="256"/>
    </row>
    <row r="148" spans="5:5">
      <c r="E148" s="256"/>
    </row>
    <row r="149" spans="5:5">
      <c r="E149" s="256"/>
    </row>
    <row r="150" spans="5:5">
      <c r="E150" s="256"/>
    </row>
    <row r="151" spans="5:5">
      <c r="E151" s="256"/>
    </row>
    <row r="152" spans="5:5">
      <c r="E152" s="256"/>
    </row>
    <row r="153" spans="5:5">
      <c r="E153" s="256"/>
    </row>
    <row r="154" spans="5:5">
      <c r="E154" s="256"/>
    </row>
    <row r="155" spans="5:5">
      <c r="E155" s="256"/>
    </row>
    <row r="156" spans="5:5">
      <c r="E156" s="256"/>
    </row>
    <row r="157" spans="5:5">
      <c r="E157" s="256"/>
    </row>
    <row r="158" spans="5:5">
      <c r="E158" s="256"/>
    </row>
    <row r="159" spans="5:5">
      <c r="E159" s="256"/>
    </row>
    <row r="160" spans="5:5">
      <c r="E160" s="256"/>
    </row>
    <row r="161" spans="5:5">
      <c r="E161" s="256"/>
    </row>
    <row r="162" spans="5:5">
      <c r="E162" s="256"/>
    </row>
    <row r="163" spans="5:5">
      <c r="E163" s="256"/>
    </row>
    <row r="164" spans="5:5">
      <c r="E164" s="256"/>
    </row>
    <row r="165" spans="5:5">
      <c r="E165" s="256"/>
    </row>
    <row r="166" spans="5:5">
      <c r="E166" s="256"/>
    </row>
    <row r="167" spans="5:5">
      <c r="E167" s="256"/>
    </row>
    <row r="168" spans="5:5">
      <c r="E168" s="256"/>
    </row>
    <row r="169" spans="5:5">
      <c r="E169" s="256"/>
    </row>
    <row r="170" spans="5:5">
      <c r="E170" s="256"/>
    </row>
    <row r="171" spans="5:5">
      <c r="E171" s="256"/>
    </row>
    <row r="172" spans="5:5">
      <c r="E172" s="256"/>
    </row>
    <row r="173" spans="5:5">
      <c r="E173" s="256"/>
    </row>
    <row r="174" spans="5:5">
      <c r="E174" s="256"/>
    </row>
    <row r="175" spans="5:5">
      <c r="E175" s="256"/>
    </row>
    <row r="176" spans="5:5">
      <c r="E176" s="256"/>
    </row>
    <row r="177" spans="5:5">
      <c r="E177" s="256"/>
    </row>
    <row r="178" spans="5:5">
      <c r="E178" s="256"/>
    </row>
    <row r="179" spans="5:5">
      <c r="E179" s="256"/>
    </row>
    <row r="180" spans="5:5">
      <c r="E180" s="256"/>
    </row>
    <row r="181" spans="5:5">
      <c r="E181" s="256"/>
    </row>
    <row r="182" spans="5:5">
      <c r="E182" s="256"/>
    </row>
    <row r="183" spans="5:5">
      <c r="E183" s="256"/>
    </row>
    <row r="184" spans="5:5">
      <c r="E184" s="256"/>
    </row>
    <row r="185" spans="5:5">
      <c r="E185" s="256"/>
    </row>
    <row r="186" spans="5:5">
      <c r="E186" s="256"/>
    </row>
    <row r="187" spans="5:5">
      <c r="E187" s="256"/>
    </row>
    <row r="188" spans="5:5">
      <c r="E188" s="256"/>
    </row>
    <row r="189" spans="5:5">
      <c r="E189" s="256"/>
    </row>
    <row r="190" spans="5:5">
      <c r="E190" s="256"/>
    </row>
    <row r="191" spans="5:5">
      <c r="E191" s="256"/>
    </row>
    <row r="192" spans="5:5">
      <c r="E192" s="256"/>
    </row>
    <row r="193" spans="5:5">
      <c r="E193" s="256"/>
    </row>
    <row r="194" spans="5:5">
      <c r="E194" s="256"/>
    </row>
    <row r="195" spans="5:5">
      <c r="E195" s="256"/>
    </row>
    <row r="196" spans="5:5">
      <c r="E196" s="256"/>
    </row>
    <row r="197" spans="5:5">
      <c r="E197" s="256"/>
    </row>
    <row r="198" spans="5:5">
      <c r="E198" s="256"/>
    </row>
    <row r="199" spans="5:5">
      <c r="E199" s="256"/>
    </row>
    <row r="200" spans="5:5">
      <c r="E200" s="256"/>
    </row>
    <row r="201" spans="5:5">
      <c r="E201" s="256"/>
    </row>
    <row r="202" spans="5:5">
      <c r="E202" s="256"/>
    </row>
    <row r="203" spans="5:5">
      <c r="E203" s="256"/>
    </row>
    <row r="204" spans="5:5">
      <c r="E204" s="256"/>
    </row>
    <row r="205" spans="5:5">
      <c r="E205" s="256"/>
    </row>
    <row r="206" spans="5:5">
      <c r="E206" s="256"/>
    </row>
    <row r="207" spans="5:5">
      <c r="E207" s="256"/>
    </row>
    <row r="208" spans="5:5">
      <c r="E208" s="256"/>
    </row>
    <row r="209" spans="5:5">
      <c r="E209" s="256"/>
    </row>
    <row r="210" spans="5:5">
      <c r="E210" s="256"/>
    </row>
    <row r="211" spans="5:5">
      <c r="E211" s="256"/>
    </row>
    <row r="212" spans="5:5">
      <c r="E212" s="256"/>
    </row>
    <row r="213" spans="5:5">
      <c r="E213" s="256"/>
    </row>
    <row r="214" spans="5:5">
      <c r="E214" s="256"/>
    </row>
    <row r="215" spans="5:5">
      <c r="E215" s="256"/>
    </row>
    <row r="216" spans="5:5">
      <c r="E216" s="256"/>
    </row>
    <row r="217" spans="5:5">
      <c r="E217" s="256"/>
    </row>
    <row r="218" spans="5:5">
      <c r="E218" s="256"/>
    </row>
    <row r="219" spans="5:5">
      <c r="E219" s="256"/>
    </row>
    <row r="220" spans="5:5">
      <c r="E220" s="256"/>
    </row>
    <row r="221" spans="5:5">
      <c r="E221" s="256"/>
    </row>
    <row r="222" spans="5:5">
      <c r="E222" s="256"/>
    </row>
    <row r="223" spans="5:5">
      <c r="E223" s="256"/>
    </row>
    <row r="224" spans="5:5">
      <c r="E224" s="256"/>
    </row>
    <row r="225" spans="5:5">
      <c r="E225" s="256"/>
    </row>
    <row r="226" spans="5:5">
      <c r="E226" s="256"/>
    </row>
    <row r="227" spans="5:5">
      <c r="E227" s="256"/>
    </row>
    <row r="228" spans="5:5">
      <c r="E228" s="256"/>
    </row>
    <row r="229" spans="5:5">
      <c r="E229" s="256"/>
    </row>
    <row r="230" spans="5:5">
      <c r="E230" s="256"/>
    </row>
    <row r="231" spans="5:5">
      <c r="E231" s="256"/>
    </row>
    <row r="232" spans="5:5">
      <c r="E232" s="256"/>
    </row>
    <row r="233" spans="5:5">
      <c r="E233" s="256"/>
    </row>
    <row r="234" spans="5:5">
      <c r="E234" s="256"/>
    </row>
    <row r="235" spans="5:5">
      <c r="E235" s="256"/>
    </row>
    <row r="236" spans="5:5">
      <c r="E236" s="256"/>
    </row>
    <row r="237" spans="5:5">
      <c r="E237" s="256"/>
    </row>
    <row r="238" spans="5:5">
      <c r="E238" s="256"/>
    </row>
    <row r="239" spans="5:5">
      <c r="E239" s="256"/>
    </row>
    <row r="240" spans="5:5">
      <c r="E240" s="256"/>
    </row>
    <row r="241" spans="5:5">
      <c r="E241" s="256"/>
    </row>
    <row r="242" spans="5:5">
      <c r="E242" s="256"/>
    </row>
    <row r="243" spans="5:5">
      <c r="E243" s="256"/>
    </row>
    <row r="244" spans="5:5">
      <c r="E244" s="256"/>
    </row>
    <row r="245" spans="5:5">
      <c r="E245" s="256"/>
    </row>
    <row r="246" spans="5:5">
      <c r="E246" s="256"/>
    </row>
    <row r="247" spans="5:5">
      <c r="E247" s="256"/>
    </row>
    <row r="248" spans="5:5">
      <c r="E248" s="256"/>
    </row>
    <row r="249" spans="5:5">
      <c r="E249" s="256"/>
    </row>
    <row r="250" spans="5:5">
      <c r="E250" s="256"/>
    </row>
    <row r="251" spans="5:5">
      <c r="E251" s="256"/>
    </row>
    <row r="252" spans="5:5">
      <c r="E252" s="256"/>
    </row>
    <row r="253" spans="5:5">
      <c r="E253" s="256"/>
    </row>
    <row r="254" spans="5:5">
      <c r="E254" s="256"/>
    </row>
    <row r="255" spans="5:5">
      <c r="E255" s="256"/>
    </row>
    <row r="256" spans="5:5">
      <c r="E256" s="256"/>
    </row>
    <row r="257" spans="5:5">
      <c r="E257" s="256"/>
    </row>
    <row r="258" spans="5:5">
      <c r="E258" s="256"/>
    </row>
    <row r="259" spans="5:5">
      <c r="E259" s="256"/>
    </row>
    <row r="260" spans="5:5">
      <c r="E260" s="256"/>
    </row>
    <row r="261" spans="5:5">
      <c r="E261" s="256"/>
    </row>
    <row r="262" spans="5:5">
      <c r="E262" s="256"/>
    </row>
    <row r="263" spans="5:5">
      <c r="E263" s="256"/>
    </row>
    <row r="264" spans="5:5">
      <c r="E264" s="256"/>
    </row>
    <row r="265" spans="5:5">
      <c r="E265" s="256"/>
    </row>
    <row r="266" spans="5:5">
      <c r="E266" s="256"/>
    </row>
    <row r="267" spans="5:5">
      <c r="E267" s="256"/>
    </row>
    <row r="268" spans="5:5">
      <c r="E268" s="256"/>
    </row>
    <row r="269" spans="5:5">
      <c r="E269" s="256"/>
    </row>
    <row r="270" spans="5:5">
      <c r="E270" s="256"/>
    </row>
    <row r="271" spans="5:5">
      <c r="E271" s="256"/>
    </row>
    <row r="272" spans="5:5">
      <c r="E272" s="256"/>
    </row>
    <row r="273" spans="5:5">
      <c r="E273" s="256"/>
    </row>
    <row r="274" spans="5:5">
      <c r="E274" s="256"/>
    </row>
    <row r="275" spans="5:5">
      <c r="E275" s="256"/>
    </row>
    <row r="276" spans="5:5">
      <c r="E276" s="256"/>
    </row>
    <row r="277" spans="5:5">
      <c r="E277" s="256"/>
    </row>
    <row r="278" spans="5:5">
      <c r="E278" s="256"/>
    </row>
    <row r="279" spans="5:5">
      <c r="E279" s="256"/>
    </row>
    <row r="280" spans="5:5">
      <c r="E280" s="256"/>
    </row>
    <row r="281" spans="5:5">
      <c r="E281" s="256"/>
    </row>
    <row r="282" spans="5:5">
      <c r="E282" s="256"/>
    </row>
    <row r="283" spans="5:5">
      <c r="E283" s="256"/>
    </row>
    <row r="284" spans="5:5">
      <c r="E284" s="256"/>
    </row>
    <row r="285" spans="5:5">
      <c r="E285" s="256"/>
    </row>
    <row r="286" spans="5:5">
      <c r="E286" s="256"/>
    </row>
    <row r="287" spans="5:5">
      <c r="E287" s="256"/>
    </row>
    <row r="288" spans="5:5">
      <c r="E288" s="256"/>
    </row>
    <row r="289" spans="5:5">
      <c r="E289" s="256"/>
    </row>
    <row r="290" spans="5:5">
      <c r="E290" s="256"/>
    </row>
    <row r="291" spans="5:5">
      <c r="E291" s="256"/>
    </row>
    <row r="292" spans="5:5">
      <c r="E292" s="256"/>
    </row>
    <row r="293" spans="5:5">
      <c r="E293" s="256"/>
    </row>
    <row r="294" spans="5:5">
      <c r="E294" s="256"/>
    </row>
    <row r="295" spans="5:5">
      <c r="E295" s="256"/>
    </row>
    <row r="296" spans="5:5">
      <c r="E296" s="256"/>
    </row>
    <row r="297" spans="5:5">
      <c r="E297" s="256"/>
    </row>
    <row r="298" spans="5:5">
      <c r="E298" s="256"/>
    </row>
    <row r="299" spans="5:5">
      <c r="E299" s="256"/>
    </row>
    <row r="300" spans="5:5">
      <c r="E300" s="256"/>
    </row>
    <row r="301" spans="5:5">
      <c r="E301" s="256"/>
    </row>
    <row r="302" spans="5:5">
      <c r="E302" s="256"/>
    </row>
    <row r="303" spans="5:5">
      <c r="E303" s="256"/>
    </row>
    <row r="304" spans="5:5">
      <c r="E304" s="256"/>
    </row>
    <row r="305" spans="5:5">
      <c r="E305" s="256"/>
    </row>
    <row r="306" spans="5:5">
      <c r="E306" s="256"/>
    </row>
    <row r="307" spans="5:5">
      <c r="E307" s="256"/>
    </row>
    <row r="308" spans="5:5">
      <c r="E308" s="256"/>
    </row>
    <row r="309" spans="5:5">
      <c r="E309" s="256"/>
    </row>
    <row r="310" spans="5:5">
      <c r="E310" s="256"/>
    </row>
    <row r="311" spans="5:5">
      <c r="E311" s="256"/>
    </row>
    <row r="312" spans="5:5">
      <c r="E312" s="256"/>
    </row>
    <row r="313" spans="5:5">
      <c r="E313" s="256"/>
    </row>
    <row r="314" spans="5:5">
      <c r="E314" s="256"/>
    </row>
    <row r="315" spans="5:5">
      <c r="E315" s="256"/>
    </row>
    <row r="316" spans="5:5">
      <c r="E316" s="256"/>
    </row>
    <row r="317" spans="5:5">
      <c r="E317" s="256"/>
    </row>
    <row r="318" spans="5:5">
      <c r="E318" s="256"/>
    </row>
    <row r="319" spans="5:5">
      <c r="E319" s="256"/>
    </row>
    <row r="320" spans="5:5">
      <c r="E320" s="256"/>
    </row>
    <row r="321" spans="5:5">
      <c r="E321" s="256"/>
    </row>
    <row r="322" spans="5:5">
      <c r="E322" s="256"/>
    </row>
    <row r="323" spans="5:5">
      <c r="E323" s="256"/>
    </row>
    <row r="324" spans="5:5">
      <c r="E324" s="256"/>
    </row>
    <row r="325" spans="5:5">
      <c r="E325" s="256"/>
    </row>
    <row r="326" spans="5:5">
      <c r="E326" s="256"/>
    </row>
    <row r="327" spans="5:5">
      <c r="E327" s="256"/>
    </row>
    <row r="328" spans="5:5">
      <c r="E328" s="256"/>
    </row>
    <row r="329" spans="5:5">
      <c r="E329" s="256"/>
    </row>
    <row r="330" spans="5:5">
      <c r="E330" s="256"/>
    </row>
    <row r="331" spans="5:5">
      <c r="E331" s="256"/>
    </row>
    <row r="332" spans="5:5">
      <c r="E332" s="256"/>
    </row>
    <row r="333" spans="5:5">
      <c r="E333" s="256"/>
    </row>
    <row r="334" spans="5:5">
      <c r="E334" s="256"/>
    </row>
    <row r="335" spans="5:5">
      <c r="E335" s="256"/>
    </row>
    <row r="336" spans="5:5">
      <c r="E336" s="256"/>
    </row>
    <row r="337" spans="5:5">
      <c r="E337" s="256"/>
    </row>
    <row r="338" spans="5:5">
      <c r="E338" s="256"/>
    </row>
    <row r="339" spans="5:5">
      <c r="E339" s="256"/>
    </row>
    <row r="340" spans="5:5">
      <c r="E340" s="256"/>
    </row>
    <row r="341" spans="5:5">
      <c r="E341" s="256"/>
    </row>
    <row r="342" spans="5:5">
      <c r="E342" s="256"/>
    </row>
    <row r="343" spans="5:5">
      <c r="E343" s="256"/>
    </row>
    <row r="344" spans="5:5">
      <c r="E344" s="256"/>
    </row>
    <row r="345" spans="5:5">
      <c r="E345" s="256"/>
    </row>
    <row r="346" spans="5:5">
      <c r="E346" s="256"/>
    </row>
    <row r="347" spans="5:5">
      <c r="E347" s="256"/>
    </row>
    <row r="348" spans="5:5">
      <c r="E348" s="256"/>
    </row>
    <row r="349" spans="5:5">
      <c r="E349" s="256"/>
    </row>
    <row r="350" spans="5:5">
      <c r="E350" s="256"/>
    </row>
    <row r="351" spans="5:5">
      <c r="E351" s="256"/>
    </row>
    <row r="352" spans="5:5">
      <c r="E352" s="256"/>
    </row>
    <row r="353" spans="5:5">
      <c r="E353" s="256"/>
    </row>
    <row r="354" spans="5:5">
      <c r="E354" s="256"/>
    </row>
    <row r="355" spans="5:5">
      <c r="E355" s="256"/>
    </row>
    <row r="356" spans="5:5">
      <c r="E356" s="256"/>
    </row>
    <row r="357" spans="5:5">
      <c r="E357" s="256"/>
    </row>
    <row r="358" spans="5:5">
      <c r="E358" s="256"/>
    </row>
    <row r="359" spans="5:5">
      <c r="E359" s="256"/>
    </row>
    <row r="360" spans="5:5">
      <c r="E360" s="256"/>
    </row>
    <row r="361" spans="5:5">
      <c r="E361" s="256"/>
    </row>
    <row r="362" spans="5:5">
      <c r="E362" s="256"/>
    </row>
    <row r="363" spans="5:5">
      <c r="E363" s="256"/>
    </row>
    <row r="364" spans="5:5">
      <c r="E364" s="256"/>
    </row>
    <row r="365" spans="5:5">
      <c r="E365" s="256"/>
    </row>
    <row r="366" spans="5:5">
      <c r="E366" s="256"/>
    </row>
    <row r="367" spans="5:5">
      <c r="E367" s="256"/>
    </row>
    <row r="368" spans="5:5">
      <c r="E368" s="256"/>
    </row>
    <row r="369" spans="5:5">
      <c r="E369" s="256"/>
    </row>
    <row r="370" spans="5:5">
      <c r="E370" s="256"/>
    </row>
    <row r="371" spans="5:5">
      <c r="E371" s="256"/>
    </row>
    <row r="372" spans="5:5">
      <c r="E372" s="256"/>
    </row>
    <row r="373" spans="5:5">
      <c r="E373" s="256"/>
    </row>
    <row r="374" spans="5:5">
      <c r="E374" s="256"/>
    </row>
    <row r="375" spans="5:5">
      <c r="E375" s="256"/>
    </row>
    <row r="376" spans="5:5">
      <c r="E376" s="256"/>
    </row>
    <row r="377" spans="5:5">
      <c r="E377" s="256"/>
    </row>
    <row r="378" spans="5:5">
      <c r="E378" s="256"/>
    </row>
    <row r="379" spans="5:5">
      <c r="E379" s="256"/>
    </row>
    <row r="380" spans="5:5">
      <c r="E380" s="256"/>
    </row>
    <row r="381" spans="5:5">
      <c r="E381" s="256"/>
    </row>
    <row r="382" spans="5:5">
      <c r="E382" s="256"/>
    </row>
    <row r="383" spans="5:5">
      <c r="E383" s="256"/>
    </row>
    <row r="384" spans="5:5">
      <c r="E384" s="256"/>
    </row>
    <row r="385" spans="5:5">
      <c r="E385" s="256"/>
    </row>
    <row r="386" spans="5:5">
      <c r="E386" s="256"/>
    </row>
    <row r="387" spans="5:5">
      <c r="E387" s="256"/>
    </row>
    <row r="388" spans="5:5">
      <c r="E388" s="256"/>
    </row>
    <row r="389" spans="5:5">
      <c r="E389" s="256"/>
    </row>
    <row r="390" spans="5:5">
      <c r="E390" s="256"/>
    </row>
    <row r="391" spans="5:5">
      <c r="E391" s="256"/>
    </row>
    <row r="392" spans="5:5">
      <c r="E392" s="256"/>
    </row>
    <row r="393" spans="5:5">
      <c r="E393" s="256"/>
    </row>
    <row r="394" spans="5:5">
      <c r="E394" s="256"/>
    </row>
    <row r="395" spans="5:5">
      <c r="E395" s="256"/>
    </row>
    <row r="396" spans="5:5">
      <c r="E396" s="256"/>
    </row>
    <row r="397" spans="5:5">
      <c r="E397" s="256"/>
    </row>
    <row r="398" spans="5:5">
      <c r="E398" s="256"/>
    </row>
    <row r="399" spans="5:5">
      <c r="E399" s="256"/>
    </row>
    <row r="400" spans="5:5">
      <c r="E400" s="256"/>
    </row>
    <row r="401" spans="5:5">
      <c r="E401" s="256"/>
    </row>
    <row r="402" spans="5:5">
      <c r="E402" s="256"/>
    </row>
    <row r="403" spans="5:5">
      <c r="E403" s="256"/>
    </row>
    <row r="404" spans="5:5">
      <c r="E404" s="256"/>
    </row>
    <row r="405" spans="5:5">
      <c r="E405" s="256"/>
    </row>
    <row r="406" spans="5:5">
      <c r="E406" s="256"/>
    </row>
    <row r="407" spans="5:5">
      <c r="E407" s="256"/>
    </row>
    <row r="408" spans="5:5">
      <c r="E408" s="256"/>
    </row>
    <row r="409" spans="5:5">
      <c r="E409" s="256"/>
    </row>
    <row r="410" spans="5:5">
      <c r="E410" s="256"/>
    </row>
    <row r="411" spans="5:5">
      <c r="E411" s="256"/>
    </row>
    <row r="412" spans="5:5">
      <c r="E412" s="256"/>
    </row>
    <row r="413" spans="5:5">
      <c r="E413" s="256"/>
    </row>
    <row r="414" spans="5:5">
      <c r="E414" s="256"/>
    </row>
    <row r="415" spans="5:5">
      <c r="E415" s="256"/>
    </row>
    <row r="416" spans="5:5">
      <c r="E416" s="256"/>
    </row>
    <row r="417" spans="5:5">
      <c r="E417" s="256"/>
    </row>
    <row r="418" spans="5:5">
      <c r="E418" s="256"/>
    </row>
    <row r="419" spans="5:5">
      <c r="E419" s="256"/>
    </row>
    <row r="420" spans="5:5">
      <c r="E420" s="256"/>
    </row>
    <row r="421" spans="5:5">
      <c r="E421" s="256"/>
    </row>
    <row r="422" spans="5:5">
      <c r="E422" s="256"/>
    </row>
    <row r="423" spans="5:5">
      <c r="E423" s="256"/>
    </row>
    <row r="424" spans="5:5">
      <c r="E424" s="256"/>
    </row>
    <row r="425" spans="5:5">
      <c r="E425" s="256"/>
    </row>
    <row r="426" spans="5:5">
      <c r="E426" s="256"/>
    </row>
    <row r="427" spans="5:5">
      <c r="E427" s="256"/>
    </row>
    <row r="428" spans="5:5">
      <c r="E428" s="256"/>
    </row>
    <row r="429" spans="5:5">
      <c r="E429" s="256"/>
    </row>
    <row r="430" spans="5:5">
      <c r="E430" s="256"/>
    </row>
    <row r="431" spans="5:5">
      <c r="E431" s="256"/>
    </row>
    <row r="432" spans="5:5">
      <c r="E432" s="256"/>
    </row>
    <row r="433" spans="5:5">
      <c r="E433" s="256"/>
    </row>
    <row r="434" spans="5:5">
      <c r="E434" s="256"/>
    </row>
    <row r="435" spans="5:5">
      <c r="E435" s="256"/>
    </row>
    <row r="436" spans="5:5">
      <c r="E436" s="256"/>
    </row>
    <row r="437" spans="5:5">
      <c r="E437" s="256"/>
    </row>
    <row r="438" spans="5:5">
      <c r="E438" s="256"/>
    </row>
    <row r="439" spans="5:5">
      <c r="E439" s="256"/>
    </row>
    <row r="440" spans="5:5">
      <c r="E440" s="256"/>
    </row>
    <row r="441" spans="5:5">
      <c r="E441" s="256"/>
    </row>
    <row r="442" spans="5:5">
      <c r="E442" s="256"/>
    </row>
    <row r="443" spans="5:5">
      <c r="E443" s="256"/>
    </row>
    <row r="444" spans="5:5">
      <c r="E444" s="256"/>
    </row>
    <row r="445" spans="5:5">
      <c r="E445" s="256"/>
    </row>
    <row r="446" spans="5:5">
      <c r="E446" s="256"/>
    </row>
    <row r="447" spans="5:5">
      <c r="E447" s="256"/>
    </row>
    <row r="448" spans="5:5">
      <c r="E448" s="256"/>
    </row>
    <row r="449" spans="5:5">
      <c r="E449" s="256"/>
    </row>
    <row r="450" spans="5:5">
      <c r="E450" s="256"/>
    </row>
    <row r="451" spans="5:5">
      <c r="E451" s="256"/>
    </row>
    <row r="452" spans="5:5">
      <c r="E452" s="256"/>
    </row>
    <row r="453" spans="5:5">
      <c r="E453" s="256"/>
    </row>
    <row r="454" spans="5:5">
      <c r="E454" s="256"/>
    </row>
    <row r="455" spans="5:5">
      <c r="E455" s="256"/>
    </row>
    <row r="456" spans="5:5">
      <c r="E456" s="256"/>
    </row>
    <row r="457" spans="5:5">
      <c r="E457" s="256"/>
    </row>
    <row r="458" spans="5:5">
      <c r="E458" s="256"/>
    </row>
    <row r="459" spans="5:5">
      <c r="E459" s="256"/>
    </row>
    <row r="460" spans="5:5">
      <c r="E460" s="256"/>
    </row>
    <row r="461" spans="5:5">
      <c r="E461" s="256"/>
    </row>
    <row r="462" spans="5:5">
      <c r="E462" s="256"/>
    </row>
    <row r="463" spans="5:5">
      <c r="E463" s="256"/>
    </row>
    <row r="464" spans="5:5">
      <c r="E464" s="256"/>
    </row>
    <row r="465" spans="5:5">
      <c r="E465" s="256"/>
    </row>
    <row r="466" spans="5:5">
      <c r="E466" s="256"/>
    </row>
    <row r="467" spans="5:5">
      <c r="E467" s="256"/>
    </row>
    <row r="468" spans="5:5">
      <c r="E468" s="256"/>
    </row>
    <row r="469" spans="5:5">
      <c r="E469" s="256"/>
    </row>
    <row r="470" spans="5:5">
      <c r="E470" s="256"/>
    </row>
    <row r="471" spans="5:5">
      <c r="E471" s="256"/>
    </row>
    <row r="472" spans="5:5">
      <c r="E472" s="256"/>
    </row>
    <row r="473" spans="5:5">
      <c r="E473" s="256"/>
    </row>
    <row r="474" spans="5:5">
      <c r="E474" s="256"/>
    </row>
    <row r="475" spans="5:5">
      <c r="E475" s="256"/>
    </row>
    <row r="476" spans="5:5">
      <c r="E476" s="256"/>
    </row>
    <row r="477" spans="5:5">
      <c r="E477" s="256"/>
    </row>
    <row r="478" spans="5:5">
      <c r="E478" s="256"/>
    </row>
    <row r="479" spans="5:5">
      <c r="E479" s="256"/>
    </row>
    <row r="480" spans="5:5">
      <c r="E480" s="256"/>
    </row>
    <row r="481" spans="5:5">
      <c r="E481" s="256"/>
    </row>
    <row r="482" spans="5:5">
      <c r="E482" s="256"/>
    </row>
    <row r="483" spans="5:5">
      <c r="E483" s="256"/>
    </row>
    <row r="484" spans="5:5">
      <c r="E484" s="256"/>
    </row>
    <row r="485" spans="5:5">
      <c r="E485" s="256"/>
    </row>
    <row r="486" spans="5:5">
      <c r="E486" s="256"/>
    </row>
    <row r="487" spans="5:5">
      <c r="E487" s="256"/>
    </row>
    <row r="488" spans="5:5">
      <c r="E488" s="256"/>
    </row>
    <row r="489" spans="5:5">
      <c r="E489" s="256"/>
    </row>
    <row r="490" spans="5:5">
      <c r="E490" s="256"/>
    </row>
    <row r="491" spans="5:5">
      <c r="E491" s="256"/>
    </row>
    <row r="492" spans="5:5">
      <c r="E492" s="256"/>
    </row>
    <row r="493" spans="5:5">
      <c r="E493" s="256"/>
    </row>
    <row r="494" spans="5:5">
      <c r="E494" s="256"/>
    </row>
    <row r="495" spans="5:5">
      <c r="E495" s="256"/>
    </row>
    <row r="496" spans="5:5">
      <c r="E496" s="256"/>
    </row>
    <row r="497" spans="5:5">
      <c r="E497" s="256"/>
    </row>
    <row r="498" spans="5:5">
      <c r="E498" s="256"/>
    </row>
    <row r="499" spans="5:5">
      <c r="E499" s="256"/>
    </row>
    <row r="500" spans="5:5">
      <c r="E500" s="256"/>
    </row>
    <row r="501" spans="5:5">
      <c r="E501" s="256"/>
    </row>
    <row r="502" spans="5:5">
      <c r="E502" s="256"/>
    </row>
    <row r="503" spans="5:5">
      <c r="E503" s="256"/>
    </row>
    <row r="504" spans="5:5">
      <c r="E504" s="256"/>
    </row>
    <row r="505" spans="5:5">
      <c r="E505" s="256"/>
    </row>
    <row r="506" spans="5:5">
      <c r="E506" s="256"/>
    </row>
    <row r="507" spans="5:5">
      <c r="E507" s="256"/>
    </row>
    <row r="508" spans="5:5">
      <c r="E508" s="256"/>
    </row>
    <row r="509" spans="5:5">
      <c r="E509" s="256"/>
    </row>
    <row r="510" spans="5:5">
      <c r="E510" s="256"/>
    </row>
    <row r="511" spans="5:5">
      <c r="E511" s="256"/>
    </row>
    <row r="512" spans="5:5">
      <c r="E512" s="256"/>
    </row>
    <row r="513" spans="5:5">
      <c r="E513" s="256"/>
    </row>
    <row r="514" spans="5:5">
      <c r="E514" s="256"/>
    </row>
    <row r="515" spans="5:5">
      <c r="E515" s="256"/>
    </row>
    <row r="516" spans="5:5">
      <c r="E516" s="256"/>
    </row>
    <row r="517" spans="5:5">
      <c r="E517" s="256"/>
    </row>
    <row r="518" spans="5:5">
      <c r="E518" s="256"/>
    </row>
    <row r="519" spans="5:5">
      <c r="E519" s="256"/>
    </row>
    <row r="520" spans="5:5">
      <c r="E520" s="256"/>
    </row>
    <row r="521" spans="5:5">
      <c r="E521" s="256"/>
    </row>
    <row r="522" spans="5:5">
      <c r="E522" s="256"/>
    </row>
    <row r="523" spans="5:5">
      <c r="E523" s="256"/>
    </row>
    <row r="524" spans="5:5">
      <c r="E524" s="256"/>
    </row>
    <row r="525" spans="5:5">
      <c r="E525" s="256"/>
    </row>
    <row r="526" spans="5:5">
      <c r="E526" s="256"/>
    </row>
    <row r="527" spans="5:5">
      <c r="E527" s="256"/>
    </row>
    <row r="528" spans="5:5">
      <c r="E528" s="256"/>
    </row>
    <row r="529" spans="5:5">
      <c r="E529" s="256"/>
    </row>
    <row r="530" spans="5:5">
      <c r="E530" s="256"/>
    </row>
    <row r="531" spans="5:5">
      <c r="E531" s="256"/>
    </row>
    <row r="532" spans="5:5">
      <c r="E532" s="256"/>
    </row>
    <row r="533" spans="5:5">
      <c r="E533" s="256"/>
    </row>
    <row r="534" spans="5:5">
      <c r="E534" s="256"/>
    </row>
    <row r="535" spans="5:5">
      <c r="E535" s="256"/>
    </row>
    <row r="536" spans="5:5">
      <c r="E536" s="256"/>
    </row>
    <row r="537" spans="5:5">
      <c r="E537" s="256"/>
    </row>
    <row r="538" spans="5:5">
      <c r="E538" s="256"/>
    </row>
    <row r="539" spans="5:5">
      <c r="E539" s="256"/>
    </row>
    <row r="540" spans="5:5">
      <c r="E540" s="256"/>
    </row>
    <row r="541" spans="5:5">
      <c r="E541" s="256"/>
    </row>
    <row r="542" spans="5:5">
      <c r="E542" s="256"/>
    </row>
    <row r="543" spans="5:5">
      <c r="E543" s="256"/>
    </row>
    <row r="544" spans="5:5">
      <c r="E544" s="256"/>
    </row>
    <row r="545" spans="5:5">
      <c r="E545" s="256"/>
    </row>
    <row r="546" spans="5:5">
      <c r="E546" s="256"/>
    </row>
    <row r="547" spans="5:5">
      <c r="E547" s="256"/>
    </row>
    <row r="548" spans="5:5">
      <c r="E548" s="256"/>
    </row>
    <row r="549" spans="5:5">
      <c r="E549" s="256"/>
    </row>
    <row r="550" spans="5:5">
      <c r="E550" s="256"/>
    </row>
    <row r="551" spans="5:5">
      <c r="E551" s="256"/>
    </row>
    <row r="552" spans="5:5">
      <c r="E552" s="256"/>
    </row>
    <row r="553" spans="5:5">
      <c r="E553" s="256"/>
    </row>
    <row r="554" spans="5:5">
      <c r="E554" s="256"/>
    </row>
    <row r="555" spans="5:5">
      <c r="E555" s="256"/>
    </row>
    <row r="556" spans="5:5">
      <c r="E556" s="256"/>
    </row>
    <row r="557" spans="5:5">
      <c r="E557" s="256"/>
    </row>
    <row r="558" spans="5:5">
      <c r="E558" s="256"/>
    </row>
    <row r="559" spans="5:5">
      <c r="E559" s="256"/>
    </row>
    <row r="560" spans="5:5">
      <c r="E560" s="256"/>
    </row>
    <row r="561" spans="5:5">
      <c r="E561" s="256"/>
    </row>
    <row r="562" spans="5:5">
      <c r="E562" s="256"/>
    </row>
    <row r="563" spans="5:5">
      <c r="E563" s="256"/>
    </row>
    <row r="564" spans="5:5">
      <c r="E564" s="256"/>
    </row>
    <row r="565" spans="5:5">
      <c r="E565" s="256"/>
    </row>
    <row r="566" spans="5:5">
      <c r="E566" s="256"/>
    </row>
    <row r="567" spans="5:5">
      <c r="E567" s="256"/>
    </row>
    <row r="568" spans="5:5">
      <c r="E568" s="256"/>
    </row>
    <row r="569" spans="5:5">
      <c r="E569" s="256"/>
    </row>
    <row r="570" spans="5:5">
      <c r="E570" s="256"/>
    </row>
    <row r="571" spans="5:5">
      <c r="E571" s="256"/>
    </row>
    <row r="572" spans="5:5">
      <c r="E572" s="256"/>
    </row>
    <row r="573" spans="5:5">
      <c r="E573" s="256"/>
    </row>
    <row r="574" spans="5:5">
      <c r="E574" s="256"/>
    </row>
    <row r="575" spans="5:5">
      <c r="E575" s="256"/>
    </row>
    <row r="576" spans="5:5">
      <c r="E576" s="256"/>
    </row>
    <row r="577" spans="5:5">
      <c r="E577" s="256"/>
    </row>
    <row r="578" spans="5:5">
      <c r="E578" s="256"/>
    </row>
    <row r="579" spans="5:5">
      <c r="E579" s="256"/>
    </row>
    <row r="580" spans="5:5">
      <c r="E580" s="256"/>
    </row>
    <row r="581" spans="5:5">
      <c r="E581" s="256"/>
    </row>
    <row r="582" spans="5:5">
      <c r="E582" s="256"/>
    </row>
    <row r="583" spans="5:5">
      <c r="E583" s="256"/>
    </row>
    <row r="584" spans="5:5">
      <c r="E584" s="256"/>
    </row>
    <row r="585" spans="5:5">
      <c r="E585" s="256"/>
    </row>
    <row r="586" spans="5:5">
      <c r="E586" s="256"/>
    </row>
    <row r="587" spans="5:5">
      <c r="E587" s="256"/>
    </row>
    <row r="588" spans="5:5">
      <c r="E588" s="256"/>
    </row>
    <row r="589" spans="5:5">
      <c r="E589" s="256"/>
    </row>
    <row r="590" spans="5:5">
      <c r="E590" s="256"/>
    </row>
    <row r="591" spans="5:5">
      <c r="E591" s="256"/>
    </row>
    <row r="592" spans="5:5">
      <c r="E592" s="256"/>
    </row>
    <row r="593" spans="5:5">
      <c r="E593" s="256"/>
    </row>
    <row r="594" spans="5:5">
      <c r="E594" s="256"/>
    </row>
    <row r="595" spans="5:5">
      <c r="E595" s="256"/>
    </row>
    <row r="596" spans="5:5">
      <c r="E596" s="256"/>
    </row>
    <row r="597" spans="5:5">
      <c r="E597" s="256"/>
    </row>
    <row r="598" spans="5:5">
      <c r="E598" s="256"/>
    </row>
    <row r="599" spans="5:5">
      <c r="E599" s="256"/>
    </row>
    <row r="600" spans="5:5">
      <c r="E600" s="256"/>
    </row>
    <row r="601" spans="5:5">
      <c r="E601" s="256"/>
    </row>
    <row r="602" spans="5:5">
      <c r="E602" s="256"/>
    </row>
    <row r="603" spans="5:5">
      <c r="E603" s="256"/>
    </row>
    <row r="604" spans="5:5">
      <c r="E604" s="256"/>
    </row>
    <row r="605" spans="5:5">
      <c r="E605" s="256"/>
    </row>
    <row r="606" spans="5:5">
      <c r="E606" s="256"/>
    </row>
    <row r="607" spans="5:5">
      <c r="E607" s="256"/>
    </row>
    <row r="608" spans="5:5">
      <c r="E608" s="256"/>
    </row>
    <row r="609" spans="5:5">
      <c r="E609" s="256"/>
    </row>
    <row r="610" spans="5:5">
      <c r="E610" s="256"/>
    </row>
    <row r="611" spans="5:5">
      <c r="E611" s="256"/>
    </row>
    <row r="612" spans="5:5">
      <c r="E612" s="256"/>
    </row>
    <row r="613" spans="5:5">
      <c r="E613" s="256"/>
    </row>
    <row r="614" spans="5:5">
      <c r="E614" s="256"/>
    </row>
    <row r="615" spans="5:5">
      <c r="E615" s="256"/>
    </row>
    <row r="616" spans="5:5">
      <c r="E616" s="256"/>
    </row>
    <row r="617" spans="5:5">
      <c r="E617" s="256"/>
    </row>
    <row r="618" spans="5:5">
      <c r="E618" s="256"/>
    </row>
    <row r="619" spans="5:5">
      <c r="E619" s="256"/>
    </row>
    <row r="620" spans="5:5">
      <c r="E620" s="256"/>
    </row>
    <row r="621" spans="5:5">
      <c r="E621" s="256"/>
    </row>
    <row r="622" spans="5:5">
      <c r="E622" s="256"/>
    </row>
    <row r="623" spans="5:5">
      <c r="E623" s="256"/>
    </row>
    <row r="624" spans="5:5">
      <c r="E624" s="256"/>
    </row>
    <row r="625" spans="5:5">
      <c r="E625" s="256"/>
    </row>
    <row r="626" spans="5:5">
      <c r="E626" s="256"/>
    </row>
    <row r="627" spans="5:5">
      <c r="E627" s="256"/>
    </row>
    <row r="628" spans="5:5">
      <c r="E628" s="256"/>
    </row>
    <row r="629" spans="5:5">
      <c r="E629" s="256"/>
    </row>
    <row r="630" spans="5:5">
      <c r="E630" s="256"/>
    </row>
    <row r="631" spans="5:5">
      <c r="E631" s="256"/>
    </row>
    <row r="632" spans="5:5">
      <c r="E632" s="256"/>
    </row>
    <row r="633" spans="5:5">
      <c r="E633" s="256"/>
    </row>
    <row r="634" spans="5:5">
      <c r="E634" s="256"/>
    </row>
    <row r="635" spans="5:5">
      <c r="E635" s="256"/>
    </row>
    <row r="636" spans="5:5">
      <c r="E636" s="256"/>
    </row>
    <row r="637" spans="5:5">
      <c r="E637" s="256"/>
    </row>
    <row r="638" spans="5:5">
      <c r="E638" s="256"/>
    </row>
    <row r="639" spans="5:5">
      <c r="E639" s="256"/>
    </row>
    <row r="640" spans="5:5">
      <c r="E640" s="256"/>
    </row>
    <row r="641" spans="5:5">
      <c r="E641" s="256"/>
    </row>
    <row r="642" spans="5:5">
      <c r="E642" s="256"/>
    </row>
    <row r="643" spans="5:5">
      <c r="E643" s="256"/>
    </row>
    <row r="644" spans="5:5">
      <c r="E644" s="256"/>
    </row>
    <row r="645" spans="5:5">
      <c r="E645" s="256"/>
    </row>
    <row r="646" spans="5:5">
      <c r="E646" s="256"/>
    </row>
    <row r="647" spans="5:5">
      <c r="E647" s="256"/>
    </row>
    <row r="648" spans="5:5">
      <c r="E648" s="256"/>
    </row>
    <row r="649" spans="5:5">
      <c r="E649" s="256"/>
    </row>
    <row r="650" spans="5:5">
      <c r="E650" s="256"/>
    </row>
    <row r="651" spans="5:5">
      <c r="E651" s="256"/>
    </row>
    <row r="652" spans="5:5">
      <c r="E652" s="256"/>
    </row>
    <row r="653" spans="5:5">
      <c r="E653" s="256"/>
    </row>
    <row r="654" spans="5:5">
      <c r="E654" s="256"/>
    </row>
    <row r="655" spans="5:5">
      <c r="E655" s="256"/>
    </row>
    <row r="656" spans="5:5">
      <c r="E656" s="256"/>
    </row>
    <row r="657" spans="5:5">
      <c r="E657" s="256"/>
    </row>
    <row r="658" spans="5:5">
      <c r="E658" s="256"/>
    </row>
    <row r="659" spans="5:5">
      <c r="E659" s="256"/>
    </row>
    <row r="660" spans="5:5">
      <c r="E660" s="256"/>
    </row>
    <row r="661" spans="5:5">
      <c r="E661" s="256"/>
    </row>
    <row r="662" spans="5:5">
      <c r="E662" s="256"/>
    </row>
    <row r="663" spans="5:5">
      <c r="E663" s="256"/>
    </row>
    <row r="664" spans="5:5">
      <c r="E664" s="256"/>
    </row>
    <row r="665" spans="5:5">
      <c r="E665" s="256"/>
    </row>
    <row r="666" spans="5:5">
      <c r="E666" s="256"/>
    </row>
    <row r="667" spans="5:5">
      <c r="E667" s="256"/>
    </row>
    <row r="668" spans="5:5">
      <c r="E668" s="256"/>
    </row>
    <row r="669" spans="5:5">
      <c r="E669" s="256"/>
    </row>
    <row r="670" spans="5:5">
      <c r="E670" s="256"/>
    </row>
    <row r="671" spans="5:5">
      <c r="E671" s="256"/>
    </row>
    <row r="672" spans="5:5">
      <c r="E672" s="256"/>
    </row>
    <row r="673" spans="5:5">
      <c r="E673" s="256"/>
    </row>
    <row r="674" spans="5:5">
      <c r="E674" s="256"/>
    </row>
    <row r="675" spans="5:5">
      <c r="E675" s="256"/>
    </row>
    <row r="676" spans="5:5">
      <c r="E676" s="256"/>
    </row>
    <row r="677" spans="5:5">
      <c r="E677" s="256"/>
    </row>
    <row r="678" spans="5:5">
      <c r="E678" s="256"/>
    </row>
    <row r="679" spans="5:5">
      <c r="E679" s="256"/>
    </row>
    <row r="680" spans="5:5">
      <c r="E680" s="256"/>
    </row>
    <row r="681" spans="5:5">
      <c r="E681" s="256"/>
    </row>
    <row r="682" spans="5:5">
      <c r="E682" s="256"/>
    </row>
    <row r="683" spans="5:5">
      <c r="E683" s="256"/>
    </row>
    <row r="684" spans="5:5">
      <c r="E684" s="256"/>
    </row>
    <row r="685" spans="5:5">
      <c r="E685" s="256"/>
    </row>
    <row r="686" spans="5:5">
      <c r="E686" s="256"/>
    </row>
    <row r="687" spans="5:5">
      <c r="E687" s="256"/>
    </row>
    <row r="688" spans="5:5">
      <c r="E688" s="256"/>
    </row>
    <row r="689" spans="5:5">
      <c r="E689" s="256"/>
    </row>
    <row r="690" spans="5:5">
      <c r="E690" s="256"/>
    </row>
    <row r="691" spans="5:5">
      <c r="E691" s="256"/>
    </row>
    <row r="692" spans="5:5">
      <c r="E692" s="256"/>
    </row>
    <row r="693" spans="5:5">
      <c r="E693" s="256"/>
    </row>
    <row r="694" spans="5:5">
      <c r="E694" s="256"/>
    </row>
    <row r="695" spans="5:5">
      <c r="E695" s="256"/>
    </row>
    <row r="696" spans="5:5">
      <c r="E696" s="256"/>
    </row>
    <row r="697" spans="5:5">
      <c r="E697" s="256"/>
    </row>
    <row r="698" spans="5:5">
      <c r="E698" s="256"/>
    </row>
    <row r="699" spans="5:5">
      <c r="E699" s="256"/>
    </row>
    <row r="700" spans="5:5">
      <c r="E700" s="256"/>
    </row>
    <row r="701" spans="5:5">
      <c r="E701" s="256"/>
    </row>
    <row r="702" spans="5:5">
      <c r="E702" s="256"/>
    </row>
    <row r="703" spans="5:5">
      <c r="E703" s="256"/>
    </row>
    <row r="704" spans="5:5">
      <c r="E704" s="256"/>
    </row>
    <row r="705" spans="5:5">
      <c r="E705" s="256"/>
    </row>
    <row r="706" spans="5:5">
      <c r="E706" s="256"/>
    </row>
    <row r="707" spans="5:5">
      <c r="E707" s="256"/>
    </row>
    <row r="708" spans="5:5">
      <c r="E708" s="256"/>
    </row>
    <row r="709" spans="5:5">
      <c r="E709" s="256"/>
    </row>
    <row r="710" spans="5:5">
      <c r="E710" s="256"/>
    </row>
    <row r="711" spans="5:5">
      <c r="E711" s="256"/>
    </row>
    <row r="712" spans="5:5">
      <c r="E712" s="256"/>
    </row>
    <row r="713" spans="5:5">
      <c r="E713" s="256"/>
    </row>
    <row r="714" spans="5:5">
      <c r="E714" s="256"/>
    </row>
    <row r="715" spans="5:5">
      <c r="E715" s="256"/>
    </row>
    <row r="716" spans="5:5">
      <c r="E716" s="256"/>
    </row>
    <row r="717" spans="5:5">
      <c r="E717" s="256"/>
    </row>
    <row r="718" spans="5:5">
      <c r="E718" s="256"/>
    </row>
    <row r="719" spans="5:5">
      <c r="E719" s="256"/>
    </row>
    <row r="720" spans="5:5">
      <c r="E720" s="256"/>
    </row>
    <row r="721" spans="5:5">
      <c r="E721" s="256"/>
    </row>
    <row r="722" spans="5:5">
      <c r="E722" s="256"/>
    </row>
    <row r="723" spans="5:5">
      <c r="E723" s="256"/>
    </row>
    <row r="724" spans="5:5">
      <c r="E724" s="256"/>
    </row>
    <row r="725" spans="5:5">
      <c r="E725" s="256"/>
    </row>
    <row r="726" spans="5:5">
      <c r="E726" s="256"/>
    </row>
    <row r="727" spans="5:5">
      <c r="E727" s="256"/>
    </row>
    <row r="728" spans="5:5">
      <c r="E728" s="256"/>
    </row>
    <row r="729" spans="5:5">
      <c r="E729" s="256"/>
    </row>
    <row r="730" spans="5:5">
      <c r="E730" s="256"/>
    </row>
    <row r="731" spans="5:5">
      <c r="E731" s="256"/>
    </row>
    <row r="732" spans="5:5">
      <c r="E732" s="256"/>
    </row>
    <row r="733" spans="5:5">
      <c r="E733" s="256"/>
    </row>
    <row r="734" spans="5:5">
      <c r="E734" s="256"/>
    </row>
    <row r="735" spans="5:5">
      <c r="E735" s="256"/>
    </row>
    <row r="736" spans="5:5">
      <c r="E736" s="256"/>
    </row>
    <row r="737" spans="5:5">
      <c r="E737" s="256"/>
    </row>
    <row r="738" spans="5:5">
      <c r="E738" s="256"/>
    </row>
    <row r="739" spans="5:5">
      <c r="E739" s="256"/>
    </row>
    <row r="740" spans="5:5">
      <c r="E740" s="256"/>
    </row>
    <row r="741" spans="5:5">
      <c r="E741" s="256"/>
    </row>
    <row r="742" spans="5:5">
      <c r="E742" s="256"/>
    </row>
    <row r="743" spans="5:5">
      <c r="E743" s="256"/>
    </row>
    <row r="744" spans="5:5">
      <c r="E744" s="256"/>
    </row>
    <row r="745" spans="5:5">
      <c r="E745" s="256"/>
    </row>
    <row r="746" spans="5:5">
      <c r="E746" s="256"/>
    </row>
    <row r="747" spans="5:5">
      <c r="E747" s="256"/>
    </row>
    <row r="748" spans="5:5">
      <c r="E748" s="256"/>
    </row>
    <row r="749" spans="5:5">
      <c r="E749" s="256"/>
    </row>
    <row r="750" spans="5:5">
      <c r="E750" s="256"/>
    </row>
    <row r="751" spans="5:5">
      <c r="E751" s="256"/>
    </row>
    <row r="752" spans="5:5">
      <c r="E752" s="256"/>
    </row>
    <row r="753" spans="5:5">
      <c r="E753" s="256"/>
    </row>
    <row r="754" spans="5:5">
      <c r="E754" s="256"/>
    </row>
    <row r="755" spans="5:5">
      <c r="E755" s="256"/>
    </row>
    <row r="756" spans="5:5">
      <c r="E756" s="256"/>
    </row>
    <row r="757" spans="5:5">
      <c r="E757" s="256"/>
    </row>
    <row r="758" spans="5:5">
      <c r="E758" s="256"/>
    </row>
    <row r="759" spans="5:5">
      <c r="E759" s="256"/>
    </row>
    <row r="760" spans="5:5">
      <c r="E760" s="256"/>
    </row>
    <row r="761" spans="5:5">
      <c r="E761" s="256"/>
    </row>
    <row r="762" spans="5:5">
      <c r="E762" s="256"/>
    </row>
    <row r="763" spans="5:5">
      <c r="E763" s="256"/>
    </row>
    <row r="764" spans="5:5">
      <c r="E764" s="256"/>
    </row>
    <row r="765" spans="5:5">
      <c r="E765" s="256"/>
    </row>
    <row r="766" spans="5:5">
      <c r="E766" s="256"/>
    </row>
    <row r="767" spans="5:5">
      <c r="E767" s="256"/>
    </row>
    <row r="768" spans="5:5">
      <c r="E768" s="256"/>
    </row>
    <row r="769" spans="5:5">
      <c r="E769" s="256"/>
    </row>
    <row r="770" spans="5:5">
      <c r="E770" s="256"/>
    </row>
    <row r="771" spans="5:5">
      <c r="E771" s="256"/>
    </row>
    <row r="772" spans="5:5">
      <c r="E772" s="256"/>
    </row>
    <row r="773" spans="5:5">
      <c r="E773" s="256"/>
    </row>
    <row r="774" spans="5:5">
      <c r="E774" s="256"/>
    </row>
    <row r="775" spans="5:5">
      <c r="E775" s="256"/>
    </row>
    <row r="776" spans="5:5">
      <c r="E776" s="256"/>
    </row>
    <row r="777" spans="5:5">
      <c r="E777" s="256"/>
    </row>
    <row r="778" spans="5:5">
      <c r="E778" s="256"/>
    </row>
    <row r="779" spans="5:5">
      <c r="E779" s="256"/>
    </row>
    <row r="780" spans="5:5">
      <c r="E780" s="256"/>
    </row>
    <row r="781" spans="5:5">
      <c r="E781" s="256"/>
    </row>
    <row r="782" spans="5:5">
      <c r="E782" s="256"/>
    </row>
    <row r="783" spans="5:5">
      <c r="E783" s="256"/>
    </row>
    <row r="784" spans="5:5">
      <c r="E784" s="256"/>
    </row>
    <row r="785" spans="5:5">
      <c r="E785" s="256"/>
    </row>
    <row r="786" spans="5:5">
      <c r="E786" s="256"/>
    </row>
    <row r="787" spans="5:5">
      <c r="E787" s="256"/>
    </row>
    <row r="788" spans="5:5">
      <c r="E788" s="256"/>
    </row>
    <row r="789" spans="5:5">
      <c r="E789" s="256"/>
    </row>
    <row r="790" spans="5:5">
      <c r="E790" s="256"/>
    </row>
    <row r="791" spans="5:5">
      <c r="E791" s="256"/>
    </row>
    <row r="792" spans="5:5">
      <c r="E792" s="256"/>
    </row>
    <row r="793" spans="5:5">
      <c r="E793" s="256"/>
    </row>
    <row r="794" spans="5:5">
      <c r="E794" s="256"/>
    </row>
    <row r="795" spans="5:5">
      <c r="E795" s="256"/>
    </row>
    <row r="796" spans="5:5">
      <c r="E796" s="256"/>
    </row>
    <row r="797" spans="5:5">
      <c r="E797" s="256"/>
    </row>
    <row r="798" spans="5:5">
      <c r="E798" s="256"/>
    </row>
    <row r="799" spans="5:5">
      <c r="E799" s="256"/>
    </row>
    <row r="800" spans="5:5">
      <c r="E800" s="256"/>
    </row>
    <row r="801" spans="5:5">
      <c r="E801" s="256"/>
    </row>
    <row r="802" spans="5:5">
      <c r="E802" s="256"/>
    </row>
    <row r="803" spans="5:5">
      <c r="E803" s="256"/>
    </row>
    <row r="804" spans="5:5">
      <c r="E804" s="256"/>
    </row>
    <row r="805" spans="5:5">
      <c r="E805" s="256"/>
    </row>
    <row r="806" spans="5:5">
      <c r="E806" s="256"/>
    </row>
    <row r="807" spans="5:5">
      <c r="E807" s="256"/>
    </row>
    <row r="808" spans="5:5">
      <c r="E808" s="256"/>
    </row>
    <row r="809" spans="5:5">
      <c r="E809" s="256"/>
    </row>
    <row r="810" spans="5:5">
      <c r="E810" s="256"/>
    </row>
    <row r="811" spans="5:5">
      <c r="E811" s="256"/>
    </row>
    <row r="812" spans="5:5">
      <c r="E812" s="256"/>
    </row>
    <row r="813" spans="5:5">
      <c r="E813" s="256"/>
    </row>
    <row r="814" spans="5:5">
      <c r="E814" s="256"/>
    </row>
    <row r="815" spans="5:5">
      <c r="E815" s="256"/>
    </row>
    <row r="816" spans="5:5">
      <c r="E816" s="256"/>
    </row>
    <row r="817" spans="5:5">
      <c r="E817" s="256"/>
    </row>
    <row r="818" spans="5:5">
      <c r="E818" s="256"/>
    </row>
    <row r="819" spans="5:5">
      <c r="E819" s="256"/>
    </row>
    <row r="820" spans="5:5">
      <c r="E820" s="256"/>
    </row>
    <row r="821" spans="5:5">
      <c r="E821" s="256"/>
    </row>
    <row r="822" spans="5:5">
      <c r="E822" s="256"/>
    </row>
    <row r="823" spans="5:5">
      <c r="E823" s="256"/>
    </row>
    <row r="824" spans="5:5">
      <c r="E824" s="256"/>
    </row>
    <row r="825" spans="5:5">
      <c r="E825" s="256"/>
    </row>
    <row r="826" spans="5:5">
      <c r="E826" s="256"/>
    </row>
    <row r="827" spans="5:5">
      <c r="E827" s="256"/>
    </row>
    <row r="828" spans="5:5">
      <c r="E828" s="256"/>
    </row>
    <row r="829" spans="5:5">
      <c r="E829" s="256"/>
    </row>
    <row r="830" spans="5:5">
      <c r="E830" s="256"/>
    </row>
    <row r="831" spans="5:5">
      <c r="E831" s="256"/>
    </row>
    <row r="832" spans="5:5">
      <c r="E832" s="256"/>
    </row>
    <row r="833" spans="5:5">
      <c r="E833" s="256"/>
    </row>
    <row r="834" spans="5:5">
      <c r="E834" s="256"/>
    </row>
    <row r="835" spans="5:5">
      <c r="E835" s="256"/>
    </row>
    <row r="836" spans="5:5">
      <c r="E836" s="256"/>
    </row>
    <row r="837" spans="5:5">
      <c r="E837" s="256"/>
    </row>
    <row r="838" spans="5:5">
      <c r="E838" s="256"/>
    </row>
    <row r="839" spans="5:5">
      <c r="E839" s="256"/>
    </row>
    <row r="840" spans="5:5">
      <c r="E840" s="256"/>
    </row>
    <row r="841" spans="5:5">
      <c r="E841" s="256"/>
    </row>
    <row r="842" spans="5:5">
      <c r="E842" s="256"/>
    </row>
    <row r="843" spans="5:5">
      <c r="E843" s="256"/>
    </row>
    <row r="844" spans="5:5">
      <c r="E844" s="256"/>
    </row>
    <row r="845" spans="5:5">
      <c r="E845" s="256"/>
    </row>
    <row r="846" spans="5:5">
      <c r="E846" s="256"/>
    </row>
    <row r="847" spans="5:5">
      <c r="E847" s="256"/>
    </row>
    <row r="848" spans="5:5">
      <c r="E848" s="256"/>
    </row>
    <row r="849" spans="5:5">
      <c r="E849" s="256"/>
    </row>
    <row r="850" spans="5:5">
      <c r="E850" s="256"/>
    </row>
    <row r="851" spans="5:5">
      <c r="E851" s="256"/>
    </row>
    <row r="852" spans="5:5">
      <c r="E852" s="256"/>
    </row>
    <row r="853" spans="5:5">
      <c r="E853" s="256"/>
    </row>
    <row r="854" spans="5:5">
      <c r="E854" s="256"/>
    </row>
    <row r="855" spans="5:5">
      <c r="E855" s="256"/>
    </row>
    <row r="856" spans="5:5">
      <c r="E856" s="256"/>
    </row>
    <row r="857" spans="5:5">
      <c r="E857" s="256"/>
    </row>
    <row r="858" spans="5:5">
      <c r="E858" s="256"/>
    </row>
    <row r="859" spans="5:5">
      <c r="E859" s="256"/>
    </row>
    <row r="860" spans="5:5">
      <c r="E860" s="256"/>
    </row>
    <row r="861" spans="5:5">
      <c r="E861" s="256"/>
    </row>
    <row r="862" spans="5:5">
      <c r="E862" s="256"/>
    </row>
    <row r="863" spans="5:5">
      <c r="E863" s="256"/>
    </row>
    <row r="864" spans="5:5">
      <c r="E864" s="256"/>
    </row>
    <row r="865" spans="5:5">
      <c r="E865" s="256"/>
    </row>
    <row r="866" spans="5:5">
      <c r="E866" s="256"/>
    </row>
    <row r="867" spans="5:5">
      <c r="E867" s="256"/>
    </row>
    <row r="868" spans="5:5">
      <c r="E868" s="256"/>
    </row>
    <row r="869" spans="5:5">
      <c r="E869" s="256"/>
    </row>
    <row r="870" spans="5:5">
      <c r="E870" s="256"/>
    </row>
    <row r="871" spans="5:5">
      <c r="E871" s="256"/>
    </row>
    <row r="872" spans="5:5">
      <c r="E872" s="256"/>
    </row>
    <row r="873" spans="5:5">
      <c r="E873" s="256"/>
    </row>
    <row r="874" spans="5:5">
      <c r="E874" s="256"/>
    </row>
    <row r="875" spans="5:5">
      <c r="E875" s="256"/>
    </row>
    <row r="876" spans="5:5">
      <c r="E876" s="256"/>
    </row>
    <row r="877" spans="5:5">
      <c r="E877" s="256"/>
    </row>
    <row r="878" spans="5:5">
      <c r="E878" s="256"/>
    </row>
    <row r="879" spans="5:5">
      <c r="E879" s="256"/>
    </row>
    <row r="880" spans="5:5">
      <c r="E880" s="256"/>
    </row>
    <row r="881" spans="5:5">
      <c r="E881" s="256"/>
    </row>
    <row r="882" spans="5:5">
      <c r="E882" s="256"/>
    </row>
    <row r="883" spans="5:5">
      <c r="E883" s="256"/>
    </row>
    <row r="884" spans="5:5">
      <c r="E884" s="256"/>
    </row>
    <row r="885" spans="5:5">
      <c r="E885" s="256"/>
    </row>
    <row r="886" spans="5:5">
      <c r="E886" s="256"/>
    </row>
    <row r="887" spans="5:5">
      <c r="E887" s="256"/>
    </row>
    <row r="888" spans="5:5">
      <c r="E888" s="256"/>
    </row>
    <row r="889" spans="5:5">
      <c r="E889" s="256"/>
    </row>
    <row r="890" spans="5:5">
      <c r="E890" s="256"/>
    </row>
    <row r="891" spans="5:5">
      <c r="E891" s="256"/>
    </row>
    <row r="892" spans="5:5">
      <c r="E892" s="256"/>
    </row>
    <row r="893" spans="5:5">
      <c r="E893" s="256"/>
    </row>
    <row r="894" spans="5:5">
      <c r="E894" s="256"/>
    </row>
    <row r="895" spans="5:5">
      <c r="E895" s="256"/>
    </row>
    <row r="896" spans="5:5">
      <c r="E896" s="256"/>
    </row>
    <row r="897" spans="5:5">
      <c r="E897" s="256"/>
    </row>
    <row r="898" spans="5:5">
      <c r="E898" s="256"/>
    </row>
    <row r="899" spans="5:5">
      <c r="E899" s="256"/>
    </row>
    <row r="900" spans="5:5">
      <c r="E900" s="256"/>
    </row>
    <row r="901" spans="5:5">
      <c r="E901" s="256"/>
    </row>
    <row r="902" spans="5:5">
      <c r="E902" s="256"/>
    </row>
    <row r="903" spans="5:5">
      <c r="E903" s="256"/>
    </row>
    <row r="904" spans="5:5">
      <c r="E904" s="256"/>
    </row>
    <row r="905" spans="5:5">
      <c r="E905" s="256"/>
    </row>
    <row r="906" spans="5:5">
      <c r="E906" s="256"/>
    </row>
    <row r="907" spans="5:5">
      <c r="E907" s="256"/>
    </row>
    <row r="908" spans="5:5">
      <c r="E908" s="256"/>
    </row>
    <row r="909" spans="5:5">
      <c r="E909" s="256"/>
    </row>
    <row r="910" spans="5:5">
      <c r="E910" s="256"/>
    </row>
    <row r="911" spans="5:5">
      <c r="E911" s="256"/>
    </row>
    <row r="912" spans="5:5">
      <c r="E912" s="256"/>
    </row>
    <row r="913" spans="5:5">
      <c r="E913" s="256"/>
    </row>
    <row r="914" spans="5:5">
      <c r="E914" s="256"/>
    </row>
    <row r="915" spans="5:5">
      <c r="E915" s="256"/>
    </row>
    <row r="916" spans="5:5">
      <c r="E916" s="256"/>
    </row>
    <row r="917" spans="5:5">
      <c r="E917" s="256"/>
    </row>
    <row r="918" spans="5:5">
      <c r="E918" s="256"/>
    </row>
    <row r="919" spans="5:5">
      <c r="E919" s="256"/>
    </row>
    <row r="920" spans="5:5">
      <c r="E920" s="256"/>
    </row>
    <row r="921" spans="5:5">
      <c r="E921" s="256"/>
    </row>
    <row r="922" spans="5:5">
      <c r="E922" s="256"/>
    </row>
    <row r="923" spans="5:5">
      <c r="E923" s="256"/>
    </row>
    <row r="924" spans="5:5">
      <c r="E924" s="256"/>
    </row>
    <row r="925" spans="5:5">
      <c r="E925" s="256"/>
    </row>
    <row r="926" spans="5:5">
      <c r="E926" s="256"/>
    </row>
    <row r="927" spans="5:5">
      <c r="E927" s="256"/>
    </row>
    <row r="928" spans="5:5">
      <c r="E928" s="256"/>
    </row>
    <row r="929" spans="5:5">
      <c r="E929" s="256"/>
    </row>
    <row r="930" spans="5:5">
      <c r="E930" s="256"/>
    </row>
    <row r="931" spans="5:5">
      <c r="E931" s="256"/>
    </row>
    <row r="932" spans="5:5">
      <c r="E932" s="256"/>
    </row>
    <row r="933" spans="5:5">
      <c r="E933" s="256"/>
    </row>
    <row r="934" spans="5:5">
      <c r="E934" s="256"/>
    </row>
    <row r="935" spans="5:5">
      <c r="E935" s="256"/>
    </row>
    <row r="936" spans="5:5">
      <c r="E936" s="256"/>
    </row>
    <row r="937" spans="5:5">
      <c r="E937" s="256"/>
    </row>
    <row r="938" spans="5:5">
      <c r="E938" s="256"/>
    </row>
    <row r="939" spans="5:5">
      <c r="E939" s="256"/>
    </row>
    <row r="940" spans="5:5">
      <c r="E940" s="256"/>
    </row>
    <row r="941" spans="5:5">
      <c r="E941" s="256"/>
    </row>
    <row r="942" spans="5:5">
      <c r="E942" s="256"/>
    </row>
    <row r="943" spans="5:5">
      <c r="E943" s="256"/>
    </row>
    <row r="944" spans="5:5">
      <c r="E944" s="256"/>
    </row>
    <row r="945" spans="5:5">
      <c r="E945" s="256"/>
    </row>
    <row r="946" spans="5:5">
      <c r="E946" s="256"/>
    </row>
    <row r="947" spans="5:5">
      <c r="E947" s="256"/>
    </row>
    <row r="948" spans="5:5">
      <c r="E948" s="256"/>
    </row>
    <row r="949" spans="5:5">
      <c r="E949" s="256"/>
    </row>
    <row r="950" spans="5:5">
      <c r="E950" s="256"/>
    </row>
    <row r="951" spans="5:5">
      <c r="E951" s="256"/>
    </row>
    <row r="952" spans="5:5">
      <c r="E952" s="256"/>
    </row>
    <row r="953" spans="5:5">
      <c r="E953" s="256"/>
    </row>
    <row r="954" spans="5:5">
      <c r="E954" s="256"/>
    </row>
    <row r="955" spans="5:5">
      <c r="E955" s="256"/>
    </row>
    <row r="956" spans="5:5">
      <c r="E956" s="256"/>
    </row>
    <row r="957" spans="5:5">
      <c r="E957" s="256"/>
    </row>
    <row r="958" spans="5:5">
      <c r="E958" s="256"/>
    </row>
    <row r="959" spans="5:5">
      <c r="E959" s="256"/>
    </row>
    <row r="960" spans="5:5">
      <c r="E960" s="256"/>
    </row>
    <row r="961" spans="5:5">
      <c r="E961" s="256"/>
    </row>
    <row r="962" spans="5:5">
      <c r="E962" s="256"/>
    </row>
    <row r="963" spans="5:5">
      <c r="E963" s="256"/>
    </row>
    <row r="964" spans="5:5">
      <c r="E964" s="256"/>
    </row>
    <row r="965" spans="5:5">
      <c r="E965" s="256"/>
    </row>
    <row r="966" spans="5:5">
      <c r="E966" s="256"/>
    </row>
    <row r="967" spans="5:5">
      <c r="E967" s="256"/>
    </row>
    <row r="968" spans="5:5">
      <c r="E968" s="256"/>
    </row>
    <row r="969" spans="5:5">
      <c r="E969" s="256"/>
    </row>
    <row r="970" spans="5:5">
      <c r="E970" s="256"/>
    </row>
    <row r="971" spans="5:5">
      <c r="E971" s="256"/>
    </row>
    <row r="972" spans="5:5">
      <c r="E972" s="256"/>
    </row>
    <row r="973" spans="5:5">
      <c r="E973" s="256"/>
    </row>
    <row r="974" spans="5:5">
      <c r="E974" s="256"/>
    </row>
    <row r="975" spans="5:5">
      <c r="E975" s="256"/>
    </row>
    <row r="976" spans="5:5">
      <c r="E976" s="256"/>
    </row>
    <row r="977" spans="5:5">
      <c r="E977" s="256"/>
    </row>
    <row r="978" spans="5:5">
      <c r="E978" s="256"/>
    </row>
    <row r="979" spans="5:5">
      <c r="E979" s="256"/>
    </row>
    <row r="980" spans="5:5">
      <c r="E980" s="256"/>
    </row>
    <row r="981" spans="5:5">
      <c r="E981" s="256"/>
    </row>
    <row r="982" spans="5:5">
      <c r="E982" s="256"/>
    </row>
    <row r="983" spans="5:5">
      <c r="E983" s="256"/>
    </row>
    <row r="984" spans="5:5">
      <c r="E984" s="256"/>
    </row>
    <row r="985" spans="5:5">
      <c r="E985" s="256"/>
    </row>
    <row r="986" spans="5:5">
      <c r="E986" s="256"/>
    </row>
    <row r="987" spans="5:5">
      <c r="E987" s="256"/>
    </row>
    <row r="988" spans="5:5">
      <c r="E988" s="256"/>
    </row>
    <row r="989" spans="5:5">
      <c r="E989" s="256"/>
    </row>
    <row r="990" spans="5:5">
      <c r="E990" s="256"/>
    </row>
    <row r="991" spans="5:5">
      <c r="E991" s="256"/>
    </row>
    <row r="992" spans="5:5">
      <c r="E992" s="256"/>
    </row>
    <row r="993" spans="5:5">
      <c r="E993" s="256"/>
    </row>
    <row r="994" spans="5:5">
      <c r="E994" s="256"/>
    </row>
    <row r="995" spans="5:5">
      <c r="E995" s="256"/>
    </row>
    <row r="996" spans="5:5">
      <c r="E996" s="256"/>
    </row>
    <row r="997" spans="5:5">
      <c r="E997" s="256"/>
    </row>
    <row r="998" spans="5:5">
      <c r="E998" s="256"/>
    </row>
    <row r="999" spans="5:5">
      <c r="E999" s="256"/>
    </row>
    <row r="1000" spans="5:5">
      <c r="E1000" s="256"/>
    </row>
    <row r="1001" spans="5:5">
      <c r="E1001" s="25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3" max="3" width="27.7109375" customWidth="1"/>
  </cols>
  <sheetData>
    <row r="1" spans="1:25" ht="80.25" customHeight="1">
      <c r="A1" s="1" t="s">
        <v>0</v>
      </c>
      <c r="B1" s="1" t="s">
        <v>2</v>
      </c>
      <c r="C1" s="6" t="s">
        <v>3</v>
      </c>
      <c r="D1" s="224" t="s">
        <v>4</v>
      </c>
      <c r="E1" s="5" t="s">
        <v>5</v>
      </c>
      <c r="F1" s="7" t="s">
        <v>672</v>
      </c>
      <c r="G1" s="7" t="s">
        <v>673</v>
      </c>
      <c r="H1" s="8" t="s">
        <v>8</v>
      </c>
      <c r="I1" s="9" t="s">
        <v>9</v>
      </c>
      <c r="J1" s="7" t="s">
        <v>10</v>
      </c>
      <c r="K1" s="7" t="s">
        <v>20</v>
      </c>
      <c r="L1" s="6" t="s">
        <v>21</v>
      </c>
      <c r="M1" s="7" t="s">
        <v>674</v>
      </c>
      <c r="N1" s="7" t="s">
        <v>675</v>
      </c>
      <c r="O1" s="7" t="s">
        <v>676</v>
      </c>
      <c r="P1" s="10" t="s">
        <v>677</v>
      </c>
      <c r="Q1" s="14" t="s">
        <v>19</v>
      </c>
      <c r="R1" s="10" t="s">
        <v>678</v>
      </c>
      <c r="S1" s="10" t="s">
        <v>679</v>
      </c>
      <c r="T1" s="225" t="s">
        <v>680</v>
      </c>
      <c r="U1" s="225" t="s">
        <v>681</v>
      </c>
      <c r="V1" s="10" t="s">
        <v>682</v>
      </c>
      <c r="W1" s="10" t="s">
        <v>683</v>
      </c>
      <c r="X1" s="10" t="s">
        <v>684</v>
      </c>
      <c r="Y1" s="10" t="s">
        <v>685</v>
      </c>
    </row>
    <row r="2" spans="1:25" ht="54" customHeight="1">
      <c r="A2" s="25" t="s">
        <v>313</v>
      </c>
      <c r="B2" s="13"/>
      <c r="C2" s="25" t="s">
        <v>49</v>
      </c>
      <c r="D2" s="226" t="s">
        <v>50</v>
      </c>
      <c r="E2" s="29">
        <v>45246</v>
      </c>
      <c r="F2" s="25" t="s">
        <v>51</v>
      </c>
      <c r="G2" s="30" t="s">
        <v>34</v>
      </c>
      <c r="H2" s="31" t="s">
        <v>52</v>
      </c>
      <c r="I2" s="18" t="s">
        <v>53</v>
      </c>
      <c r="J2" s="32" t="s">
        <v>54</v>
      </c>
      <c r="K2" s="30" t="s">
        <v>58</v>
      </c>
      <c r="L2" s="30" t="s">
        <v>59</v>
      </c>
      <c r="M2" s="25" t="s">
        <v>686</v>
      </c>
      <c r="N2" s="25"/>
      <c r="O2" s="25"/>
      <c r="P2" s="30" t="s">
        <v>45</v>
      </c>
      <c r="Q2" s="30" t="s">
        <v>57</v>
      </c>
      <c r="R2" s="30"/>
      <c r="S2" s="30"/>
      <c r="T2" s="30"/>
      <c r="U2" s="30"/>
      <c r="V2" s="30"/>
      <c r="W2" s="30"/>
      <c r="X2" s="30"/>
      <c r="Y2" s="30"/>
    </row>
    <row r="3" spans="1:25" ht="54" customHeight="1">
      <c r="A3" s="25" t="s">
        <v>29</v>
      </c>
      <c r="B3" s="13"/>
      <c r="C3" s="25" t="s">
        <v>62</v>
      </c>
      <c r="D3" s="226" t="s">
        <v>63</v>
      </c>
      <c r="E3" s="29">
        <v>45254</v>
      </c>
      <c r="F3" s="25" t="s">
        <v>64</v>
      </c>
      <c r="G3" s="30" t="s">
        <v>65</v>
      </c>
      <c r="H3" s="31" t="s">
        <v>66</v>
      </c>
      <c r="I3" s="18" t="s">
        <v>36</v>
      </c>
      <c r="J3" s="32" t="s">
        <v>67</v>
      </c>
      <c r="K3" s="30" t="s">
        <v>42</v>
      </c>
      <c r="L3" s="30" t="s">
        <v>43</v>
      </c>
      <c r="M3" s="25" t="s">
        <v>71</v>
      </c>
      <c r="N3" s="25" t="s">
        <v>554</v>
      </c>
      <c r="O3" s="25" t="s">
        <v>69</v>
      </c>
      <c r="P3" s="30" t="s">
        <v>72</v>
      </c>
      <c r="Q3" s="30" t="s">
        <v>70</v>
      </c>
      <c r="R3" s="30"/>
      <c r="S3" s="30"/>
      <c r="T3" s="30"/>
      <c r="U3" s="30"/>
      <c r="V3" s="30"/>
      <c r="W3" s="30"/>
      <c r="X3" s="30"/>
      <c r="Y3" s="30"/>
    </row>
    <row r="4" spans="1:25" ht="51.75" customHeight="1">
      <c r="A4" s="25" t="s">
        <v>29</v>
      </c>
      <c r="B4" s="13"/>
      <c r="C4" s="25" t="s">
        <v>74</v>
      </c>
      <c r="D4" s="227" t="s">
        <v>75</v>
      </c>
      <c r="E4" s="34">
        <v>45328</v>
      </c>
      <c r="F4" s="36" t="s">
        <v>76</v>
      </c>
      <c r="G4" s="30" t="s">
        <v>65</v>
      </c>
      <c r="H4" s="31" t="s">
        <v>77</v>
      </c>
      <c r="I4" s="18" t="s">
        <v>36</v>
      </c>
      <c r="J4" s="32" t="s">
        <v>78</v>
      </c>
      <c r="K4" s="30" t="s">
        <v>79</v>
      </c>
      <c r="L4" s="30" t="s">
        <v>80</v>
      </c>
      <c r="M4" s="25" t="s">
        <v>81</v>
      </c>
      <c r="N4" s="25" t="s">
        <v>554</v>
      </c>
      <c r="O4" s="25" t="s">
        <v>687</v>
      </c>
      <c r="P4" s="25" t="s">
        <v>82</v>
      </c>
      <c r="Q4" s="39"/>
      <c r="R4" s="228"/>
      <c r="S4" s="228"/>
      <c r="T4" s="25"/>
      <c r="U4" s="25"/>
      <c r="V4" s="25"/>
      <c r="W4" s="25"/>
      <c r="X4" s="25"/>
      <c r="Y4" s="25"/>
    </row>
    <row r="5" spans="1:25" ht="84">
      <c r="A5" s="25" t="s">
        <v>313</v>
      </c>
      <c r="B5" s="13"/>
      <c r="C5" s="25" t="s">
        <v>94</v>
      </c>
      <c r="D5" s="227" t="s">
        <v>95</v>
      </c>
      <c r="E5" s="34">
        <v>45331</v>
      </c>
      <c r="F5" s="229" t="s">
        <v>96</v>
      </c>
      <c r="G5" s="30" t="s">
        <v>65</v>
      </c>
      <c r="H5" s="31" t="s">
        <v>97</v>
      </c>
      <c r="I5" s="18" t="s">
        <v>36</v>
      </c>
      <c r="J5" s="32" t="s">
        <v>98</v>
      </c>
      <c r="K5" s="30" t="s">
        <v>79</v>
      </c>
      <c r="L5" s="30" t="s">
        <v>100</v>
      </c>
      <c r="M5" s="25"/>
      <c r="N5" s="25"/>
      <c r="O5" s="25"/>
      <c r="P5" s="43" t="s">
        <v>101</v>
      </c>
      <c r="Q5" s="39"/>
      <c r="R5" s="228"/>
      <c r="S5" s="228"/>
      <c r="T5" s="25"/>
      <c r="U5" s="25"/>
      <c r="V5" s="25"/>
      <c r="W5" s="25"/>
      <c r="X5" s="25"/>
      <c r="Y5" s="25"/>
    </row>
    <row r="6" spans="1:25" ht="36">
      <c r="A6" s="25" t="s">
        <v>117</v>
      </c>
      <c r="B6" s="13"/>
      <c r="C6" s="26" t="s">
        <v>118</v>
      </c>
      <c r="D6" s="227" t="s">
        <v>119</v>
      </c>
      <c r="E6" s="34">
        <v>45320</v>
      </c>
      <c r="F6" s="25" t="s">
        <v>688</v>
      </c>
      <c r="G6" s="30" t="s">
        <v>121</v>
      </c>
      <c r="H6" s="31" t="s">
        <v>77</v>
      </c>
      <c r="I6" s="18" t="s">
        <v>36</v>
      </c>
      <c r="J6" s="32" t="s">
        <v>78</v>
      </c>
      <c r="K6" s="30" t="s">
        <v>123</v>
      </c>
      <c r="L6" s="30" t="s">
        <v>124</v>
      </c>
      <c r="M6" s="25"/>
      <c r="N6" s="25"/>
      <c r="O6" s="25"/>
      <c r="P6" s="36" t="s">
        <v>45</v>
      </c>
      <c r="Q6" s="39"/>
      <c r="R6" s="228"/>
      <c r="S6" s="228"/>
      <c r="T6" s="25"/>
      <c r="U6" s="25"/>
      <c r="V6" s="25"/>
      <c r="W6" s="25"/>
      <c r="X6" s="25"/>
      <c r="Y6" s="25"/>
    </row>
    <row r="7" spans="1:25" ht="48">
      <c r="A7" s="25" t="s">
        <v>125</v>
      </c>
      <c r="B7" s="13" t="s">
        <v>126</v>
      </c>
      <c r="C7" s="26" t="s">
        <v>127</v>
      </c>
      <c r="D7" s="227" t="s">
        <v>128</v>
      </c>
      <c r="E7" s="34">
        <v>45365</v>
      </c>
      <c r="F7" s="25" t="s">
        <v>129</v>
      </c>
      <c r="G7" s="30" t="s">
        <v>34</v>
      </c>
      <c r="H7" s="31" t="s">
        <v>130</v>
      </c>
      <c r="I7" s="18" t="s">
        <v>36</v>
      </c>
      <c r="J7" s="32" t="s">
        <v>78</v>
      </c>
      <c r="K7" s="30" t="s">
        <v>123</v>
      </c>
      <c r="L7" s="30" t="s">
        <v>133</v>
      </c>
      <c r="M7" s="25">
        <v>2024</v>
      </c>
      <c r="N7" s="25" t="s">
        <v>554</v>
      </c>
      <c r="O7" s="25" t="s">
        <v>554</v>
      </c>
      <c r="P7" s="36" t="s">
        <v>134</v>
      </c>
      <c r="Q7" s="39"/>
      <c r="R7" s="228"/>
      <c r="S7" s="228"/>
      <c r="T7" s="25"/>
      <c r="U7" s="25"/>
      <c r="V7" s="25"/>
      <c r="W7" s="25"/>
      <c r="X7" s="25"/>
      <c r="Y7" s="25"/>
    </row>
    <row r="8" spans="1:25" ht="48">
      <c r="A8" s="25" t="s">
        <v>125</v>
      </c>
      <c r="B8" s="13" t="s">
        <v>135</v>
      </c>
      <c r="C8" s="26" t="s">
        <v>136</v>
      </c>
      <c r="D8" s="227" t="s">
        <v>137</v>
      </c>
      <c r="E8" s="34">
        <v>45370</v>
      </c>
      <c r="F8" s="25" t="s">
        <v>138</v>
      </c>
      <c r="G8" s="30" t="s">
        <v>34</v>
      </c>
      <c r="H8" s="31" t="s">
        <v>77</v>
      </c>
      <c r="I8" s="18" t="s">
        <v>36</v>
      </c>
      <c r="J8" s="32" t="s">
        <v>122</v>
      </c>
      <c r="K8" s="30" t="s">
        <v>141</v>
      </c>
      <c r="L8" s="30" t="s">
        <v>142</v>
      </c>
      <c r="M8" s="25" t="s">
        <v>143</v>
      </c>
      <c r="N8" s="25" t="s">
        <v>554</v>
      </c>
      <c r="O8" s="25" t="s">
        <v>554</v>
      </c>
      <c r="P8" s="25" t="s">
        <v>45</v>
      </c>
      <c r="Q8" s="39"/>
      <c r="R8" s="228"/>
      <c r="S8" s="228"/>
      <c r="T8" s="25"/>
      <c r="U8" s="25"/>
      <c r="V8" s="25"/>
      <c r="W8" s="25"/>
      <c r="X8" s="25"/>
      <c r="Y8" s="25"/>
    </row>
    <row r="9" spans="1:25" ht="72">
      <c r="A9" s="25" t="s">
        <v>46</v>
      </c>
      <c r="B9" s="13" t="s">
        <v>126</v>
      </c>
      <c r="C9" s="26" t="s">
        <v>144</v>
      </c>
      <c r="D9" s="227" t="s">
        <v>145</v>
      </c>
      <c r="E9" s="34">
        <v>45371</v>
      </c>
      <c r="F9" s="25" t="s">
        <v>146</v>
      </c>
      <c r="G9" s="30" t="s">
        <v>34</v>
      </c>
      <c r="H9" s="31" t="s">
        <v>130</v>
      </c>
      <c r="I9" s="18" t="s">
        <v>36</v>
      </c>
      <c r="J9" s="32" t="s">
        <v>78</v>
      </c>
      <c r="K9" s="30" t="s">
        <v>123</v>
      </c>
      <c r="L9" s="30" t="s">
        <v>147</v>
      </c>
      <c r="M9" s="25" t="s">
        <v>148</v>
      </c>
      <c r="N9" s="25" t="s">
        <v>40</v>
      </c>
      <c r="O9" s="25" t="s">
        <v>554</v>
      </c>
      <c r="P9" s="36" t="s">
        <v>134</v>
      </c>
      <c r="Q9" s="51"/>
      <c r="R9" s="228"/>
      <c r="S9" s="228"/>
      <c r="T9" s="25"/>
      <c r="U9" s="25"/>
      <c r="V9" s="25"/>
      <c r="W9" s="25"/>
      <c r="X9" s="25"/>
      <c r="Y9" s="25"/>
    </row>
    <row r="10" spans="1:25" ht="72">
      <c r="A10" s="25" t="s">
        <v>313</v>
      </c>
      <c r="B10" s="13" t="s">
        <v>160</v>
      </c>
      <c r="C10" s="26" t="s">
        <v>161</v>
      </c>
      <c r="D10" s="227" t="s">
        <v>162</v>
      </c>
      <c r="E10" s="34">
        <v>45400</v>
      </c>
      <c r="F10" s="25" t="s">
        <v>163</v>
      </c>
      <c r="G10" s="30" t="s">
        <v>34</v>
      </c>
      <c r="H10" s="31" t="s">
        <v>97</v>
      </c>
      <c r="I10" s="18" t="s">
        <v>36</v>
      </c>
      <c r="J10" s="32" t="s">
        <v>98</v>
      </c>
      <c r="K10" s="30" t="s">
        <v>165</v>
      </c>
      <c r="L10" s="30" t="s">
        <v>689</v>
      </c>
      <c r="M10" s="25"/>
      <c r="N10" s="25" t="s">
        <v>132</v>
      </c>
      <c r="O10" s="25" t="s">
        <v>132</v>
      </c>
      <c r="P10" s="25" t="s">
        <v>45</v>
      </c>
      <c r="Q10" s="25"/>
      <c r="R10" s="228"/>
      <c r="S10" s="228"/>
      <c r="T10" s="25"/>
      <c r="U10" s="25"/>
      <c r="V10" s="25"/>
      <c r="W10" s="25"/>
      <c r="X10" s="25"/>
      <c r="Y10" s="25"/>
    </row>
    <row r="11" spans="1:25" ht="51.75" customHeight="1">
      <c r="A11" s="25" t="s">
        <v>325</v>
      </c>
      <c r="B11" s="13"/>
      <c r="C11" s="230" t="s">
        <v>216</v>
      </c>
      <c r="D11" s="73" t="s">
        <v>217</v>
      </c>
      <c r="E11" s="63">
        <v>45428</v>
      </c>
      <c r="F11" s="25" t="s">
        <v>218</v>
      </c>
      <c r="G11" s="30" t="s">
        <v>34</v>
      </c>
      <c r="H11" s="31" t="s">
        <v>77</v>
      </c>
      <c r="I11" s="18" t="s">
        <v>36</v>
      </c>
      <c r="J11" s="32" t="s">
        <v>67</v>
      </c>
      <c r="K11" s="30" t="s">
        <v>42</v>
      </c>
      <c r="L11" s="65" t="s">
        <v>221</v>
      </c>
      <c r="M11" s="65" t="s">
        <v>132</v>
      </c>
      <c r="N11" s="65"/>
      <c r="O11" s="65"/>
      <c r="P11" s="65" t="s">
        <v>45</v>
      </c>
      <c r="Q11" s="69"/>
      <c r="R11" s="231"/>
      <c r="S11" s="231"/>
      <c r="T11" s="65"/>
      <c r="U11" s="65"/>
      <c r="V11" s="65"/>
      <c r="W11" s="65"/>
      <c r="X11" s="65"/>
      <c r="Y11" s="65"/>
    </row>
    <row r="12" spans="1:25" ht="84">
      <c r="A12" s="25" t="s">
        <v>125</v>
      </c>
      <c r="B12" s="13"/>
      <c r="C12" s="230" t="s">
        <v>302</v>
      </c>
      <c r="D12" s="73" t="s">
        <v>303</v>
      </c>
      <c r="E12" s="63">
        <v>45460</v>
      </c>
      <c r="F12" s="43" t="s">
        <v>304</v>
      </c>
      <c r="G12" s="30" t="s">
        <v>65</v>
      </c>
      <c r="H12" s="31" t="s">
        <v>305</v>
      </c>
      <c r="I12" s="18" t="s">
        <v>53</v>
      </c>
      <c r="J12" s="32" t="s">
        <v>67</v>
      </c>
      <c r="K12" s="30" t="s">
        <v>79</v>
      </c>
      <c r="L12" s="65" t="s">
        <v>306</v>
      </c>
      <c r="M12" s="65" t="s">
        <v>307</v>
      </c>
      <c r="N12" s="65" t="s">
        <v>554</v>
      </c>
      <c r="O12" s="65" t="s">
        <v>69</v>
      </c>
      <c r="P12" s="65" t="s">
        <v>308</v>
      </c>
      <c r="Q12" s="43"/>
      <c r="R12" s="231"/>
      <c r="S12" s="74"/>
      <c r="T12" s="65"/>
      <c r="U12" s="65"/>
      <c r="V12" s="65"/>
      <c r="W12" s="65"/>
      <c r="X12" s="65"/>
      <c r="Y12" s="65"/>
    </row>
    <row r="13" spans="1:25" ht="72">
      <c r="A13" s="25" t="s">
        <v>125</v>
      </c>
      <c r="B13" s="13"/>
      <c r="C13" s="232" t="s">
        <v>309</v>
      </c>
      <c r="D13" s="73" t="s">
        <v>310</v>
      </c>
      <c r="E13" s="63">
        <v>45460</v>
      </c>
      <c r="F13" s="25" t="s">
        <v>311</v>
      </c>
      <c r="G13" s="30" t="s">
        <v>34</v>
      </c>
      <c r="H13" s="31" t="s">
        <v>77</v>
      </c>
      <c r="I13" s="18" t="s">
        <v>36</v>
      </c>
      <c r="J13" s="32" t="s">
        <v>122</v>
      </c>
      <c r="K13" s="30" t="s">
        <v>79</v>
      </c>
      <c r="L13" s="65" t="s">
        <v>312</v>
      </c>
      <c r="M13" s="65" t="s">
        <v>690</v>
      </c>
      <c r="N13" s="65" t="s">
        <v>554</v>
      </c>
      <c r="O13" s="65" t="s">
        <v>554</v>
      </c>
      <c r="P13" s="65" t="s">
        <v>45</v>
      </c>
      <c r="Q13" s="43"/>
      <c r="R13" s="231"/>
      <c r="S13" s="231"/>
      <c r="T13" s="65"/>
      <c r="U13" s="65"/>
      <c r="V13" s="65"/>
      <c r="W13" s="65"/>
      <c r="X13" s="65"/>
      <c r="Y13" s="65"/>
    </row>
    <row r="14" spans="1:25" ht="60">
      <c r="A14" s="25" t="s">
        <v>313</v>
      </c>
      <c r="B14" s="13"/>
      <c r="C14" s="25" t="s">
        <v>315</v>
      </c>
      <c r="D14" s="227" t="s">
        <v>316</v>
      </c>
      <c r="E14" s="34">
        <v>45461</v>
      </c>
      <c r="F14" s="25" t="s">
        <v>248</v>
      </c>
      <c r="G14" s="30" t="s">
        <v>34</v>
      </c>
      <c r="H14" s="31" t="s">
        <v>97</v>
      </c>
      <c r="I14" s="18" t="s">
        <v>36</v>
      </c>
      <c r="J14" s="32" t="s">
        <v>317</v>
      </c>
      <c r="K14" s="30" t="s">
        <v>181</v>
      </c>
      <c r="L14" s="25" t="s">
        <v>319</v>
      </c>
      <c r="M14" s="25"/>
      <c r="N14" s="25" t="s">
        <v>691</v>
      </c>
      <c r="O14" s="25" t="s">
        <v>69</v>
      </c>
      <c r="P14" s="25" t="s">
        <v>45</v>
      </c>
      <c r="Q14" s="36"/>
      <c r="R14" s="228"/>
      <c r="S14" s="228"/>
      <c r="T14" s="25"/>
      <c r="U14" s="25"/>
      <c r="V14" s="25"/>
      <c r="W14" s="25"/>
      <c r="X14" s="25"/>
      <c r="Y14" s="25"/>
    </row>
    <row r="15" spans="1:25" ht="84">
      <c r="A15" s="25" t="s">
        <v>46</v>
      </c>
      <c r="B15" s="25"/>
      <c r="C15" s="25" t="s">
        <v>392</v>
      </c>
      <c r="D15" s="227" t="s">
        <v>393</v>
      </c>
      <c r="E15" s="34">
        <v>45495</v>
      </c>
      <c r="F15" s="25" t="s">
        <v>394</v>
      </c>
      <c r="G15" s="30" t="s">
        <v>65</v>
      </c>
      <c r="H15" s="31" t="s">
        <v>77</v>
      </c>
      <c r="I15" s="18" t="s">
        <v>53</v>
      </c>
      <c r="J15" s="32" t="s">
        <v>122</v>
      </c>
      <c r="K15" s="25" t="s">
        <v>141</v>
      </c>
      <c r="L15" s="25" t="s">
        <v>396</v>
      </c>
      <c r="M15" s="65" t="s">
        <v>397</v>
      </c>
      <c r="N15" s="65" t="s">
        <v>554</v>
      </c>
      <c r="O15" s="65" t="s">
        <v>69</v>
      </c>
      <c r="P15" s="25" t="s">
        <v>398</v>
      </c>
      <c r="Q15" s="39"/>
      <c r="R15" s="228"/>
      <c r="S15" s="228"/>
      <c r="T15" s="25"/>
      <c r="U15" s="25"/>
      <c r="V15" s="25"/>
      <c r="W15" s="25"/>
      <c r="X15" s="25"/>
      <c r="Y15" s="25"/>
    </row>
  </sheetData>
  <conditionalFormatting sqref="C15">
    <cfRule type="expression" dxfId="80" priority="1">
      <formula>"D7=1"</formula>
    </cfRule>
  </conditionalFormatting>
  <conditionalFormatting sqref="C15">
    <cfRule type="expression" dxfId="79" priority="2">
      <formula>#REF!=1</formula>
    </cfRule>
  </conditionalFormatting>
  <conditionalFormatting sqref="C15">
    <cfRule type="expression" dxfId="78" priority="3">
      <formula>#REF!=2</formula>
    </cfRule>
  </conditionalFormatting>
  <conditionalFormatting sqref="C15">
    <cfRule type="expression" dxfId="77" priority="4">
      <formula>#REF!=3</formula>
    </cfRule>
  </conditionalFormatting>
  <conditionalFormatting sqref="C12:C14">
    <cfRule type="expression" dxfId="76" priority="5">
      <formula>"D7=1"</formula>
    </cfRule>
  </conditionalFormatting>
  <conditionalFormatting sqref="C12:C14">
    <cfRule type="expression" dxfId="75" priority="6">
      <formula>#REF!=1</formula>
    </cfRule>
  </conditionalFormatting>
  <conditionalFormatting sqref="C12:C14">
    <cfRule type="expression" dxfId="74" priority="7">
      <formula>#REF!=2</formula>
    </cfRule>
  </conditionalFormatting>
  <conditionalFormatting sqref="C12:C14">
    <cfRule type="expression" dxfId="73" priority="8">
      <formula>#REF!=3</formula>
    </cfRule>
  </conditionalFormatting>
  <conditionalFormatting sqref="C11">
    <cfRule type="expression" dxfId="72" priority="9">
      <formula>"D7=1"</formula>
    </cfRule>
  </conditionalFormatting>
  <conditionalFormatting sqref="C11">
    <cfRule type="expression" dxfId="71" priority="10">
      <formula>#REF!=1</formula>
    </cfRule>
  </conditionalFormatting>
  <conditionalFormatting sqref="C11">
    <cfRule type="expression" dxfId="70" priority="11">
      <formula>#REF!=2</formula>
    </cfRule>
  </conditionalFormatting>
  <conditionalFormatting sqref="C11">
    <cfRule type="expression" dxfId="69" priority="12">
      <formula>#REF!=3</formula>
    </cfRule>
  </conditionalFormatting>
  <conditionalFormatting sqref="C10">
    <cfRule type="expression" dxfId="68" priority="13">
      <formula>"D7=1"</formula>
    </cfRule>
  </conditionalFormatting>
  <conditionalFormatting sqref="C10">
    <cfRule type="expression" dxfId="67" priority="14">
      <formula>#REF!=1</formula>
    </cfRule>
  </conditionalFormatting>
  <conditionalFormatting sqref="C10">
    <cfRule type="expression" dxfId="66" priority="15">
      <formula>#REF!=2</formula>
    </cfRule>
  </conditionalFormatting>
  <conditionalFormatting sqref="C10">
    <cfRule type="expression" dxfId="65" priority="16">
      <formula>#REF!=3</formula>
    </cfRule>
  </conditionalFormatting>
  <conditionalFormatting sqref="C6:C9">
    <cfRule type="expression" dxfId="64" priority="17">
      <formula>"D7=1"</formula>
    </cfRule>
  </conditionalFormatting>
  <conditionalFormatting sqref="C6:C9">
    <cfRule type="expression" dxfId="63" priority="18">
      <formula>#REF!=1</formula>
    </cfRule>
  </conditionalFormatting>
  <conditionalFormatting sqref="C6:C9">
    <cfRule type="expression" dxfId="62" priority="19">
      <formula>#REF!=2</formula>
    </cfRule>
  </conditionalFormatting>
  <conditionalFormatting sqref="C6:C9">
    <cfRule type="expression" dxfId="61" priority="20">
      <formula>#REF!=3</formula>
    </cfRule>
  </conditionalFormatting>
  <conditionalFormatting sqref="C4:C5">
    <cfRule type="expression" dxfId="60" priority="21">
      <formula>"D7=1"</formula>
    </cfRule>
  </conditionalFormatting>
  <conditionalFormatting sqref="C4:C5">
    <cfRule type="expression" dxfId="59" priority="22">
      <formula>#REF!=1</formula>
    </cfRule>
  </conditionalFormatting>
  <conditionalFormatting sqref="C4:C5">
    <cfRule type="expression" dxfId="58" priority="23">
      <formula>#REF!=2</formula>
    </cfRule>
  </conditionalFormatting>
  <conditionalFormatting sqref="C4:C5">
    <cfRule type="expression" dxfId="57" priority="24">
      <formula>#REF!=3</formula>
    </cfRule>
  </conditionalFormatting>
  <conditionalFormatting sqref="I1">
    <cfRule type="containsBlanks" dxfId="56" priority="25">
      <formula>LEN(TRIM(I1))=0</formula>
    </cfRule>
  </conditionalFormatting>
  <dataValidations count="7">
    <dataValidation type="list" allowBlank="1" showErrorMessage="1" sqref="A2:A11 A13:A15" xr:uid="{00000000-0002-0000-0400-000000000000}">
      <formula1>"APROVADO,REPROVADO,CHECAR CEP FHEMIG,APROVADO CEP FHEMIG,APROVADO CEP PROP,EM APRECIACAO CIP,EM COLETA DE DADOS,EM APRECIACAO CEP PROP,AGUARDANDO FR ASS,AGUARDANDO TA ASS,PENDENCIA CIP,AGUARDANDO CEP PROPONENTE,ASSINAT DIRETOR?,DADOS COLETADOS"</formula1>
    </dataValidation>
    <dataValidation type="list" allowBlank="1" showInputMessage="1" showErrorMessage="1" prompt="Clique e digite um valor da lista de itens" sqref="G2:G15" xr:uid="{00000000-0002-0000-0400-000001000000}">
      <formula1>"SERVIDOR,PESQ EXTERNO,RESIDENTE MULTI,RESIDENTE BUCO,RESIDENTE MÉDIC"</formula1>
    </dataValidation>
    <dataValidation type="list" allowBlank="1" showErrorMessage="1" sqref="K1:K15" xr:uid="{00000000-0002-0000-0400-000002000000}">
      <formula1>"Relato de Caso,Série de casos,Transversal prospectivo,Observacional retrospectivo,Observacional prospectivo,Multicêntrico observacional prospectivo,Qualitativa obser/entrevista,Transversal retrospectivo,Observacional descritivo,Relato de Experiência,ECCR"</formula1>
    </dataValidation>
    <dataValidation type="list" allowBlank="1" showErrorMessage="1" sqref="H2:H15" xr:uid="{00000000-0002-0000-0400-000003000000}">
      <formula1>"FHEMIG,UFMG,EINSTEIN,UI PAULSTA BOTUCATU,CIENCIAS MÉDICAS,FELUMA,HCFMUSP,FIOCRUZ"</formula1>
    </dataValidation>
    <dataValidation type="list" allowBlank="1" showErrorMessage="1" sqref="I2:I15" xr:uid="{00000000-0002-0000-0400-000004000000}">
      <formula1>"HIJPII,HJXIII,HMAL,CHU"</formula1>
    </dataValidation>
    <dataValidation type="list" allowBlank="1" showErrorMessage="1" sqref="A12" xr:uid="{00000000-0002-0000-0400-000005000000}">
      <formula1>"ASSINAT DIRETOR?,EM APRECIACAO CIP,APROVADO CIP,PENDENCIA CIP,REPROVADO CIP,AGUARDANDO TA ASS,AGUARDANDO FR ASS,AGUARDANDO CEP PROPONENTE,REPROVADO CEP,APROVADO CEP PROP,EM APRECIACAO CEP PROP,APROVADO CEP FHEMIG,CHECAR CEP FHEMIG,EM COLETA DE DADOS"</formula1>
    </dataValidation>
    <dataValidation type="list" allowBlank="1" showErrorMessage="1" sqref="J2:J15" xr:uid="{00000000-0002-0000-0400-000006000000}">
      <formula1>"CONGRESSO/DIVULGAÇÃO/PUBLICAÇÃO,TCC,TCR,MESTRADO,BOLSISTA FAPEMIG,DOUTORADO"</formula1>
    </dataValidation>
  </dataValidations>
  <hyperlinks>
    <hyperlink ref="T1" r:id="rId1" xr:uid="{00000000-0004-0000-0400-000000000000}"/>
    <hyperlink ref="U1" r:id="rId2" xr:uid="{00000000-0004-0000-0400-00000100000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999"/>
  <sheetViews>
    <sheetView workbookViewId="0"/>
  </sheetViews>
  <sheetFormatPr defaultColWidth="12.5703125" defaultRowHeight="15" customHeight="1"/>
  <cols>
    <col min="1" max="1" width="33.28515625" customWidth="1"/>
    <col min="2" max="5" width="21.28515625" customWidth="1"/>
    <col min="6" max="8" width="17.5703125" customWidth="1"/>
  </cols>
  <sheetData>
    <row r="1" spans="1:33" ht="71.25">
      <c r="A1" s="233" t="s">
        <v>692</v>
      </c>
      <c r="B1" s="233" t="s">
        <v>693</v>
      </c>
      <c r="C1" s="233" t="s">
        <v>694</v>
      </c>
      <c r="D1" s="233" t="s">
        <v>695</v>
      </c>
      <c r="E1" s="233" t="s">
        <v>696</v>
      </c>
      <c r="F1" s="233" t="s">
        <v>697</v>
      </c>
      <c r="G1" s="233" t="s">
        <v>698</v>
      </c>
      <c r="H1" s="233" t="s">
        <v>699</v>
      </c>
      <c r="I1" s="233" t="s">
        <v>700</v>
      </c>
      <c r="J1" s="233" t="s">
        <v>701</v>
      </c>
      <c r="K1" s="233" t="s">
        <v>702</v>
      </c>
      <c r="L1" s="234" t="s">
        <v>703</v>
      </c>
      <c r="M1" s="235"/>
      <c r="N1" s="235"/>
    </row>
    <row r="2" spans="1:33" ht="53.25" customHeight="1">
      <c r="A2" s="236" t="s">
        <v>704</v>
      </c>
      <c r="B2" s="236" t="s">
        <v>705</v>
      </c>
      <c r="C2" s="236" t="s">
        <v>77</v>
      </c>
      <c r="D2" s="236" t="s">
        <v>648</v>
      </c>
      <c r="E2" s="236" t="s">
        <v>706</v>
      </c>
      <c r="F2" s="236" t="s">
        <v>182</v>
      </c>
      <c r="G2" s="236" t="s">
        <v>707</v>
      </c>
      <c r="H2" s="236"/>
      <c r="I2" s="236">
        <v>6</v>
      </c>
      <c r="J2" s="236"/>
      <c r="K2" s="236"/>
      <c r="L2" s="132"/>
      <c r="M2" s="235"/>
      <c r="N2" s="235"/>
    </row>
    <row r="3" spans="1:33" ht="53.25" customHeight="1">
      <c r="A3" s="236" t="s">
        <v>708</v>
      </c>
      <c r="B3" s="236" t="s">
        <v>709</v>
      </c>
      <c r="C3" s="236" t="s">
        <v>77</v>
      </c>
      <c r="D3" s="236" t="s">
        <v>36</v>
      </c>
      <c r="E3" s="236"/>
      <c r="F3" s="236" t="s">
        <v>710</v>
      </c>
      <c r="G3" s="236" t="s">
        <v>152</v>
      </c>
      <c r="H3" s="236"/>
      <c r="I3" s="236">
        <v>5</v>
      </c>
      <c r="J3" s="237"/>
      <c r="K3" s="237">
        <v>45505</v>
      </c>
      <c r="L3" s="132"/>
      <c r="M3" s="235"/>
      <c r="N3" s="235"/>
    </row>
    <row r="4" spans="1:33" ht="53.25" customHeight="1">
      <c r="A4" s="236" t="s">
        <v>711</v>
      </c>
      <c r="B4" s="236" t="s">
        <v>712</v>
      </c>
      <c r="C4" s="236" t="s">
        <v>713</v>
      </c>
      <c r="D4" s="236" t="s">
        <v>36</v>
      </c>
      <c r="E4" s="236"/>
      <c r="F4" s="236" t="s">
        <v>714</v>
      </c>
      <c r="G4" s="236" t="s">
        <v>715</v>
      </c>
      <c r="H4" s="236"/>
      <c r="I4" s="236"/>
      <c r="J4" s="236"/>
      <c r="K4" s="236" t="s">
        <v>716</v>
      </c>
      <c r="L4" s="132"/>
      <c r="M4" s="235"/>
      <c r="N4" s="235"/>
    </row>
    <row r="5" spans="1:33" ht="53.25" customHeight="1">
      <c r="A5" s="236" t="s">
        <v>62</v>
      </c>
      <c r="B5" s="236" t="s">
        <v>717</v>
      </c>
      <c r="C5" s="236" t="s">
        <v>718</v>
      </c>
      <c r="D5" s="236" t="s">
        <v>36</v>
      </c>
      <c r="E5" s="236"/>
      <c r="F5" s="236" t="s">
        <v>43</v>
      </c>
      <c r="G5" s="236" t="s">
        <v>43</v>
      </c>
      <c r="H5" s="236"/>
      <c r="I5" s="236" t="s">
        <v>719</v>
      </c>
      <c r="J5" s="236"/>
      <c r="K5" s="236" t="s">
        <v>720</v>
      </c>
      <c r="L5" s="132"/>
      <c r="M5" s="235"/>
      <c r="N5" s="235"/>
    </row>
    <row r="6" spans="1:33" ht="53.25" customHeight="1">
      <c r="A6" s="238" t="s">
        <v>721</v>
      </c>
      <c r="B6" s="236" t="s">
        <v>722</v>
      </c>
      <c r="C6" s="236" t="s">
        <v>77</v>
      </c>
      <c r="D6" s="236" t="s">
        <v>36</v>
      </c>
      <c r="E6" s="236"/>
      <c r="F6" s="236" t="s">
        <v>723</v>
      </c>
      <c r="G6" s="236"/>
      <c r="H6" s="236"/>
      <c r="I6" s="236" t="s">
        <v>724</v>
      </c>
      <c r="J6" s="236"/>
      <c r="K6" s="236"/>
      <c r="L6" s="132"/>
      <c r="M6" s="235"/>
      <c r="N6" s="235"/>
    </row>
    <row r="7" spans="1:33" ht="85.5">
      <c r="A7" s="239" t="s">
        <v>725</v>
      </c>
      <c r="B7" s="236" t="s">
        <v>726</v>
      </c>
      <c r="C7" s="236" t="s">
        <v>727</v>
      </c>
      <c r="D7" s="236" t="s">
        <v>53</v>
      </c>
      <c r="E7" s="236"/>
      <c r="F7" s="236" t="s">
        <v>728</v>
      </c>
      <c r="G7" s="236" t="s">
        <v>729</v>
      </c>
      <c r="H7" s="240">
        <v>45537</v>
      </c>
      <c r="I7" s="236">
        <v>4</v>
      </c>
      <c r="J7" s="236" t="s">
        <v>730</v>
      </c>
      <c r="K7" s="236" t="s">
        <v>731</v>
      </c>
      <c r="L7" s="132" t="s">
        <v>732</v>
      </c>
      <c r="M7" s="132"/>
      <c r="N7" s="132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</row>
    <row r="8" spans="1:33" ht="38.25">
      <c r="A8" s="132" t="s">
        <v>733</v>
      </c>
      <c r="B8" s="132" t="s">
        <v>515</v>
      </c>
      <c r="C8" s="132" t="s">
        <v>734</v>
      </c>
      <c r="D8" s="132" t="s">
        <v>53</v>
      </c>
      <c r="E8" s="132"/>
      <c r="F8" s="132"/>
      <c r="G8" s="132"/>
      <c r="H8" s="132"/>
      <c r="I8" s="132">
        <v>1</v>
      </c>
      <c r="J8" s="132"/>
      <c r="K8" s="132"/>
      <c r="L8" s="132"/>
      <c r="M8" s="132"/>
      <c r="N8" s="132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</row>
    <row r="9" spans="1:33" ht="38.25">
      <c r="A9" s="132" t="s">
        <v>735</v>
      </c>
      <c r="B9" s="229" t="s">
        <v>76</v>
      </c>
      <c r="C9" s="132" t="s">
        <v>77</v>
      </c>
      <c r="D9" s="132" t="s">
        <v>648</v>
      </c>
      <c r="E9" s="132" t="s">
        <v>736</v>
      </c>
      <c r="F9" s="132" t="s">
        <v>737</v>
      </c>
      <c r="G9" s="132" t="s">
        <v>738</v>
      </c>
      <c r="H9" s="132"/>
      <c r="I9" s="132" t="s">
        <v>739</v>
      </c>
      <c r="J9" s="132" t="s">
        <v>740</v>
      </c>
      <c r="K9" s="132" t="s">
        <v>741</v>
      </c>
      <c r="L9" s="132"/>
      <c r="M9" s="132"/>
      <c r="N9" s="132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</row>
    <row r="10" spans="1:33" ht="25.5">
      <c r="A10" s="132" t="s">
        <v>742</v>
      </c>
      <c r="B10" s="132"/>
      <c r="C10" s="132" t="s">
        <v>77</v>
      </c>
      <c r="D10" s="132" t="s">
        <v>743</v>
      </c>
      <c r="E10" s="132" t="s">
        <v>744</v>
      </c>
      <c r="F10" s="132" t="s">
        <v>745</v>
      </c>
      <c r="G10" s="132"/>
      <c r="H10" s="132"/>
      <c r="I10" s="132">
        <v>2</v>
      </c>
      <c r="J10" s="132"/>
      <c r="K10" s="132"/>
      <c r="L10" s="132"/>
      <c r="M10" s="132"/>
      <c r="N10" s="132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</row>
    <row r="11" spans="1:33" ht="114.75">
      <c r="A11" s="132" t="s">
        <v>746</v>
      </c>
      <c r="B11" s="132" t="s">
        <v>747</v>
      </c>
      <c r="C11" s="132" t="s">
        <v>77</v>
      </c>
      <c r="D11" s="132" t="s">
        <v>53</v>
      </c>
      <c r="E11" s="235" t="s">
        <v>748</v>
      </c>
      <c r="F11" s="242" t="s">
        <v>749</v>
      </c>
      <c r="G11" s="242" t="s">
        <v>749</v>
      </c>
      <c r="H11" s="132" t="s">
        <v>750</v>
      </c>
      <c r="I11" s="132">
        <v>1</v>
      </c>
      <c r="J11" s="132" t="s">
        <v>751</v>
      </c>
      <c r="K11" s="243">
        <v>45627</v>
      </c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</row>
    <row r="12" spans="1:33" ht="12.75">
      <c r="A12" s="235"/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132"/>
      <c r="M12" s="235"/>
      <c r="N12" s="235"/>
    </row>
    <row r="13" spans="1:33" ht="12.75">
      <c r="A13" s="235"/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132"/>
      <c r="M13" s="235"/>
      <c r="N13" s="235"/>
    </row>
    <row r="14" spans="1:33" ht="12.75">
      <c r="A14" s="235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132"/>
      <c r="M14" s="235"/>
      <c r="N14" s="235"/>
    </row>
    <row r="15" spans="1:33" ht="12.75">
      <c r="A15" s="235"/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132"/>
      <c r="M15" s="235"/>
      <c r="N15" s="235"/>
    </row>
    <row r="16" spans="1:33" ht="12.75">
      <c r="A16" s="235"/>
      <c r="B16" s="235"/>
      <c r="C16" s="235"/>
      <c r="D16" s="235"/>
      <c r="E16" s="235"/>
      <c r="F16" s="235"/>
      <c r="G16" s="235"/>
      <c r="H16" s="235"/>
      <c r="I16" s="235"/>
      <c r="J16" s="235"/>
      <c r="K16" s="235"/>
      <c r="L16" s="132"/>
      <c r="M16" s="235"/>
      <c r="N16" s="235"/>
    </row>
    <row r="17" spans="1:14" ht="12.75">
      <c r="A17" s="235"/>
      <c r="B17" s="235"/>
      <c r="C17" s="235"/>
      <c r="D17" s="235"/>
      <c r="E17" s="235"/>
      <c r="F17" s="235"/>
      <c r="G17" s="235"/>
      <c r="H17" s="235"/>
      <c r="I17" s="235"/>
      <c r="J17" s="235"/>
      <c r="K17" s="235"/>
      <c r="L17" s="132"/>
      <c r="M17" s="235"/>
      <c r="N17" s="235"/>
    </row>
    <row r="18" spans="1:14" ht="12.75">
      <c r="A18" s="235"/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132"/>
      <c r="M18" s="235"/>
      <c r="N18" s="235"/>
    </row>
    <row r="19" spans="1:14" ht="12.75">
      <c r="A19" s="235"/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132"/>
      <c r="M19" s="235"/>
      <c r="N19" s="235"/>
    </row>
    <row r="20" spans="1:14" ht="12.75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132"/>
      <c r="M20" s="235"/>
      <c r="N20" s="235"/>
    </row>
    <row r="21" spans="1:14" ht="12.75">
      <c r="A21" s="235"/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132"/>
      <c r="M21" s="235"/>
      <c r="N21" s="235"/>
    </row>
    <row r="22" spans="1:14" ht="12.75">
      <c r="A22" s="235"/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132"/>
      <c r="M22" s="235"/>
      <c r="N22" s="235"/>
    </row>
    <row r="23" spans="1:14" ht="12.75">
      <c r="A23" s="235"/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132"/>
      <c r="M23" s="235"/>
      <c r="N23" s="235"/>
    </row>
    <row r="24" spans="1:14" ht="12.75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132"/>
      <c r="M24" s="235"/>
      <c r="N24" s="235"/>
    </row>
    <row r="25" spans="1:14" ht="12.75">
      <c r="A25" s="235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132"/>
      <c r="M25" s="235"/>
      <c r="N25" s="235"/>
    </row>
    <row r="26" spans="1:14" ht="12.75">
      <c r="A26" s="235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132"/>
      <c r="M26" s="235"/>
      <c r="N26" s="235"/>
    </row>
    <row r="27" spans="1:14" ht="12.75">
      <c r="A27" s="235"/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132"/>
      <c r="M27" s="235"/>
      <c r="N27" s="235"/>
    </row>
    <row r="28" spans="1:14" ht="12.75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132"/>
      <c r="M28" s="235"/>
      <c r="N28" s="235"/>
    </row>
    <row r="29" spans="1:14" ht="12.75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132"/>
      <c r="M29" s="235"/>
      <c r="N29" s="235"/>
    </row>
    <row r="30" spans="1:14" ht="12.75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132"/>
      <c r="M30" s="235"/>
      <c r="N30" s="235"/>
    </row>
    <row r="31" spans="1:14" ht="12.75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132"/>
      <c r="M31" s="235"/>
      <c r="N31" s="235"/>
    </row>
    <row r="32" spans="1:14" ht="12.75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132"/>
      <c r="M32" s="235"/>
      <c r="N32" s="235"/>
    </row>
    <row r="33" spans="1:14" ht="12.75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132"/>
      <c r="M33" s="235"/>
      <c r="N33" s="235"/>
    </row>
    <row r="34" spans="1:14" ht="12.75">
      <c r="A34" s="235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132"/>
      <c r="M34" s="235"/>
      <c r="N34" s="235"/>
    </row>
    <row r="35" spans="1:14" ht="12.75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132"/>
      <c r="M35" s="235"/>
      <c r="N35" s="235"/>
    </row>
    <row r="36" spans="1:14" ht="12.75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132"/>
      <c r="M36" s="235"/>
      <c r="N36" s="235"/>
    </row>
    <row r="37" spans="1:14" ht="12.75">
      <c r="A37" s="235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132"/>
      <c r="M37" s="235"/>
      <c r="N37" s="235"/>
    </row>
    <row r="38" spans="1:14" ht="12.75">
      <c r="A38" s="235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132"/>
      <c r="M38" s="235"/>
      <c r="N38" s="235"/>
    </row>
    <row r="39" spans="1:14" ht="12.75">
      <c r="A39" s="235"/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132"/>
      <c r="M39" s="235"/>
      <c r="N39" s="235"/>
    </row>
    <row r="40" spans="1:14" ht="12.75">
      <c r="A40" s="235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132"/>
      <c r="M40" s="235"/>
      <c r="N40" s="235"/>
    </row>
    <row r="41" spans="1:14" ht="12.75">
      <c r="A41" s="235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132"/>
      <c r="M41" s="235"/>
      <c r="N41" s="235"/>
    </row>
    <row r="42" spans="1:14" ht="12.75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132"/>
      <c r="M42" s="235"/>
      <c r="N42" s="235"/>
    </row>
    <row r="43" spans="1:14" ht="12.75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132"/>
      <c r="M43" s="235"/>
      <c r="N43" s="235"/>
    </row>
    <row r="44" spans="1:14" ht="12.75">
      <c r="A44" s="235"/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132"/>
      <c r="M44" s="235"/>
      <c r="N44" s="235"/>
    </row>
    <row r="45" spans="1:14" ht="12.75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132"/>
      <c r="M45" s="235"/>
      <c r="N45" s="235"/>
    </row>
    <row r="46" spans="1:14" ht="12.75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132"/>
      <c r="M46" s="235"/>
      <c r="N46" s="235"/>
    </row>
    <row r="47" spans="1:14" ht="12.75">
      <c r="A47" s="235"/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132"/>
      <c r="M47" s="235"/>
      <c r="N47" s="235"/>
    </row>
    <row r="48" spans="1:14" ht="12.75">
      <c r="A48" s="235"/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132"/>
      <c r="M48" s="235"/>
      <c r="N48" s="235"/>
    </row>
    <row r="49" spans="1:14" ht="12.75">
      <c r="A49" s="235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132"/>
      <c r="M49" s="235"/>
      <c r="N49" s="235"/>
    </row>
    <row r="50" spans="1:14" ht="12.75">
      <c r="A50" s="235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132"/>
      <c r="M50" s="235"/>
      <c r="N50" s="235"/>
    </row>
    <row r="51" spans="1:14" ht="12.75">
      <c r="A51" s="235"/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132"/>
      <c r="M51" s="235"/>
      <c r="N51" s="235"/>
    </row>
    <row r="52" spans="1:14" ht="12.75">
      <c r="A52" s="235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132"/>
      <c r="M52" s="235"/>
      <c r="N52" s="235"/>
    </row>
    <row r="53" spans="1:14" ht="12.75">
      <c r="A53" s="235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132"/>
      <c r="M53" s="235"/>
      <c r="N53" s="235"/>
    </row>
    <row r="54" spans="1:14" ht="12.75">
      <c r="A54" s="235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132"/>
      <c r="M54" s="235"/>
      <c r="N54" s="235"/>
    </row>
    <row r="55" spans="1:14" ht="12.75">
      <c r="A55" s="235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132"/>
      <c r="M55" s="235"/>
      <c r="N55" s="235"/>
    </row>
    <row r="56" spans="1:14" ht="12.75">
      <c r="A56" s="235"/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132"/>
      <c r="M56" s="235"/>
      <c r="N56" s="235"/>
    </row>
    <row r="57" spans="1:14" ht="12.75">
      <c r="A57" s="235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132"/>
      <c r="M57" s="235"/>
      <c r="N57" s="235"/>
    </row>
    <row r="58" spans="1:14" ht="12.75">
      <c r="A58" s="235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132"/>
      <c r="M58" s="235"/>
      <c r="N58" s="235"/>
    </row>
    <row r="59" spans="1:14" ht="12.75">
      <c r="A59" s="235"/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132"/>
      <c r="M59" s="235"/>
      <c r="N59" s="235"/>
    </row>
    <row r="60" spans="1:14" ht="12.75">
      <c r="A60" s="235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132"/>
      <c r="M60" s="235"/>
      <c r="N60" s="235"/>
    </row>
    <row r="61" spans="1:14" ht="12.75">
      <c r="A61" s="235"/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132"/>
      <c r="M61" s="235"/>
      <c r="N61" s="235"/>
    </row>
    <row r="62" spans="1:14" ht="12.75">
      <c r="A62" s="235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132"/>
      <c r="M62" s="235"/>
      <c r="N62" s="235"/>
    </row>
    <row r="63" spans="1:14" ht="12.75">
      <c r="A63" s="235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132"/>
      <c r="M63" s="235"/>
      <c r="N63" s="235"/>
    </row>
    <row r="64" spans="1:14" ht="12.75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132"/>
      <c r="M64" s="235"/>
      <c r="N64" s="235"/>
    </row>
    <row r="65" spans="1:14" ht="12.75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132"/>
      <c r="M65" s="235"/>
      <c r="N65" s="235"/>
    </row>
    <row r="66" spans="1:14" ht="12.75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132"/>
      <c r="M66" s="235"/>
      <c r="N66" s="235"/>
    </row>
    <row r="67" spans="1:14" ht="12.75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132"/>
      <c r="M67" s="235"/>
      <c r="N67" s="235"/>
    </row>
    <row r="68" spans="1:14" ht="12.75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132"/>
      <c r="M68" s="235"/>
      <c r="N68" s="235"/>
    </row>
    <row r="69" spans="1:14" ht="12.75">
      <c r="A69" s="235"/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132"/>
      <c r="M69" s="235"/>
      <c r="N69" s="235"/>
    </row>
    <row r="70" spans="1:14" ht="12.75">
      <c r="A70" s="235"/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132"/>
      <c r="M70" s="235"/>
      <c r="N70" s="235"/>
    </row>
    <row r="71" spans="1:14" ht="12.75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132"/>
      <c r="M71" s="235"/>
      <c r="N71" s="235"/>
    </row>
    <row r="72" spans="1:14" ht="12.75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132"/>
      <c r="M72" s="235"/>
      <c r="N72" s="235"/>
    </row>
    <row r="73" spans="1:14" ht="12.75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132"/>
      <c r="M73" s="235"/>
      <c r="N73" s="235"/>
    </row>
    <row r="74" spans="1:14" ht="12.75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132"/>
      <c r="M74" s="235"/>
      <c r="N74" s="235"/>
    </row>
    <row r="75" spans="1:14" ht="12.75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132"/>
      <c r="M75" s="235"/>
      <c r="N75" s="235"/>
    </row>
    <row r="76" spans="1:14" ht="12.75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132"/>
      <c r="M76" s="235"/>
      <c r="N76" s="235"/>
    </row>
    <row r="77" spans="1:14" ht="12.75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132"/>
      <c r="M77" s="235"/>
      <c r="N77" s="235"/>
    </row>
    <row r="78" spans="1:14" ht="12.75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132"/>
      <c r="M78" s="235"/>
      <c r="N78" s="235"/>
    </row>
    <row r="79" spans="1:14" ht="12.75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132"/>
      <c r="M79" s="235"/>
      <c r="N79" s="235"/>
    </row>
    <row r="80" spans="1:14" ht="12.75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132"/>
      <c r="M80" s="235"/>
      <c r="N80" s="235"/>
    </row>
    <row r="81" spans="1:14" ht="12.75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132"/>
      <c r="M81" s="235"/>
      <c r="N81" s="235"/>
    </row>
    <row r="82" spans="1:14" ht="12.75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132"/>
      <c r="M82" s="235"/>
      <c r="N82" s="235"/>
    </row>
    <row r="83" spans="1:14" ht="12.75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132"/>
      <c r="M83" s="235"/>
      <c r="N83" s="235"/>
    </row>
    <row r="84" spans="1:14" ht="12.75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132"/>
      <c r="M84" s="235"/>
      <c r="N84" s="235"/>
    </row>
    <row r="85" spans="1:14" ht="12.75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132"/>
      <c r="M85" s="235"/>
      <c r="N85" s="235"/>
    </row>
    <row r="86" spans="1:14" ht="12.75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132"/>
      <c r="M86" s="235"/>
      <c r="N86" s="235"/>
    </row>
    <row r="87" spans="1:14" ht="12.75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132"/>
      <c r="M87" s="235"/>
      <c r="N87" s="235"/>
    </row>
    <row r="88" spans="1:14" ht="12.75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132"/>
      <c r="M88" s="235"/>
      <c r="N88" s="235"/>
    </row>
    <row r="89" spans="1:14" ht="12.75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132"/>
      <c r="M89" s="235"/>
      <c r="N89" s="235"/>
    </row>
    <row r="90" spans="1:14" ht="12.75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132"/>
      <c r="M90" s="235"/>
      <c r="N90" s="235"/>
    </row>
    <row r="91" spans="1:14" ht="12.75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132"/>
      <c r="M91" s="235"/>
      <c r="N91" s="235"/>
    </row>
    <row r="92" spans="1:14" ht="12.75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132"/>
      <c r="M92" s="235"/>
      <c r="N92" s="235"/>
    </row>
    <row r="93" spans="1:14" ht="12.75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132"/>
      <c r="M93" s="235"/>
      <c r="N93" s="235"/>
    </row>
    <row r="94" spans="1:14" ht="12.75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132"/>
      <c r="M94" s="235"/>
      <c r="N94" s="235"/>
    </row>
    <row r="95" spans="1:14" ht="12.75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132"/>
      <c r="M95" s="235"/>
      <c r="N95" s="235"/>
    </row>
    <row r="96" spans="1:14" ht="12.75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132"/>
      <c r="M96" s="235"/>
      <c r="N96" s="235"/>
    </row>
    <row r="97" spans="1:14" ht="12.75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132"/>
      <c r="M97" s="235"/>
      <c r="N97" s="235"/>
    </row>
    <row r="98" spans="1:14" ht="12.75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132"/>
      <c r="M98" s="235"/>
      <c r="N98" s="235"/>
    </row>
    <row r="99" spans="1:14" ht="12.75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132"/>
      <c r="M99" s="235"/>
      <c r="N99" s="235"/>
    </row>
    <row r="100" spans="1:14" ht="12.75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132"/>
      <c r="M100" s="235"/>
      <c r="N100" s="235"/>
    </row>
    <row r="101" spans="1:14" ht="12.75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132"/>
      <c r="M101" s="235"/>
      <c r="N101" s="235"/>
    </row>
    <row r="102" spans="1:14" ht="12.75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132"/>
      <c r="M102" s="235"/>
      <c r="N102" s="235"/>
    </row>
    <row r="103" spans="1:14" ht="12.75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132"/>
      <c r="M103" s="235"/>
      <c r="N103" s="235"/>
    </row>
    <row r="104" spans="1:14" ht="12.75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132"/>
      <c r="M104" s="235"/>
      <c r="N104" s="235"/>
    </row>
    <row r="105" spans="1:14" ht="12.75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132"/>
      <c r="M105" s="235"/>
      <c r="N105" s="235"/>
    </row>
    <row r="106" spans="1:14" ht="12.75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132"/>
      <c r="M106" s="235"/>
      <c r="N106" s="235"/>
    </row>
    <row r="107" spans="1:14" ht="12.75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132"/>
      <c r="M107" s="235"/>
      <c r="N107" s="235"/>
    </row>
    <row r="108" spans="1:14" ht="12.75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132"/>
      <c r="M108" s="235"/>
      <c r="N108" s="235"/>
    </row>
    <row r="109" spans="1:14" ht="12.75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132"/>
      <c r="M109" s="235"/>
      <c r="N109" s="235"/>
    </row>
    <row r="110" spans="1:14" ht="12.75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132"/>
      <c r="M110" s="235"/>
      <c r="N110" s="235"/>
    </row>
    <row r="111" spans="1:14" ht="12.75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132"/>
      <c r="M111" s="235"/>
      <c r="N111" s="235"/>
    </row>
    <row r="112" spans="1:14" ht="12.75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132"/>
      <c r="M112" s="235"/>
      <c r="N112" s="235"/>
    </row>
    <row r="113" spans="1:14" ht="12.75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132"/>
      <c r="M113" s="235"/>
      <c r="N113" s="235"/>
    </row>
    <row r="114" spans="1:14" ht="12.75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132"/>
      <c r="M114" s="235"/>
      <c r="N114" s="235"/>
    </row>
    <row r="115" spans="1:14" ht="12.75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132"/>
      <c r="M115" s="235"/>
      <c r="N115" s="235"/>
    </row>
    <row r="116" spans="1:14" ht="12.75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132"/>
      <c r="M116" s="235"/>
      <c r="N116" s="235"/>
    </row>
    <row r="117" spans="1:14" ht="12.75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132"/>
      <c r="M117" s="235"/>
      <c r="N117" s="235"/>
    </row>
    <row r="118" spans="1:14" ht="12.75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132"/>
      <c r="M118" s="235"/>
      <c r="N118" s="235"/>
    </row>
    <row r="119" spans="1:14" ht="12.75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132"/>
      <c r="M119" s="235"/>
      <c r="N119" s="235"/>
    </row>
    <row r="120" spans="1:14" ht="12.75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132"/>
      <c r="M120" s="235"/>
      <c r="N120" s="235"/>
    </row>
    <row r="121" spans="1:14" ht="12.75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132"/>
      <c r="M121" s="235"/>
      <c r="N121" s="235"/>
    </row>
    <row r="122" spans="1:14" ht="12.75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132"/>
      <c r="M122" s="235"/>
      <c r="N122" s="235"/>
    </row>
    <row r="123" spans="1:14" ht="12.75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132"/>
      <c r="M123" s="235"/>
      <c r="N123" s="235"/>
    </row>
    <row r="124" spans="1:14" ht="12.75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132"/>
      <c r="M124" s="235"/>
      <c r="N124" s="235"/>
    </row>
    <row r="125" spans="1:14" ht="12.75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132"/>
      <c r="M125" s="235"/>
      <c r="N125" s="235"/>
    </row>
    <row r="126" spans="1:14" ht="12.75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132"/>
      <c r="M126" s="235"/>
      <c r="N126" s="235"/>
    </row>
    <row r="127" spans="1:14" ht="12.75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132"/>
      <c r="M127" s="235"/>
      <c r="N127" s="235"/>
    </row>
    <row r="128" spans="1:14" ht="12.75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132"/>
      <c r="M128" s="235"/>
      <c r="N128" s="235"/>
    </row>
    <row r="129" spans="1:14" ht="12.75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132"/>
      <c r="M129" s="235"/>
      <c r="N129" s="235"/>
    </row>
    <row r="130" spans="1:14" ht="12.75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132"/>
      <c r="M130" s="235"/>
      <c r="N130" s="235"/>
    </row>
    <row r="131" spans="1:14" ht="12.75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132"/>
      <c r="M131" s="235"/>
      <c r="N131" s="235"/>
    </row>
    <row r="132" spans="1:14" ht="12.75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132"/>
      <c r="M132" s="235"/>
      <c r="N132" s="235"/>
    </row>
    <row r="133" spans="1:14" ht="12.75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132"/>
      <c r="M133" s="235"/>
      <c r="N133" s="235"/>
    </row>
    <row r="134" spans="1:14" ht="12.75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132"/>
      <c r="M134" s="235"/>
      <c r="N134" s="235"/>
    </row>
    <row r="135" spans="1:14" ht="12.75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132"/>
      <c r="M135" s="235"/>
      <c r="N135" s="235"/>
    </row>
    <row r="136" spans="1:14" ht="12.75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132"/>
      <c r="M136" s="235"/>
      <c r="N136" s="235"/>
    </row>
    <row r="137" spans="1:14" ht="12.75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132"/>
      <c r="M137" s="235"/>
      <c r="N137" s="235"/>
    </row>
    <row r="138" spans="1:14" ht="12.75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132"/>
      <c r="M138" s="235"/>
      <c r="N138" s="235"/>
    </row>
    <row r="139" spans="1:14" ht="12.75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132"/>
      <c r="M139" s="235"/>
      <c r="N139" s="235"/>
    </row>
    <row r="140" spans="1:14" ht="12.75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132"/>
      <c r="M140" s="235"/>
      <c r="N140" s="235"/>
    </row>
    <row r="141" spans="1:14" ht="12.75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132"/>
      <c r="M141" s="235"/>
      <c r="N141" s="235"/>
    </row>
    <row r="142" spans="1:14" ht="12.75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132"/>
      <c r="M142" s="235"/>
      <c r="N142" s="235"/>
    </row>
    <row r="143" spans="1:14" ht="12.75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132"/>
      <c r="M143" s="235"/>
      <c r="N143" s="235"/>
    </row>
    <row r="144" spans="1:14" ht="12.75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132"/>
      <c r="M144" s="235"/>
      <c r="N144" s="235"/>
    </row>
    <row r="145" spans="1:14" ht="12.75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132"/>
      <c r="M145" s="235"/>
      <c r="N145" s="235"/>
    </row>
    <row r="146" spans="1:14" ht="12.75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132"/>
      <c r="M146" s="235"/>
      <c r="N146" s="235"/>
    </row>
    <row r="147" spans="1:14" ht="12.75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132"/>
      <c r="M147" s="235"/>
      <c r="N147" s="235"/>
    </row>
    <row r="148" spans="1:14" ht="12.75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132"/>
      <c r="M148" s="235"/>
      <c r="N148" s="235"/>
    </row>
    <row r="149" spans="1:14" ht="12.75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132"/>
      <c r="M149" s="235"/>
      <c r="N149" s="235"/>
    </row>
    <row r="150" spans="1:14" ht="12.75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132"/>
      <c r="M150" s="235"/>
      <c r="N150" s="235"/>
    </row>
    <row r="151" spans="1:14" ht="12.75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132"/>
      <c r="M151" s="235"/>
      <c r="N151" s="235"/>
    </row>
    <row r="152" spans="1:14" ht="12.75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132"/>
      <c r="M152" s="235"/>
      <c r="N152" s="235"/>
    </row>
    <row r="153" spans="1:14" ht="12.75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132"/>
      <c r="M153" s="235"/>
      <c r="N153" s="235"/>
    </row>
    <row r="154" spans="1:14" ht="12.75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132"/>
      <c r="M154" s="235"/>
      <c r="N154" s="235"/>
    </row>
    <row r="155" spans="1:14" ht="12.75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132"/>
      <c r="M155" s="235"/>
      <c r="N155" s="235"/>
    </row>
    <row r="156" spans="1:14" ht="12.75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132"/>
      <c r="M156" s="235"/>
      <c r="N156" s="235"/>
    </row>
    <row r="157" spans="1:14" ht="12.75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132"/>
      <c r="M157" s="235"/>
      <c r="N157" s="235"/>
    </row>
    <row r="158" spans="1:14" ht="12.75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132"/>
      <c r="M158" s="235"/>
      <c r="N158" s="235"/>
    </row>
    <row r="159" spans="1:14" ht="12.75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132"/>
      <c r="M159" s="235"/>
      <c r="N159" s="235"/>
    </row>
    <row r="160" spans="1:14" ht="12.75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132"/>
      <c r="M160" s="235"/>
      <c r="N160" s="235"/>
    </row>
    <row r="161" spans="1:14" ht="12.75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132"/>
      <c r="M161" s="235"/>
      <c r="N161" s="235"/>
    </row>
    <row r="162" spans="1:14" ht="12.75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132"/>
      <c r="M162" s="235"/>
      <c r="N162" s="235"/>
    </row>
    <row r="163" spans="1:14" ht="12.75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132"/>
      <c r="M163" s="235"/>
      <c r="N163" s="235"/>
    </row>
    <row r="164" spans="1:14" ht="12.75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132"/>
      <c r="M164" s="235"/>
      <c r="N164" s="235"/>
    </row>
    <row r="165" spans="1:14" ht="12.75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132"/>
      <c r="M165" s="235"/>
      <c r="N165" s="235"/>
    </row>
    <row r="166" spans="1:14" ht="12.75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132"/>
      <c r="M166" s="235"/>
      <c r="N166" s="235"/>
    </row>
    <row r="167" spans="1:14" ht="12.75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132"/>
      <c r="M167" s="235"/>
      <c r="N167" s="235"/>
    </row>
    <row r="168" spans="1:14" ht="12.75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132"/>
      <c r="M168" s="235"/>
      <c r="N168" s="235"/>
    </row>
    <row r="169" spans="1:14" ht="12.75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132"/>
      <c r="M169" s="235"/>
      <c r="N169" s="235"/>
    </row>
    <row r="170" spans="1:14" ht="12.75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132"/>
      <c r="M170" s="235"/>
      <c r="N170" s="235"/>
    </row>
    <row r="171" spans="1:14" ht="12.75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132"/>
      <c r="M171" s="235"/>
      <c r="N171" s="235"/>
    </row>
    <row r="172" spans="1:14" ht="12.75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132"/>
      <c r="M172" s="235"/>
      <c r="N172" s="235"/>
    </row>
    <row r="173" spans="1:14" ht="12.75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132"/>
      <c r="M173" s="235"/>
      <c r="N173" s="235"/>
    </row>
    <row r="174" spans="1:14" ht="12.75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132"/>
      <c r="M174" s="235"/>
      <c r="N174" s="235"/>
    </row>
    <row r="175" spans="1:14" ht="12.75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132"/>
      <c r="M175" s="235"/>
      <c r="N175" s="235"/>
    </row>
    <row r="176" spans="1:14" ht="12.75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132"/>
      <c r="M176" s="235"/>
      <c r="N176" s="235"/>
    </row>
    <row r="177" spans="1:14" ht="12.75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132"/>
      <c r="M177" s="235"/>
      <c r="N177" s="235"/>
    </row>
    <row r="178" spans="1:14" ht="12.75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132"/>
      <c r="M178" s="235"/>
      <c r="N178" s="235"/>
    </row>
    <row r="179" spans="1:14" ht="12.75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132"/>
      <c r="M179" s="235"/>
      <c r="N179" s="235"/>
    </row>
    <row r="180" spans="1:14" ht="12.75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132"/>
      <c r="M180" s="235"/>
      <c r="N180" s="235"/>
    </row>
    <row r="181" spans="1:14" ht="12.75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132"/>
      <c r="M181" s="235"/>
      <c r="N181" s="235"/>
    </row>
    <row r="182" spans="1:14" ht="12.75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132"/>
      <c r="M182" s="235"/>
      <c r="N182" s="235"/>
    </row>
    <row r="183" spans="1:14" ht="12.75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132"/>
      <c r="M183" s="235"/>
      <c r="N183" s="235"/>
    </row>
    <row r="184" spans="1:14" ht="12.75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132"/>
      <c r="M184" s="235"/>
      <c r="N184" s="235"/>
    </row>
    <row r="185" spans="1:14" ht="12.75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132"/>
      <c r="M185" s="235"/>
      <c r="N185" s="235"/>
    </row>
    <row r="186" spans="1:14" ht="12.75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132"/>
      <c r="M186" s="235"/>
      <c r="N186" s="235"/>
    </row>
    <row r="187" spans="1:14" ht="12.75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132"/>
      <c r="M187" s="235"/>
      <c r="N187" s="235"/>
    </row>
    <row r="188" spans="1:14" ht="12.75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132"/>
      <c r="M188" s="235"/>
      <c r="N188" s="235"/>
    </row>
    <row r="189" spans="1:14" ht="12.75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132"/>
      <c r="M189" s="235"/>
      <c r="N189" s="235"/>
    </row>
    <row r="190" spans="1:14" ht="12.75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132"/>
      <c r="M190" s="235"/>
      <c r="N190" s="235"/>
    </row>
    <row r="191" spans="1:14" ht="12.75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132"/>
      <c r="M191" s="235"/>
      <c r="N191" s="235"/>
    </row>
    <row r="192" spans="1:14" ht="12.75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132"/>
      <c r="M192" s="235"/>
      <c r="N192" s="235"/>
    </row>
    <row r="193" spans="1:14" ht="12.75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132"/>
      <c r="M193" s="235"/>
      <c r="N193" s="235"/>
    </row>
    <row r="194" spans="1:14" ht="12.75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132"/>
      <c r="M194" s="235"/>
      <c r="N194" s="235"/>
    </row>
    <row r="195" spans="1:14" ht="12.75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132"/>
      <c r="M195" s="235"/>
      <c r="N195" s="235"/>
    </row>
    <row r="196" spans="1:14" ht="12.75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132"/>
      <c r="M196" s="235"/>
      <c r="N196" s="235"/>
    </row>
    <row r="197" spans="1:14" ht="12.75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132"/>
      <c r="M197" s="235"/>
      <c r="N197" s="235"/>
    </row>
    <row r="198" spans="1:14" ht="12.75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132"/>
      <c r="M198" s="235"/>
      <c r="N198" s="235"/>
    </row>
    <row r="199" spans="1:14" ht="12.75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132"/>
      <c r="M199" s="235"/>
      <c r="N199" s="235"/>
    </row>
    <row r="200" spans="1:14" ht="12.75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132"/>
      <c r="M200" s="235"/>
      <c r="N200" s="235"/>
    </row>
    <row r="201" spans="1:14" ht="12.75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132"/>
      <c r="M201" s="235"/>
      <c r="N201" s="235"/>
    </row>
    <row r="202" spans="1:14" ht="12.75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132"/>
      <c r="M202" s="235"/>
      <c r="N202" s="235"/>
    </row>
    <row r="203" spans="1:14" ht="12.75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132"/>
      <c r="M203" s="235"/>
      <c r="N203" s="235"/>
    </row>
    <row r="204" spans="1:14" ht="12.75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132"/>
      <c r="M204" s="235"/>
      <c r="N204" s="235"/>
    </row>
    <row r="205" spans="1:14" ht="12.75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132"/>
      <c r="M205" s="235"/>
      <c r="N205" s="235"/>
    </row>
    <row r="206" spans="1:14" ht="12.75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132"/>
      <c r="M206" s="235"/>
      <c r="N206" s="235"/>
    </row>
    <row r="207" spans="1:14" ht="12.75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132"/>
      <c r="M207" s="235"/>
      <c r="N207" s="235"/>
    </row>
    <row r="208" spans="1:14" ht="12.75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132"/>
      <c r="M208" s="235"/>
      <c r="N208" s="235"/>
    </row>
    <row r="209" spans="1:14" ht="12.75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132"/>
      <c r="M209" s="235"/>
      <c r="N209" s="235"/>
    </row>
    <row r="210" spans="1:14" ht="12.75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132"/>
      <c r="M210" s="235"/>
      <c r="N210" s="235"/>
    </row>
    <row r="211" spans="1:14" ht="12.75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132"/>
      <c r="M211" s="235"/>
      <c r="N211" s="235"/>
    </row>
    <row r="212" spans="1:14" ht="12.75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132"/>
      <c r="M212" s="235"/>
      <c r="N212" s="235"/>
    </row>
    <row r="213" spans="1:14" ht="12.75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132"/>
      <c r="M213" s="235"/>
      <c r="N213" s="235"/>
    </row>
    <row r="214" spans="1:14" ht="12.75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132"/>
      <c r="M214" s="235"/>
      <c r="N214" s="235"/>
    </row>
    <row r="215" spans="1:14" ht="12.75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132"/>
      <c r="M215" s="235"/>
      <c r="N215" s="235"/>
    </row>
    <row r="216" spans="1:14" ht="12.75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132"/>
      <c r="M216" s="235"/>
      <c r="N216" s="235"/>
    </row>
    <row r="217" spans="1:14" ht="12.75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132"/>
      <c r="M217" s="235"/>
      <c r="N217" s="235"/>
    </row>
    <row r="218" spans="1:14" ht="12.75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132"/>
      <c r="M218" s="235"/>
      <c r="N218" s="235"/>
    </row>
    <row r="219" spans="1:14" ht="12.75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132"/>
      <c r="M219" s="235"/>
      <c r="N219" s="235"/>
    </row>
    <row r="220" spans="1:14" ht="12.75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132"/>
      <c r="M220" s="235"/>
      <c r="N220" s="235"/>
    </row>
    <row r="221" spans="1:14" ht="12.75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132"/>
      <c r="M221" s="235"/>
      <c r="N221" s="235"/>
    </row>
    <row r="222" spans="1:14" ht="12.75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132"/>
      <c r="M222" s="235"/>
      <c r="N222" s="235"/>
    </row>
    <row r="223" spans="1:14" ht="12.75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132"/>
      <c r="M223" s="235"/>
      <c r="N223" s="235"/>
    </row>
    <row r="224" spans="1:14" ht="12.75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132"/>
      <c r="M224" s="235"/>
      <c r="N224" s="235"/>
    </row>
    <row r="225" spans="1:14" ht="12.75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132"/>
      <c r="M225" s="235"/>
      <c r="N225" s="235"/>
    </row>
    <row r="226" spans="1:14" ht="12.75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132"/>
      <c r="M226" s="235"/>
      <c r="N226" s="235"/>
    </row>
    <row r="227" spans="1:14" ht="12.75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132"/>
      <c r="M227" s="235"/>
      <c r="N227" s="235"/>
    </row>
    <row r="228" spans="1:14" ht="12.75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132"/>
      <c r="M228" s="235"/>
      <c r="N228" s="235"/>
    </row>
    <row r="229" spans="1:14" ht="12.75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132"/>
      <c r="M229" s="235"/>
      <c r="N229" s="235"/>
    </row>
    <row r="230" spans="1:14" ht="12.75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132"/>
      <c r="M230" s="235"/>
      <c r="N230" s="235"/>
    </row>
    <row r="231" spans="1:14" ht="12.75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132"/>
      <c r="M231" s="235"/>
      <c r="N231" s="235"/>
    </row>
    <row r="232" spans="1:14" ht="12.75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132"/>
      <c r="M232" s="235"/>
      <c r="N232" s="235"/>
    </row>
    <row r="233" spans="1:14" ht="12.75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132"/>
      <c r="M233" s="235"/>
      <c r="N233" s="235"/>
    </row>
    <row r="234" spans="1:14" ht="12.75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132"/>
      <c r="M234" s="235"/>
      <c r="N234" s="235"/>
    </row>
    <row r="235" spans="1:14" ht="12.75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132"/>
      <c r="M235" s="235"/>
      <c r="N235" s="235"/>
    </row>
    <row r="236" spans="1:14" ht="12.75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132"/>
      <c r="M236" s="235"/>
      <c r="N236" s="235"/>
    </row>
    <row r="237" spans="1:14" ht="12.75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132"/>
      <c r="M237" s="235"/>
      <c r="N237" s="235"/>
    </row>
    <row r="238" spans="1:14" ht="12.75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132"/>
      <c r="M238" s="235"/>
      <c r="N238" s="235"/>
    </row>
    <row r="239" spans="1:14" ht="12.75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132"/>
      <c r="M239" s="235"/>
      <c r="N239" s="235"/>
    </row>
    <row r="240" spans="1:14" ht="12.75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132"/>
      <c r="M240" s="235"/>
      <c r="N240" s="235"/>
    </row>
    <row r="241" spans="1:14" ht="12.75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132"/>
      <c r="M241" s="235"/>
      <c r="N241" s="235"/>
    </row>
    <row r="242" spans="1:14" ht="12.75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132"/>
      <c r="M242" s="235"/>
      <c r="N242" s="235"/>
    </row>
    <row r="243" spans="1:14" ht="12.75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132"/>
      <c r="M243" s="235"/>
      <c r="N243" s="235"/>
    </row>
    <row r="244" spans="1:14" ht="12.75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132"/>
      <c r="M244" s="235"/>
      <c r="N244" s="235"/>
    </row>
    <row r="245" spans="1:14" ht="12.75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132"/>
      <c r="M245" s="235"/>
      <c r="N245" s="235"/>
    </row>
    <row r="246" spans="1:14" ht="12.75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132"/>
      <c r="M246" s="235"/>
      <c r="N246" s="235"/>
    </row>
    <row r="247" spans="1:14" ht="12.75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132"/>
      <c r="M247" s="235"/>
      <c r="N247" s="235"/>
    </row>
    <row r="248" spans="1:14" ht="12.75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132"/>
      <c r="M248" s="235"/>
      <c r="N248" s="235"/>
    </row>
    <row r="249" spans="1:14" ht="12.75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132"/>
      <c r="M249" s="235"/>
      <c r="N249" s="235"/>
    </row>
    <row r="250" spans="1:14" ht="12.75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132"/>
      <c r="M250" s="235"/>
      <c r="N250" s="235"/>
    </row>
    <row r="251" spans="1:14" ht="12.75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132"/>
      <c r="M251" s="235"/>
      <c r="N251" s="235"/>
    </row>
    <row r="252" spans="1:14" ht="12.75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132"/>
      <c r="M252" s="235"/>
      <c r="N252" s="235"/>
    </row>
    <row r="253" spans="1:14" ht="12.75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132"/>
      <c r="M253" s="235"/>
      <c r="N253" s="235"/>
    </row>
    <row r="254" spans="1:14" ht="12.75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132"/>
      <c r="M254" s="235"/>
      <c r="N254" s="235"/>
    </row>
    <row r="255" spans="1:14" ht="12.75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132"/>
      <c r="M255" s="235"/>
      <c r="N255" s="235"/>
    </row>
    <row r="256" spans="1:14" ht="12.75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132"/>
      <c r="M256" s="235"/>
      <c r="N256" s="235"/>
    </row>
    <row r="257" spans="1:14" ht="12.75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132"/>
      <c r="M257" s="235"/>
      <c r="N257" s="235"/>
    </row>
    <row r="258" spans="1:14" ht="12.75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132"/>
      <c r="M258" s="235"/>
      <c r="N258" s="235"/>
    </row>
    <row r="259" spans="1:14" ht="12.75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132"/>
      <c r="M259" s="235"/>
      <c r="N259" s="235"/>
    </row>
    <row r="260" spans="1:14" ht="12.75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132"/>
      <c r="M260" s="235"/>
      <c r="N260" s="235"/>
    </row>
    <row r="261" spans="1:14" ht="12.75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132"/>
      <c r="M261" s="235"/>
      <c r="N261" s="235"/>
    </row>
    <row r="262" spans="1:14" ht="12.75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132"/>
      <c r="M262" s="235"/>
      <c r="N262" s="235"/>
    </row>
    <row r="263" spans="1:14" ht="12.75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132"/>
      <c r="M263" s="235"/>
      <c r="N263" s="235"/>
    </row>
    <row r="264" spans="1:14" ht="12.75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132"/>
      <c r="M264" s="235"/>
      <c r="N264" s="235"/>
    </row>
    <row r="265" spans="1:14" ht="12.75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132"/>
      <c r="M265" s="235"/>
      <c r="N265" s="235"/>
    </row>
    <row r="266" spans="1:14" ht="12.75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132"/>
      <c r="M266" s="235"/>
      <c r="N266" s="235"/>
    </row>
    <row r="267" spans="1:14" ht="12.75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132"/>
      <c r="M267" s="235"/>
      <c r="N267" s="235"/>
    </row>
    <row r="268" spans="1:14" ht="12.75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132"/>
      <c r="M268" s="235"/>
      <c r="N268" s="235"/>
    </row>
    <row r="269" spans="1:14" ht="12.75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132"/>
      <c r="M269" s="235"/>
      <c r="N269" s="235"/>
    </row>
    <row r="270" spans="1:14" ht="12.75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132"/>
      <c r="M270" s="235"/>
      <c r="N270" s="235"/>
    </row>
    <row r="271" spans="1:14" ht="12.75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132"/>
      <c r="M271" s="235"/>
      <c r="N271" s="235"/>
    </row>
    <row r="272" spans="1:14" ht="12.75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132"/>
      <c r="M272" s="235"/>
      <c r="N272" s="235"/>
    </row>
    <row r="273" spans="1:14" ht="12.75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132"/>
      <c r="M273" s="235"/>
      <c r="N273" s="235"/>
    </row>
    <row r="274" spans="1:14" ht="12.75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132"/>
      <c r="M274" s="235"/>
      <c r="N274" s="235"/>
    </row>
    <row r="275" spans="1:14" ht="12.75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132"/>
      <c r="M275" s="235"/>
      <c r="N275" s="235"/>
    </row>
    <row r="276" spans="1:14" ht="12.75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132"/>
      <c r="M276" s="235"/>
      <c r="N276" s="235"/>
    </row>
    <row r="277" spans="1:14" ht="12.75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132"/>
      <c r="M277" s="235"/>
      <c r="N277" s="235"/>
    </row>
    <row r="278" spans="1:14" ht="12.75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132"/>
      <c r="M278" s="235"/>
      <c r="N278" s="235"/>
    </row>
    <row r="279" spans="1:14" ht="12.75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132"/>
      <c r="M279" s="235"/>
      <c r="N279" s="235"/>
    </row>
    <row r="280" spans="1:14" ht="12.75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132"/>
      <c r="M280" s="235"/>
      <c r="N280" s="235"/>
    </row>
    <row r="281" spans="1:14" ht="12.75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132"/>
      <c r="M281" s="235"/>
      <c r="N281" s="235"/>
    </row>
    <row r="282" spans="1:14" ht="12.75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132"/>
      <c r="M282" s="235"/>
      <c r="N282" s="235"/>
    </row>
    <row r="283" spans="1:14" ht="12.75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132"/>
      <c r="M283" s="235"/>
      <c r="N283" s="235"/>
    </row>
    <row r="284" spans="1:14" ht="12.75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132"/>
      <c r="M284" s="235"/>
      <c r="N284" s="235"/>
    </row>
    <row r="285" spans="1:14" ht="12.75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132"/>
      <c r="M285" s="235"/>
      <c r="N285" s="235"/>
    </row>
    <row r="286" spans="1:14" ht="12.75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132"/>
      <c r="M286" s="235"/>
      <c r="N286" s="235"/>
    </row>
    <row r="287" spans="1:14" ht="12.75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132"/>
      <c r="M287" s="235"/>
      <c r="N287" s="235"/>
    </row>
    <row r="288" spans="1:14" ht="12.75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132"/>
      <c r="M288" s="235"/>
      <c r="N288" s="235"/>
    </row>
    <row r="289" spans="1:14" ht="12.75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132"/>
      <c r="M289" s="235"/>
      <c r="N289" s="235"/>
    </row>
    <row r="290" spans="1:14" ht="12.75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132"/>
      <c r="M290" s="235"/>
      <c r="N290" s="235"/>
    </row>
    <row r="291" spans="1:14" ht="12.75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132"/>
      <c r="M291" s="235"/>
      <c r="N291" s="235"/>
    </row>
    <row r="292" spans="1:14" ht="12.75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132"/>
      <c r="M292" s="235"/>
      <c r="N292" s="235"/>
    </row>
    <row r="293" spans="1:14" ht="12.75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132"/>
      <c r="M293" s="235"/>
      <c r="N293" s="235"/>
    </row>
    <row r="294" spans="1:14" ht="12.75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132"/>
      <c r="M294" s="235"/>
      <c r="N294" s="235"/>
    </row>
    <row r="295" spans="1:14" ht="12.75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132"/>
      <c r="M295" s="235"/>
      <c r="N295" s="235"/>
    </row>
    <row r="296" spans="1:14" ht="12.75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132"/>
      <c r="M296" s="235"/>
      <c r="N296" s="235"/>
    </row>
    <row r="297" spans="1:14" ht="12.75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132"/>
      <c r="M297" s="235"/>
      <c r="N297" s="235"/>
    </row>
    <row r="298" spans="1:14" ht="12.75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132"/>
      <c r="M298" s="235"/>
      <c r="N298" s="235"/>
    </row>
    <row r="299" spans="1:14" ht="12.75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132"/>
      <c r="M299" s="235"/>
      <c r="N299" s="235"/>
    </row>
    <row r="300" spans="1:14" ht="12.75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132"/>
      <c r="M300" s="235"/>
      <c r="N300" s="235"/>
    </row>
    <row r="301" spans="1:14" ht="12.75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132"/>
      <c r="M301" s="235"/>
      <c r="N301" s="235"/>
    </row>
    <row r="302" spans="1:14" ht="12.75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132"/>
      <c r="M302" s="235"/>
      <c r="N302" s="235"/>
    </row>
    <row r="303" spans="1:14" ht="12.75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132"/>
      <c r="M303" s="235"/>
      <c r="N303" s="235"/>
    </row>
    <row r="304" spans="1:14" ht="12.75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132"/>
      <c r="M304" s="235"/>
      <c r="N304" s="235"/>
    </row>
    <row r="305" spans="1:14" ht="12.75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132"/>
      <c r="M305" s="235"/>
      <c r="N305" s="235"/>
    </row>
    <row r="306" spans="1:14" ht="12.75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132"/>
      <c r="M306" s="235"/>
      <c r="N306" s="235"/>
    </row>
    <row r="307" spans="1:14" ht="12.75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132"/>
      <c r="M307" s="235"/>
      <c r="N307" s="235"/>
    </row>
    <row r="308" spans="1:14" ht="12.75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132"/>
      <c r="M308" s="235"/>
      <c r="N308" s="235"/>
    </row>
    <row r="309" spans="1:14" ht="12.75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132"/>
      <c r="M309" s="235"/>
      <c r="N309" s="235"/>
    </row>
    <row r="310" spans="1:14" ht="12.75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132"/>
      <c r="M310" s="235"/>
      <c r="N310" s="235"/>
    </row>
    <row r="311" spans="1:14" ht="12.75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132"/>
      <c r="M311" s="235"/>
      <c r="N311" s="235"/>
    </row>
    <row r="312" spans="1:14" ht="12.75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132"/>
      <c r="M312" s="235"/>
      <c r="N312" s="235"/>
    </row>
    <row r="313" spans="1:14" ht="12.75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132"/>
      <c r="M313" s="235"/>
      <c r="N313" s="235"/>
    </row>
    <row r="314" spans="1:14" ht="12.75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132"/>
      <c r="M314" s="235"/>
      <c r="N314" s="235"/>
    </row>
    <row r="315" spans="1:14" ht="12.75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132"/>
      <c r="M315" s="235"/>
      <c r="N315" s="235"/>
    </row>
    <row r="316" spans="1:14" ht="12.75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132"/>
      <c r="M316" s="235"/>
      <c r="N316" s="235"/>
    </row>
    <row r="317" spans="1:14" ht="12.75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132"/>
      <c r="M317" s="235"/>
      <c r="N317" s="235"/>
    </row>
    <row r="318" spans="1:14" ht="12.75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132"/>
      <c r="M318" s="235"/>
      <c r="N318" s="235"/>
    </row>
    <row r="319" spans="1:14" ht="12.75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132"/>
      <c r="M319" s="235"/>
      <c r="N319" s="235"/>
    </row>
    <row r="320" spans="1:14" ht="12.75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132"/>
      <c r="M320" s="235"/>
      <c r="N320" s="235"/>
    </row>
    <row r="321" spans="1:14" ht="12.75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132"/>
      <c r="M321" s="235"/>
      <c r="N321" s="235"/>
    </row>
    <row r="322" spans="1:14" ht="12.75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132"/>
      <c r="M322" s="235"/>
      <c r="N322" s="235"/>
    </row>
    <row r="323" spans="1:14" ht="12.75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132"/>
      <c r="M323" s="235"/>
      <c r="N323" s="235"/>
    </row>
    <row r="324" spans="1:14" ht="12.75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132"/>
      <c r="M324" s="235"/>
      <c r="N324" s="235"/>
    </row>
    <row r="325" spans="1:14" ht="12.75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132"/>
      <c r="M325" s="235"/>
      <c r="N325" s="235"/>
    </row>
    <row r="326" spans="1:14" ht="12.75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132"/>
      <c r="M326" s="235"/>
      <c r="N326" s="235"/>
    </row>
    <row r="327" spans="1:14" ht="12.75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132"/>
      <c r="M327" s="235"/>
      <c r="N327" s="235"/>
    </row>
    <row r="328" spans="1:14" ht="12.75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132"/>
      <c r="M328" s="235"/>
      <c r="N328" s="235"/>
    </row>
    <row r="329" spans="1:14" ht="12.75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132"/>
      <c r="M329" s="235"/>
      <c r="N329" s="235"/>
    </row>
    <row r="330" spans="1:14" ht="12.75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132"/>
      <c r="M330" s="235"/>
      <c r="N330" s="235"/>
    </row>
    <row r="331" spans="1:14" ht="12.75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132"/>
      <c r="M331" s="235"/>
      <c r="N331" s="235"/>
    </row>
    <row r="332" spans="1:14" ht="12.75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132"/>
      <c r="M332" s="235"/>
      <c r="N332" s="235"/>
    </row>
    <row r="333" spans="1:14" ht="12.75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132"/>
      <c r="M333" s="235"/>
      <c r="N333" s="235"/>
    </row>
    <row r="334" spans="1:14" ht="12.75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132"/>
      <c r="M334" s="235"/>
      <c r="N334" s="235"/>
    </row>
    <row r="335" spans="1:14" ht="12.75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132"/>
      <c r="M335" s="235"/>
      <c r="N335" s="235"/>
    </row>
    <row r="336" spans="1:14" ht="12.75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132"/>
      <c r="M336" s="235"/>
      <c r="N336" s="235"/>
    </row>
    <row r="337" spans="1:14" ht="12.75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132"/>
      <c r="M337" s="235"/>
      <c r="N337" s="235"/>
    </row>
    <row r="338" spans="1:14" ht="12.75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132"/>
      <c r="M338" s="235"/>
      <c r="N338" s="235"/>
    </row>
    <row r="339" spans="1:14" ht="12.75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132"/>
      <c r="M339" s="235"/>
      <c r="N339" s="235"/>
    </row>
    <row r="340" spans="1:14" ht="12.75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132"/>
      <c r="M340" s="235"/>
      <c r="N340" s="235"/>
    </row>
    <row r="341" spans="1:14" ht="12.75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132"/>
      <c r="M341" s="235"/>
      <c r="N341" s="235"/>
    </row>
    <row r="342" spans="1:14" ht="12.75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132"/>
      <c r="M342" s="235"/>
      <c r="N342" s="235"/>
    </row>
    <row r="343" spans="1:14" ht="12.75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132"/>
      <c r="M343" s="235"/>
      <c r="N343" s="235"/>
    </row>
    <row r="344" spans="1:14" ht="12.75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132"/>
      <c r="M344" s="235"/>
      <c r="N344" s="235"/>
    </row>
    <row r="345" spans="1:14" ht="12.75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132"/>
      <c r="M345" s="235"/>
      <c r="N345" s="235"/>
    </row>
    <row r="346" spans="1:14" ht="12.75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132"/>
      <c r="M346" s="235"/>
      <c r="N346" s="235"/>
    </row>
    <row r="347" spans="1:14" ht="12.75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132"/>
      <c r="M347" s="235"/>
      <c r="N347" s="235"/>
    </row>
    <row r="348" spans="1:14" ht="12.75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132"/>
      <c r="M348" s="235"/>
      <c r="N348" s="235"/>
    </row>
    <row r="349" spans="1:14" ht="12.75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132"/>
      <c r="M349" s="235"/>
      <c r="N349" s="235"/>
    </row>
    <row r="350" spans="1:14" ht="12.75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132"/>
      <c r="M350" s="235"/>
      <c r="N350" s="235"/>
    </row>
    <row r="351" spans="1:14" ht="12.75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132"/>
      <c r="M351" s="235"/>
      <c r="N351" s="235"/>
    </row>
    <row r="352" spans="1:14" ht="12.75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132"/>
      <c r="M352" s="235"/>
      <c r="N352" s="235"/>
    </row>
    <row r="353" spans="1:14" ht="12.75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132"/>
      <c r="M353" s="235"/>
      <c r="N353" s="235"/>
    </row>
    <row r="354" spans="1:14" ht="12.75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132"/>
      <c r="M354" s="235"/>
      <c r="N354" s="235"/>
    </row>
    <row r="355" spans="1:14" ht="12.75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132"/>
      <c r="M355" s="235"/>
      <c r="N355" s="235"/>
    </row>
    <row r="356" spans="1:14" ht="12.75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132"/>
      <c r="M356" s="235"/>
      <c r="N356" s="235"/>
    </row>
    <row r="357" spans="1:14" ht="12.75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132"/>
      <c r="M357" s="235"/>
      <c r="N357" s="235"/>
    </row>
    <row r="358" spans="1:14" ht="12.75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132"/>
      <c r="M358" s="235"/>
      <c r="N358" s="235"/>
    </row>
    <row r="359" spans="1:14" ht="12.75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132"/>
      <c r="M359" s="235"/>
      <c r="N359" s="235"/>
    </row>
    <row r="360" spans="1:14" ht="12.75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132"/>
      <c r="M360" s="235"/>
      <c r="N360" s="235"/>
    </row>
    <row r="361" spans="1:14" ht="12.75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132"/>
      <c r="M361" s="235"/>
      <c r="N361" s="235"/>
    </row>
    <row r="362" spans="1:14" ht="12.75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132"/>
      <c r="M362" s="235"/>
      <c r="N362" s="235"/>
    </row>
    <row r="363" spans="1:14" ht="12.75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132"/>
      <c r="M363" s="235"/>
      <c r="N363" s="235"/>
    </row>
    <row r="364" spans="1:14" ht="12.75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132"/>
      <c r="M364" s="235"/>
      <c r="N364" s="235"/>
    </row>
    <row r="365" spans="1:14" ht="12.75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132"/>
      <c r="M365" s="235"/>
      <c r="N365" s="235"/>
    </row>
    <row r="366" spans="1:14" ht="12.75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132"/>
      <c r="M366" s="235"/>
      <c r="N366" s="235"/>
    </row>
    <row r="367" spans="1:14" ht="12.75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132"/>
      <c r="M367" s="235"/>
      <c r="N367" s="235"/>
    </row>
    <row r="368" spans="1:14" ht="12.75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132"/>
      <c r="M368" s="235"/>
      <c r="N368" s="235"/>
    </row>
    <row r="369" spans="1:14" ht="12.75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132"/>
      <c r="M369" s="235"/>
      <c r="N369" s="235"/>
    </row>
    <row r="370" spans="1:14" ht="12.75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132"/>
      <c r="M370" s="235"/>
      <c r="N370" s="235"/>
    </row>
    <row r="371" spans="1:14" ht="12.75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132"/>
      <c r="M371" s="235"/>
      <c r="N371" s="235"/>
    </row>
    <row r="372" spans="1:14" ht="12.75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132"/>
      <c r="M372" s="235"/>
      <c r="N372" s="235"/>
    </row>
    <row r="373" spans="1:14" ht="12.75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132"/>
      <c r="M373" s="235"/>
      <c r="N373" s="235"/>
    </row>
    <row r="374" spans="1:14" ht="12.75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132"/>
      <c r="M374" s="235"/>
      <c r="N374" s="235"/>
    </row>
    <row r="375" spans="1:14" ht="12.75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132"/>
      <c r="M375" s="235"/>
      <c r="N375" s="235"/>
    </row>
    <row r="376" spans="1:14" ht="12.75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132"/>
      <c r="M376" s="235"/>
      <c r="N376" s="235"/>
    </row>
    <row r="377" spans="1:14" ht="12.75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132"/>
      <c r="M377" s="235"/>
      <c r="N377" s="235"/>
    </row>
    <row r="378" spans="1:14" ht="12.75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132"/>
      <c r="M378" s="235"/>
      <c r="N378" s="235"/>
    </row>
    <row r="379" spans="1:14" ht="12.75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132"/>
      <c r="M379" s="235"/>
      <c r="N379" s="235"/>
    </row>
    <row r="380" spans="1:14" ht="12.75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132"/>
      <c r="M380" s="235"/>
      <c r="N380" s="235"/>
    </row>
    <row r="381" spans="1:14" ht="12.75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132"/>
      <c r="M381" s="235"/>
      <c r="N381" s="235"/>
    </row>
    <row r="382" spans="1:14" ht="12.75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132"/>
      <c r="M382" s="235"/>
      <c r="N382" s="235"/>
    </row>
    <row r="383" spans="1:14" ht="12.75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132"/>
      <c r="M383" s="235"/>
      <c r="N383" s="235"/>
    </row>
    <row r="384" spans="1:14" ht="12.75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132"/>
      <c r="M384" s="235"/>
      <c r="N384" s="235"/>
    </row>
    <row r="385" spans="1:14" ht="12.75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132"/>
      <c r="M385" s="235"/>
      <c r="N385" s="235"/>
    </row>
    <row r="386" spans="1:14" ht="12.75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132"/>
      <c r="M386" s="235"/>
      <c r="N386" s="235"/>
    </row>
    <row r="387" spans="1:14" ht="12.75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132"/>
      <c r="M387" s="235"/>
      <c r="N387" s="235"/>
    </row>
    <row r="388" spans="1:14" ht="12.75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132"/>
      <c r="M388" s="235"/>
      <c r="N388" s="235"/>
    </row>
    <row r="389" spans="1:14" ht="12.75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132"/>
      <c r="M389" s="235"/>
      <c r="N389" s="235"/>
    </row>
    <row r="390" spans="1:14" ht="12.75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132"/>
      <c r="M390" s="235"/>
      <c r="N390" s="235"/>
    </row>
    <row r="391" spans="1:14" ht="12.75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132"/>
      <c r="M391" s="235"/>
      <c r="N391" s="235"/>
    </row>
    <row r="392" spans="1:14" ht="12.75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132"/>
      <c r="M392" s="235"/>
      <c r="N392" s="235"/>
    </row>
    <row r="393" spans="1:14" ht="12.75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132"/>
      <c r="M393" s="235"/>
      <c r="N393" s="235"/>
    </row>
    <row r="394" spans="1:14" ht="12.75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132"/>
      <c r="M394" s="235"/>
      <c r="N394" s="235"/>
    </row>
    <row r="395" spans="1:14" ht="12.75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132"/>
      <c r="M395" s="235"/>
      <c r="N395" s="235"/>
    </row>
    <row r="396" spans="1:14" ht="12.75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132"/>
      <c r="M396" s="235"/>
      <c r="N396" s="235"/>
    </row>
    <row r="397" spans="1:14" ht="12.75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132"/>
      <c r="M397" s="235"/>
      <c r="N397" s="235"/>
    </row>
    <row r="398" spans="1:14" ht="12.75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132"/>
      <c r="M398" s="235"/>
      <c r="N398" s="235"/>
    </row>
    <row r="399" spans="1:14" ht="12.75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132"/>
      <c r="M399" s="235"/>
      <c r="N399" s="235"/>
    </row>
    <row r="400" spans="1:14" ht="12.75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132"/>
      <c r="M400" s="235"/>
      <c r="N400" s="235"/>
    </row>
    <row r="401" spans="1:14" ht="12.75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132"/>
      <c r="M401" s="235"/>
      <c r="N401" s="235"/>
    </row>
    <row r="402" spans="1:14" ht="12.75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132"/>
      <c r="M402" s="235"/>
      <c r="N402" s="235"/>
    </row>
    <row r="403" spans="1:14" ht="12.75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132"/>
      <c r="M403" s="235"/>
      <c r="N403" s="235"/>
    </row>
    <row r="404" spans="1:14" ht="12.75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132"/>
      <c r="M404" s="235"/>
      <c r="N404" s="235"/>
    </row>
    <row r="405" spans="1:14" ht="12.75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132"/>
      <c r="M405" s="235"/>
      <c r="N405" s="235"/>
    </row>
    <row r="406" spans="1:14" ht="12.75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132"/>
      <c r="M406" s="235"/>
      <c r="N406" s="235"/>
    </row>
    <row r="407" spans="1:14" ht="12.75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132"/>
      <c r="M407" s="235"/>
      <c r="N407" s="235"/>
    </row>
    <row r="408" spans="1:14" ht="12.75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132"/>
      <c r="M408" s="235"/>
      <c r="N408" s="235"/>
    </row>
    <row r="409" spans="1:14" ht="12.75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132"/>
      <c r="M409" s="235"/>
      <c r="N409" s="235"/>
    </row>
    <row r="410" spans="1:14" ht="12.75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132"/>
      <c r="M410" s="235"/>
      <c r="N410" s="235"/>
    </row>
    <row r="411" spans="1:14" ht="12.75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132"/>
      <c r="M411" s="235"/>
      <c r="N411" s="235"/>
    </row>
    <row r="412" spans="1:14" ht="12.75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132"/>
      <c r="M412" s="235"/>
      <c r="N412" s="235"/>
    </row>
    <row r="413" spans="1:14" ht="12.75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132"/>
      <c r="M413" s="235"/>
      <c r="N413" s="235"/>
    </row>
    <row r="414" spans="1:14" ht="12.75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132"/>
      <c r="M414" s="235"/>
      <c r="N414" s="235"/>
    </row>
    <row r="415" spans="1:14" ht="12.75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132"/>
      <c r="M415" s="235"/>
      <c r="N415" s="235"/>
    </row>
    <row r="416" spans="1:14" ht="12.75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132"/>
      <c r="M416" s="235"/>
      <c r="N416" s="235"/>
    </row>
    <row r="417" spans="1:14" ht="12.75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132"/>
      <c r="M417" s="235"/>
      <c r="N417" s="235"/>
    </row>
    <row r="418" spans="1:14" ht="12.75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132"/>
      <c r="M418" s="235"/>
      <c r="N418" s="235"/>
    </row>
    <row r="419" spans="1:14" ht="12.75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132"/>
      <c r="M419" s="235"/>
      <c r="N419" s="235"/>
    </row>
    <row r="420" spans="1:14" ht="12.75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132"/>
      <c r="M420" s="235"/>
      <c r="N420" s="235"/>
    </row>
    <row r="421" spans="1:14" ht="12.75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132"/>
      <c r="M421" s="235"/>
      <c r="N421" s="235"/>
    </row>
    <row r="422" spans="1:14" ht="12.75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132"/>
      <c r="M422" s="235"/>
      <c r="N422" s="235"/>
    </row>
    <row r="423" spans="1:14" ht="12.75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132"/>
      <c r="M423" s="235"/>
      <c r="N423" s="235"/>
    </row>
    <row r="424" spans="1:14" ht="12.75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132"/>
      <c r="M424" s="235"/>
      <c r="N424" s="235"/>
    </row>
    <row r="425" spans="1:14" ht="12.75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132"/>
      <c r="M425" s="235"/>
      <c r="N425" s="235"/>
    </row>
    <row r="426" spans="1:14" ht="12.75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132"/>
      <c r="M426" s="235"/>
      <c r="N426" s="235"/>
    </row>
    <row r="427" spans="1:14" ht="12.75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132"/>
      <c r="M427" s="235"/>
      <c r="N427" s="235"/>
    </row>
    <row r="428" spans="1:14" ht="12.75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132"/>
      <c r="M428" s="235"/>
      <c r="N428" s="235"/>
    </row>
    <row r="429" spans="1:14" ht="12.75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132"/>
      <c r="M429" s="235"/>
      <c r="N429" s="235"/>
    </row>
    <row r="430" spans="1:14" ht="12.75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132"/>
      <c r="M430" s="235"/>
      <c r="N430" s="235"/>
    </row>
    <row r="431" spans="1:14" ht="12.75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132"/>
      <c r="M431" s="235"/>
      <c r="N431" s="235"/>
    </row>
    <row r="432" spans="1:14" ht="12.75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132"/>
      <c r="M432" s="235"/>
      <c r="N432" s="235"/>
    </row>
    <row r="433" spans="1:14" ht="12.75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132"/>
      <c r="M433" s="235"/>
      <c r="N433" s="235"/>
    </row>
    <row r="434" spans="1:14" ht="12.75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132"/>
      <c r="M434" s="235"/>
      <c r="N434" s="235"/>
    </row>
    <row r="435" spans="1:14" ht="12.75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132"/>
      <c r="M435" s="235"/>
      <c r="N435" s="235"/>
    </row>
    <row r="436" spans="1:14" ht="12.75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132"/>
      <c r="M436" s="235"/>
      <c r="N436" s="235"/>
    </row>
    <row r="437" spans="1:14" ht="12.75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132"/>
      <c r="M437" s="235"/>
      <c r="N437" s="235"/>
    </row>
    <row r="438" spans="1:14" ht="12.75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132"/>
      <c r="M438" s="235"/>
      <c r="N438" s="235"/>
    </row>
    <row r="439" spans="1:14" ht="12.75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132"/>
      <c r="M439" s="235"/>
      <c r="N439" s="235"/>
    </row>
    <row r="440" spans="1:14" ht="12.75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132"/>
      <c r="M440" s="235"/>
      <c r="N440" s="235"/>
    </row>
    <row r="441" spans="1:14" ht="12.75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132"/>
      <c r="M441" s="235"/>
      <c r="N441" s="235"/>
    </row>
    <row r="442" spans="1:14" ht="12.75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132"/>
      <c r="M442" s="235"/>
      <c r="N442" s="235"/>
    </row>
    <row r="443" spans="1:14" ht="12.75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132"/>
      <c r="M443" s="235"/>
      <c r="N443" s="235"/>
    </row>
    <row r="444" spans="1:14" ht="12.75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132"/>
      <c r="M444" s="235"/>
      <c r="N444" s="235"/>
    </row>
    <row r="445" spans="1:14" ht="12.75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132"/>
      <c r="M445" s="235"/>
      <c r="N445" s="235"/>
    </row>
    <row r="446" spans="1:14" ht="12.75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132"/>
      <c r="M446" s="235"/>
      <c r="N446" s="235"/>
    </row>
    <row r="447" spans="1:14" ht="12.75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132"/>
      <c r="M447" s="235"/>
      <c r="N447" s="235"/>
    </row>
    <row r="448" spans="1:14" ht="12.75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132"/>
      <c r="M448" s="235"/>
      <c r="N448" s="235"/>
    </row>
    <row r="449" spans="1:14" ht="12.75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132"/>
      <c r="M449" s="235"/>
      <c r="N449" s="235"/>
    </row>
    <row r="450" spans="1:14" ht="12.75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132"/>
      <c r="M450" s="235"/>
      <c r="N450" s="235"/>
    </row>
    <row r="451" spans="1:14" ht="12.75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132"/>
      <c r="M451" s="235"/>
      <c r="N451" s="235"/>
    </row>
    <row r="452" spans="1:14" ht="12.75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132"/>
      <c r="M452" s="235"/>
      <c r="N452" s="235"/>
    </row>
    <row r="453" spans="1:14" ht="12.75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132"/>
      <c r="M453" s="235"/>
      <c r="N453" s="235"/>
    </row>
    <row r="454" spans="1:14" ht="12.75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132"/>
      <c r="M454" s="235"/>
      <c r="N454" s="235"/>
    </row>
    <row r="455" spans="1:14" ht="12.75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132"/>
      <c r="M455" s="235"/>
      <c r="N455" s="235"/>
    </row>
    <row r="456" spans="1:14" ht="12.75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132"/>
      <c r="M456" s="235"/>
      <c r="N456" s="235"/>
    </row>
    <row r="457" spans="1:14" ht="12.75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132"/>
      <c r="M457" s="235"/>
      <c r="N457" s="235"/>
    </row>
    <row r="458" spans="1:14" ht="12.75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132"/>
      <c r="M458" s="235"/>
      <c r="N458" s="235"/>
    </row>
    <row r="459" spans="1:14" ht="12.75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132"/>
      <c r="M459" s="235"/>
      <c r="N459" s="235"/>
    </row>
    <row r="460" spans="1:14" ht="12.75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132"/>
      <c r="M460" s="235"/>
      <c r="N460" s="235"/>
    </row>
    <row r="461" spans="1:14" ht="12.75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132"/>
      <c r="M461" s="235"/>
      <c r="N461" s="235"/>
    </row>
    <row r="462" spans="1:14" ht="12.75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132"/>
      <c r="M462" s="235"/>
      <c r="N462" s="235"/>
    </row>
    <row r="463" spans="1:14" ht="12.75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132"/>
      <c r="M463" s="235"/>
      <c r="N463" s="235"/>
    </row>
    <row r="464" spans="1:14" ht="12.75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132"/>
      <c r="M464" s="235"/>
      <c r="N464" s="235"/>
    </row>
    <row r="465" spans="1:14" ht="12.75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132"/>
      <c r="M465" s="235"/>
      <c r="N465" s="235"/>
    </row>
    <row r="466" spans="1:14" ht="12.75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132"/>
      <c r="M466" s="235"/>
      <c r="N466" s="235"/>
    </row>
    <row r="467" spans="1:14" ht="12.75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132"/>
      <c r="M467" s="235"/>
      <c r="N467" s="235"/>
    </row>
    <row r="468" spans="1:14" ht="12.75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132"/>
      <c r="M468" s="235"/>
      <c r="N468" s="235"/>
    </row>
    <row r="469" spans="1:14" ht="12.75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132"/>
      <c r="M469" s="235"/>
      <c r="N469" s="235"/>
    </row>
    <row r="470" spans="1:14" ht="12.75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132"/>
      <c r="M470" s="235"/>
      <c r="N470" s="235"/>
    </row>
    <row r="471" spans="1:14" ht="12.75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132"/>
      <c r="M471" s="235"/>
      <c r="N471" s="235"/>
    </row>
    <row r="472" spans="1:14" ht="12.75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132"/>
      <c r="M472" s="235"/>
      <c r="N472" s="235"/>
    </row>
    <row r="473" spans="1:14" ht="12.75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132"/>
      <c r="M473" s="235"/>
      <c r="N473" s="235"/>
    </row>
    <row r="474" spans="1:14" ht="12.75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132"/>
      <c r="M474" s="235"/>
      <c r="N474" s="235"/>
    </row>
    <row r="475" spans="1:14" ht="12.75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132"/>
      <c r="M475" s="235"/>
      <c r="N475" s="235"/>
    </row>
    <row r="476" spans="1:14" ht="12.75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132"/>
      <c r="M476" s="235"/>
      <c r="N476" s="235"/>
    </row>
    <row r="477" spans="1:14" ht="12.75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132"/>
      <c r="M477" s="235"/>
      <c r="N477" s="235"/>
    </row>
    <row r="478" spans="1:14" ht="12.75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132"/>
      <c r="M478" s="235"/>
      <c r="N478" s="235"/>
    </row>
    <row r="479" spans="1:14" ht="12.75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132"/>
      <c r="M479" s="235"/>
      <c r="N479" s="235"/>
    </row>
    <row r="480" spans="1:14" ht="12.75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132"/>
      <c r="M480" s="235"/>
      <c r="N480" s="235"/>
    </row>
    <row r="481" spans="1:14" ht="12.75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132"/>
      <c r="M481" s="235"/>
      <c r="N481" s="235"/>
    </row>
    <row r="482" spans="1:14" ht="12.75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132"/>
      <c r="M482" s="235"/>
      <c r="N482" s="235"/>
    </row>
    <row r="483" spans="1:14" ht="12.75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132"/>
      <c r="M483" s="235"/>
      <c r="N483" s="235"/>
    </row>
    <row r="484" spans="1:14" ht="12.75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132"/>
      <c r="M484" s="235"/>
      <c r="N484" s="235"/>
    </row>
    <row r="485" spans="1:14" ht="12.75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132"/>
      <c r="M485" s="235"/>
      <c r="N485" s="235"/>
    </row>
    <row r="486" spans="1:14" ht="12.75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132"/>
      <c r="M486" s="235"/>
      <c r="N486" s="235"/>
    </row>
    <row r="487" spans="1:14" ht="12.75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132"/>
      <c r="M487" s="235"/>
      <c r="N487" s="235"/>
    </row>
    <row r="488" spans="1:14" ht="12.75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132"/>
      <c r="M488" s="235"/>
      <c r="N488" s="235"/>
    </row>
    <row r="489" spans="1:14" ht="12.75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132"/>
      <c r="M489" s="235"/>
      <c r="N489" s="235"/>
    </row>
    <row r="490" spans="1:14" ht="12.75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132"/>
      <c r="M490" s="235"/>
      <c r="N490" s="235"/>
    </row>
    <row r="491" spans="1:14" ht="12.75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132"/>
      <c r="M491" s="235"/>
      <c r="N491" s="235"/>
    </row>
    <row r="492" spans="1:14" ht="12.75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132"/>
      <c r="M492" s="235"/>
      <c r="N492" s="235"/>
    </row>
    <row r="493" spans="1:14" ht="12.75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132"/>
      <c r="M493" s="235"/>
      <c r="N493" s="235"/>
    </row>
    <row r="494" spans="1:14" ht="12.75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132"/>
      <c r="M494" s="235"/>
      <c r="N494" s="235"/>
    </row>
    <row r="495" spans="1:14" ht="12.75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132"/>
      <c r="M495" s="235"/>
      <c r="N495" s="235"/>
    </row>
    <row r="496" spans="1:14" ht="12.75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132"/>
      <c r="M496" s="235"/>
      <c r="N496" s="235"/>
    </row>
    <row r="497" spans="1:14" ht="12.75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132"/>
      <c r="M497" s="235"/>
      <c r="N497" s="235"/>
    </row>
    <row r="498" spans="1:14" ht="12.75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132"/>
      <c r="M498" s="235"/>
      <c r="N498" s="235"/>
    </row>
    <row r="499" spans="1:14" ht="12.75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132"/>
      <c r="M499" s="235"/>
      <c r="N499" s="235"/>
    </row>
    <row r="500" spans="1:14" ht="12.75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132"/>
      <c r="M500" s="235"/>
      <c r="N500" s="235"/>
    </row>
    <row r="501" spans="1:14" ht="12.75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132"/>
      <c r="M501" s="235"/>
      <c r="N501" s="235"/>
    </row>
    <row r="502" spans="1:14" ht="12.75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132"/>
      <c r="M502" s="235"/>
      <c r="N502" s="235"/>
    </row>
    <row r="503" spans="1:14" ht="12.75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132"/>
      <c r="M503" s="235"/>
      <c r="N503" s="235"/>
    </row>
    <row r="504" spans="1:14" ht="12.75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132"/>
      <c r="M504" s="235"/>
      <c r="N504" s="235"/>
    </row>
    <row r="505" spans="1:14" ht="12.75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132"/>
      <c r="M505" s="235"/>
      <c r="N505" s="235"/>
    </row>
    <row r="506" spans="1:14" ht="12.75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132"/>
      <c r="M506" s="235"/>
      <c r="N506" s="235"/>
    </row>
    <row r="507" spans="1:14" ht="12.75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132"/>
      <c r="M507" s="235"/>
      <c r="N507" s="235"/>
    </row>
    <row r="508" spans="1:14" ht="12.75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132"/>
      <c r="M508" s="235"/>
      <c r="N508" s="235"/>
    </row>
    <row r="509" spans="1:14" ht="12.75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132"/>
      <c r="M509" s="235"/>
      <c r="N509" s="235"/>
    </row>
    <row r="510" spans="1:14" ht="12.75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132"/>
      <c r="M510" s="235"/>
      <c r="N510" s="235"/>
    </row>
    <row r="511" spans="1:14" ht="12.75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132"/>
      <c r="M511" s="235"/>
      <c r="N511" s="235"/>
    </row>
    <row r="512" spans="1:14" ht="12.75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132"/>
      <c r="M512" s="235"/>
      <c r="N512" s="235"/>
    </row>
    <row r="513" spans="1:14" ht="12.75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132"/>
      <c r="M513" s="235"/>
      <c r="N513" s="235"/>
    </row>
    <row r="514" spans="1:14" ht="12.75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132"/>
      <c r="M514" s="235"/>
      <c r="N514" s="235"/>
    </row>
    <row r="515" spans="1:14" ht="12.75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132"/>
      <c r="M515" s="235"/>
      <c r="N515" s="235"/>
    </row>
    <row r="516" spans="1:14" ht="12.75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132"/>
      <c r="M516" s="235"/>
      <c r="N516" s="235"/>
    </row>
    <row r="517" spans="1:14" ht="12.75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132"/>
      <c r="M517" s="235"/>
      <c r="N517" s="235"/>
    </row>
    <row r="518" spans="1:14" ht="12.75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132"/>
      <c r="M518" s="235"/>
      <c r="N518" s="235"/>
    </row>
    <row r="519" spans="1:14" ht="12.75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132"/>
      <c r="M519" s="235"/>
      <c r="N519" s="235"/>
    </row>
    <row r="520" spans="1:14" ht="12.75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132"/>
      <c r="M520" s="235"/>
      <c r="N520" s="235"/>
    </row>
    <row r="521" spans="1:14" ht="12.75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132"/>
      <c r="M521" s="235"/>
      <c r="N521" s="235"/>
    </row>
    <row r="522" spans="1:14" ht="12.75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132"/>
      <c r="M522" s="235"/>
      <c r="N522" s="235"/>
    </row>
    <row r="523" spans="1:14" ht="12.75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132"/>
      <c r="M523" s="235"/>
      <c r="N523" s="235"/>
    </row>
    <row r="524" spans="1:14" ht="12.75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132"/>
      <c r="M524" s="235"/>
      <c r="N524" s="235"/>
    </row>
    <row r="525" spans="1:14" ht="12.75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132"/>
      <c r="M525" s="235"/>
      <c r="N525" s="235"/>
    </row>
    <row r="526" spans="1:14" ht="12.75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132"/>
      <c r="M526" s="235"/>
      <c r="N526" s="235"/>
    </row>
    <row r="527" spans="1:14" ht="12.75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132"/>
      <c r="M527" s="235"/>
      <c r="N527" s="235"/>
    </row>
    <row r="528" spans="1:14" ht="12.75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132"/>
      <c r="M528" s="235"/>
      <c r="N528" s="235"/>
    </row>
    <row r="529" spans="1:14" ht="12.75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132"/>
      <c r="M529" s="235"/>
      <c r="N529" s="235"/>
    </row>
    <row r="530" spans="1:14" ht="12.75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132"/>
      <c r="M530" s="235"/>
      <c r="N530" s="235"/>
    </row>
    <row r="531" spans="1:14" ht="12.75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132"/>
      <c r="M531" s="235"/>
      <c r="N531" s="235"/>
    </row>
    <row r="532" spans="1:14" ht="12.75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132"/>
      <c r="M532" s="235"/>
      <c r="N532" s="235"/>
    </row>
    <row r="533" spans="1:14" ht="12.75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132"/>
      <c r="M533" s="235"/>
      <c r="N533" s="235"/>
    </row>
    <row r="534" spans="1:14" ht="12.75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132"/>
      <c r="M534" s="235"/>
      <c r="N534" s="235"/>
    </row>
    <row r="535" spans="1:14" ht="12.75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132"/>
      <c r="M535" s="235"/>
      <c r="N535" s="235"/>
    </row>
    <row r="536" spans="1:14" ht="12.75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132"/>
      <c r="M536" s="235"/>
      <c r="N536" s="235"/>
    </row>
    <row r="537" spans="1:14" ht="12.75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132"/>
      <c r="M537" s="235"/>
      <c r="N537" s="235"/>
    </row>
    <row r="538" spans="1:14" ht="12.75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132"/>
      <c r="M538" s="235"/>
      <c r="N538" s="235"/>
    </row>
    <row r="539" spans="1:14" ht="12.75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132"/>
      <c r="M539" s="235"/>
      <c r="N539" s="235"/>
    </row>
    <row r="540" spans="1:14" ht="12.75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132"/>
      <c r="M540" s="235"/>
      <c r="N540" s="235"/>
    </row>
    <row r="541" spans="1:14" ht="12.75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132"/>
      <c r="M541" s="235"/>
      <c r="N541" s="235"/>
    </row>
    <row r="542" spans="1:14" ht="12.75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132"/>
      <c r="M542" s="235"/>
      <c r="N542" s="235"/>
    </row>
    <row r="543" spans="1:14" ht="12.75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132"/>
      <c r="M543" s="235"/>
      <c r="N543" s="235"/>
    </row>
    <row r="544" spans="1:14" ht="12.75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132"/>
      <c r="M544" s="235"/>
      <c r="N544" s="235"/>
    </row>
    <row r="545" spans="1:14" ht="12.75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132"/>
      <c r="M545" s="235"/>
      <c r="N545" s="235"/>
    </row>
    <row r="546" spans="1:14" ht="12.75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132"/>
      <c r="M546" s="235"/>
      <c r="N546" s="235"/>
    </row>
    <row r="547" spans="1:14" ht="12.75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132"/>
      <c r="M547" s="235"/>
      <c r="N547" s="235"/>
    </row>
    <row r="548" spans="1:14" ht="12.75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132"/>
      <c r="M548" s="235"/>
      <c r="N548" s="235"/>
    </row>
    <row r="549" spans="1:14" ht="12.75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132"/>
      <c r="M549" s="235"/>
      <c r="N549" s="235"/>
    </row>
    <row r="550" spans="1:14" ht="12.75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132"/>
      <c r="M550" s="235"/>
      <c r="N550" s="235"/>
    </row>
    <row r="551" spans="1:14" ht="12.75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132"/>
      <c r="M551" s="235"/>
      <c r="N551" s="235"/>
    </row>
    <row r="552" spans="1:14" ht="12.75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132"/>
      <c r="M552" s="235"/>
      <c r="N552" s="235"/>
    </row>
    <row r="553" spans="1:14" ht="12.75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132"/>
      <c r="M553" s="235"/>
      <c r="N553" s="235"/>
    </row>
    <row r="554" spans="1:14" ht="12.75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132"/>
      <c r="M554" s="235"/>
      <c r="N554" s="235"/>
    </row>
    <row r="555" spans="1:14" ht="12.75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132"/>
      <c r="M555" s="235"/>
      <c r="N555" s="235"/>
    </row>
    <row r="556" spans="1:14" ht="12.75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132"/>
      <c r="M556" s="235"/>
      <c r="N556" s="235"/>
    </row>
    <row r="557" spans="1:14" ht="12.75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132"/>
      <c r="M557" s="235"/>
      <c r="N557" s="235"/>
    </row>
    <row r="558" spans="1:14" ht="12.75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132"/>
      <c r="M558" s="235"/>
      <c r="N558" s="235"/>
    </row>
    <row r="559" spans="1:14" ht="12.75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132"/>
      <c r="M559" s="235"/>
      <c r="N559" s="235"/>
    </row>
    <row r="560" spans="1:14" ht="12.75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132"/>
      <c r="M560" s="235"/>
      <c r="N560" s="235"/>
    </row>
    <row r="561" spans="1:14" ht="12.75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132"/>
      <c r="M561" s="235"/>
      <c r="N561" s="235"/>
    </row>
    <row r="562" spans="1:14" ht="12.75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132"/>
      <c r="M562" s="235"/>
      <c r="N562" s="235"/>
    </row>
    <row r="563" spans="1:14" ht="12.75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132"/>
      <c r="M563" s="235"/>
      <c r="N563" s="235"/>
    </row>
    <row r="564" spans="1:14" ht="12.75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132"/>
      <c r="M564" s="235"/>
      <c r="N564" s="235"/>
    </row>
    <row r="565" spans="1:14" ht="12.75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132"/>
      <c r="M565" s="235"/>
      <c r="N565" s="235"/>
    </row>
    <row r="566" spans="1:14" ht="12.75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132"/>
      <c r="M566" s="235"/>
      <c r="N566" s="235"/>
    </row>
    <row r="567" spans="1:14" ht="12.75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132"/>
      <c r="M567" s="235"/>
      <c r="N567" s="235"/>
    </row>
    <row r="568" spans="1:14" ht="12.75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132"/>
      <c r="M568" s="235"/>
      <c r="N568" s="235"/>
    </row>
    <row r="569" spans="1:14" ht="12.75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132"/>
      <c r="M569" s="235"/>
      <c r="N569" s="235"/>
    </row>
    <row r="570" spans="1:14" ht="12.75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132"/>
      <c r="M570" s="235"/>
      <c r="N570" s="235"/>
    </row>
    <row r="571" spans="1:14" ht="12.75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132"/>
      <c r="M571" s="235"/>
      <c r="N571" s="235"/>
    </row>
    <row r="572" spans="1:14" ht="12.75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132"/>
      <c r="M572" s="235"/>
      <c r="N572" s="235"/>
    </row>
    <row r="573" spans="1:14" ht="12.75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132"/>
      <c r="M573" s="235"/>
      <c r="N573" s="235"/>
    </row>
    <row r="574" spans="1:14" ht="12.75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132"/>
      <c r="M574" s="235"/>
      <c r="N574" s="235"/>
    </row>
    <row r="575" spans="1:14" ht="12.75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132"/>
      <c r="M575" s="235"/>
      <c r="N575" s="235"/>
    </row>
    <row r="576" spans="1:14" ht="12.75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132"/>
      <c r="M576" s="235"/>
      <c r="N576" s="235"/>
    </row>
    <row r="577" spans="1:14" ht="12.75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132"/>
      <c r="M577" s="235"/>
      <c r="N577" s="235"/>
    </row>
    <row r="578" spans="1:14" ht="12.75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132"/>
      <c r="M578" s="235"/>
      <c r="N578" s="235"/>
    </row>
    <row r="579" spans="1:14" ht="12.75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132"/>
      <c r="M579" s="235"/>
      <c r="N579" s="235"/>
    </row>
    <row r="580" spans="1:14" ht="12.75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132"/>
      <c r="M580" s="235"/>
      <c r="N580" s="235"/>
    </row>
    <row r="581" spans="1:14" ht="12.75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132"/>
      <c r="M581" s="235"/>
      <c r="N581" s="235"/>
    </row>
    <row r="582" spans="1:14" ht="12.75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132"/>
      <c r="M582" s="235"/>
      <c r="N582" s="235"/>
    </row>
    <row r="583" spans="1:14" ht="12.75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132"/>
      <c r="M583" s="235"/>
      <c r="N583" s="235"/>
    </row>
    <row r="584" spans="1:14" ht="12.75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132"/>
      <c r="M584" s="235"/>
      <c r="N584" s="235"/>
    </row>
    <row r="585" spans="1:14" ht="12.75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132"/>
      <c r="M585" s="235"/>
      <c r="N585" s="235"/>
    </row>
    <row r="586" spans="1:14" ht="12.75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132"/>
      <c r="M586" s="235"/>
      <c r="N586" s="235"/>
    </row>
    <row r="587" spans="1:14" ht="12.75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132"/>
      <c r="M587" s="235"/>
      <c r="N587" s="235"/>
    </row>
    <row r="588" spans="1:14" ht="12.75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132"/>
      <c r="M588" s="235"/>
      <c r="N588" s="235"/>
    </row>
    <row r="589" spans="1:14" ht="12.75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132"/>
      <c r="M589" s="235"/>
      <c r="N589" s="235"/>
    </row>
    <row r="590" spans="1:14" ht="12.75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132"/>
      <c r="M590" s="235"/>
      <c r="N590" s="235"/>
    </row>
    <row r="591" spans="1:14" ht="12.75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132"/>
      <c r="M591" s="235"/>
      <c r="N591" s="235"/>
    </row>
    <row r="592" spans="1:14" ht="12.75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132"/>
      <c r="M592" s="235"/>
      <c r="N592" s="235"/>
    </row>
    <row r="593" spans="1:14" ht="12.75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132"/>
      <c r="M593" s="235"/>
      <c r="N593" s="235"/>
    </row>
    <row r="594" spans="1:14" ht="12.75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132"/>
      <c r="M594" s="235"/>
      <c r="N594" s="235"/>
    </row>
    <row r="595" spans="1:14" ht="12.75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132"/>
      <c r="M595" s="235"/>
      <c r="N595" s="235"/>
    </row>
    <row r="596" spans="1:14" ht="12.75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132"/>
      <c r="M596" s="235"/>
      <c r="N596" s="235"/>
    </row>
    <row r="597" spans="1:14" ht="12.75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132"/>
      <c r="M597" s="235"/>
      <c r="N597" s="235"/>
    </row>
    <row r="598" spans="1:14" ht="12.75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132"/>
      <c r="M598" s="235"/>
      <c r="N598" s="235"/>
    </row>
    <row r="599" spans="1:14" ht="12.75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132"/>
      <c r="M599" s="235"/>
      <c r="N599" s="235"/>
    </row>
    <row r="600" spans="1:14" ht="12.75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132"/>
      <c r="M600" s="235"/>
      <c r="N600" s="235"/>
    </row>
    <row r="601" spans="1:14" ht="12.75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132"/>
      <c r="M601" s="235"/>
      <c r="N601" s="235"/>
    </row>
    <row r="602" spans="1:14" ht="12.75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132"/>
      <c r="M602" s="235"/>
      <c r="N602" s="235"/>
    </row>
    <row r="603" spans="1:14" ht="12.75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132"/>
      <c r="M603" s="235"/>
      <c r="N603" s="235"/>
    </row>
    <row r="604" spans="1:14" ht="12.75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132"/>
      <c r="M604" s="235"/>
      <c r="N604" s="235"/>
    </row>
    <row r="605" spans="1:14" ht="12.75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132"/>
      <c r="M605" s="235"/>
      <c r="N605" s="235"/>
    </row>
    <row r="606" spans="1:14" ht="12.75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132"/>
      <c r="M606" s="235"/>
      <c r="N606" s="235"/>
    </row>
    <row r="607" spans="1:14" ht="12.75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132"/>
      <c r="M607" s="235"/>
      <c r="N607" s="235"/>
    </row>
    <row r="608" spans="1:14" ht="12.75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132"/>
      <c r="M608" s="235"/>
      <c r="N608" s="235"/>
    </row>
    <row r="609" spans="1:14" ht="12.75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132"/>
      <c r="M609" s="235"/>
      <c r="N609" s="235"/>
    </row>
    <row r="610" spans="1:14" ht="12.75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132"/>
      <c r="M610" s="235"/>
      <c r="N610" s="235"/>
    </row>
    <row r="611" spans="1:14" ht="12.75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132"/>
      <c r="M611" s="235"/>
      <c r="N611" s="235"/>
    </row>
    <row r="612" spans="1:14" ht="12.75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132"/>
      <c r="M612" s="235"/>
      <c r="N612" s="235"/>
    </row>
    <row r="613" spans="1:14" ht="12.75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132"/>
      <c r="M613" s="235"/>
      <c r="N613" s="235"/>
    </row>
    <row r="614" spans="1:14" ht="12.75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132"/>
      <c r="M614" s="235"/>
      <c r="N614" s="235"/>
    </row>
    <row r="615" spans="1:14" ht="12.75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132"/>
      <c r="M615" s="235"/>
      <c r="N615" s="235"/>
    </row>
    <row r="616" spans="1:14" ht="12.75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132"/>
      <c r="M616" s="235"/>
      <c r="N616" s="235"/>
    </row>
    <row r="617" spans="1:14" ht="12.75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132"/>
      <c r="M617" s="235"/>
      <c r="N617" s="235"/>
    </row>
    <row r="618" spans="1:14" ht="12.75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132"/>
      <c r="M618" s="235"/>
      <c r="N618" s="235"/>
    </row>
    <row r="619" spans="1:14" ht="12.75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132"/>
      <c r="M619" s="235"/>
      <c r="N619" s="235"/>
    </row>
    <row r="620" spans="1:14" ht="12.75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132"/>
      <c r="M620" s="235"/>
      <c r="N620" s="235"/>
    </row>
    <row r="621" spans="1:14" ht="12.75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132"/>
      <c r="M621" s="235"/>
      <c r="N621" s="235"/>
    </row>
    <row r="622" spans="1:14" ht="12.75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132"/>
      <c r="M622" s="235"/>
      <c r="N622" s="235"/>
    </row>
    <row r="623" spans="1:14" ht="12.75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132"/>
      <c r="M623" s="235"/>
      <c r="N623" s="235"/>
    </row>
    <row r="624" spans="1:14" ht="12.75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132"/>
      <c r="M624" s="235"/>
      <c r="N624" s="235"/>
    </row>
    <row r="625" spans="1:14" ht="12.75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132"/>
      <c r="M625" s="235"/>
      <c r="N625" s="235"/>
    </row>
    <row r="626" spans="1:14" ht="12.75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132"/>
      <c r="M626" s="235"/>
      <c r="N626" s="235"/>
    </row>
    <row r="627" spans="1:14" ht="12.75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132"/>
      <c r="M627" s="235"/>
      <c r="N627" s="235"/>
    </row>
    <row r="628" spans="1:14" ht="12.75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132"/>
      <c r="M628" s="235"/>
      <c r="N628" s="235"/>
    </row>
    <row r="629" spans="1:14" ht="12.75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132"/>
      <c r="M629" s="235"/>
      <c r="N629" s="235"/>
    </row>
    <row r="630" spans="1:14" ht="12.75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132"/>
      <c r="M630" s="235"/>
      <c r="N630" s="235"/>
    </row>
    <row r="631" spans="1:14" ht="12.75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132"/>
      <c r="M631" s="235"/>
      <c r="N631" s="235"/>
    </row>
    <row r="632" spans="1:14" ht="12.75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132"/>
      <c r="M632" s="235"/>
      <c r="N632" s="235"/>
    </row>
    <row r="633" spans="1:14" ht="12.75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132"/>
      <c r="M633" s="235"/>
      <c r="N633" s="235"/>
    </row>
    <row r="634" spans="1:14" ht="12.75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132"/>
      <c r="M634" s="235"/>
      <c r="N634" s="235"/>
    </row>
    <row r="635" spans="1:14" ht="12.75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132"/>
      <c r="M635" s="235"/>
      <c r="N635" s="235"/>
    </row>
    <row r="636" spans="1:14" ht="12.75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132"/>
      <c r="M636" s="235"/>
      <c r="N636" s="235"/>
    </row>
    <row r="637" spans="1:14" ht="12.75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132"/>
      <c r="M637" s="235"/>
      <c r="N637" s="235"/>
    </row>
    <row r="638" spans="1:14" ht="12.75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132"/>
      <c r="M638" s="235"/>
      <c r="N638" s="235"/>
    </row>
    <row r="639" spans="1:14" ht="12.75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132"/>
      <c r="M639" s="235"/>
      <c r="N639" s="235"/>
    </row>
    <row r="640" spans="1:14" ht="12.75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132"/>
      <c r="M640" s="235"/>
      <c r="N640" s="235"/>
    </row>
    <row r="641" spans="1:14" ht="12.75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132"/>
      <c r="M641" s="235"/>
      <c r="N641" s="235"/>
    </row>
    <row r="642" spans="1:14" ht="12.75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132"/>
      <c r="M642" s="235"/>
      <c r="N642" s="235"/>
    </row>
    <row r="643" spans="1:14" ht="12.75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132"/>
      <c r="M643" s="235"/>
      <c r="N643" s="235"/>
    </row>
    <row r="644" spans="1:14" ht="12.75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132"/>
      <c r="M644" s="235"/>
      <c r="N644" s="235"/>
    </row>
    <row r="645" spans="1:14" ht="12.75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132"/>
      <c r="M645" s="235"/>
      <c r="N645" s="235"/>
    </row>
    <row r="646" spans="1:14" ht="12.75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132"/>
      <c r="M646" s="235"/>
      <c r="N646" s="235"/>
    </row>
    <row r="647" spans="1:14" ht="12.75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132"/>
      <c r="M647" s="235"/>
      <c r="N647" s="235"/>
    </row>
    <row r="648" spans="1:14" ht="12.75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132"/>
      <c r="M648" s="235"/>
      <c r="N648" s="235"/>
    </row>
    <row r="649" spans="1:14" ht="12.75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132"/>
      <c r="M649" s="235"/>
      <c r="N649" s="235"/>
    </row>
    <row r="650" spans="1:14" ht="12.75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132"/>
      <c r="M650" s="235"/>
      <c r="N650" s="235"/>
    </row>
    <row r="651" spans="1:14" ht="12.75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132"/>
      <c r="M651" s="235"/>
      <c r="N651" s="235"/>
    </row>
    <row r="652" spans="1:14" ht="12.75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132"/>
      <c r="M652" s="235"/>
      <c r="N652" s="235"/>
    </row>
    <row r="653" spans="1:14" ht="12.75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132"/>
      <c r="M653" s="235"/>
      <c r="N653" s="235"/>
    </row>
    <row r="654" spans="1:14" ht="12.75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132"/>
      <c r="M654" s="235"/>
      <c r="N654" s="235"/>
    </row>
    <row r="655" spans="1:14" ht="12.75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132"/>
      <c r="M655" s="235"/>
      <c r="N655" s="235"/>
    </row>
    <row r="656" spans="1:14" ht="12.75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132"/>
      <c r="M656" s="235"/>
      <c r="N656" s="235"/>
    </row>
    <row r="657" spans="1:14" ht="12.75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132"/>
      <c r="M657" s="235"/>
      <c r="N657" s="235"/>
    </row>
    <row r="658" spans="1:14" ht="12.75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132"/>
      <c r="M658" s="235"/>
      <c r="N658" s="235"/>
    </row>
    <row r="659" spans="1:14" ht="12.75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132"/>
      <c r="M659" s="235"/>
      <c r="N659" s="235"/>
    </row>
    <row r="660" spans="1:14" ht="12.75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132"/>
      <c r="M660" s="235"/>
      <c r="N660" s="235"/>
    </row>
    <row r="661" spans="1:14" ht="12.75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132"/>
      <c r="M661" s="235"/>
      <c r="N661" s="235"/>
    </row>
    <row r="662" spans="1:14" ht="12.75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132"/>
      <c r="M662" s="235"/>
      <c r="N662" s="235"/>
    </row>
    <row r="663" spans="1:14" ht="12.75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132"/>
      <c r="M663" s="235"/>
      <c r="N663" s="235"/>
    </row>
    <row r="664" spans="1:14" ht="12.75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132"/>
      <c r="M664" s="235"/>
      <c r="N664" s="235"/>
    </row>
    <row r="665" spans="1:14" ht="12.75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132"/>
      <c r="M665" s="235"/>
      <c r="N665" s="235"/>
    </row>
    <row r="666" spans="1:14" ht="12.75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132"/>
      <c r="M666" s="235"/>
      <c r="N666" s="235"/>
    </row>
    <row r="667" spans="1:14" ht="12.75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132"/>
      <c r="M667" s="235"/>
      <c r="N667" s="235"/>
    </row>
    <row r="668" spans="1:14" ht="12.75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132"/>
      <c r="M668" s="235"/>
      <c r="N668" s="235"/>
    </row>
    <row r="669" spans="1:14" ht="12.75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132"/>
      <c r="M669" s="235"/>
      <c r="N669" s="235"/>
    </row>
    <row r="670" spans="1:14" ht="12.75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132"/>
      <c r="M670" s="235"/>
      <c r="N670" s="235"/>
    </row>
    <row r="671" spans="1:14" ht="12.75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132"/>
      <c r="M671" s="235"/>
      <c r="N671" s="235"/>
    </row>
    <row r="672" spans="1:14" ht="12.75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132"/>
      <c r="M672" s="235"/>
      <c r="N672" s="235"/>
    </row>
    <row r="673" spans="1:14" ht="12.75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132"/>
      <c r="M673" s="235"/>
      <c r="N673" s="235"/>
    </row>
    <row r="674" spans="1:14" ht="12.75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132"/>
      <c r="M674" s="235"/>
      <c r="N674" s="235"/>
    </row>
    <row r="675" spans="1:14" ht="12.75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132"/>
      <c r="M675" s="235"/>
      <c r="N675" s="235"/>
    </row>
    <row r="676" spans="1:14" ht="12.75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132"/>
      <c r="M676" s="235"/>
      <c r="N676" s="235"/>
    </row>
    <row r="677" spans="1:14" ht="12.75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132"/>
      <c r="M677" s="235"/>
      <c r="N677" s="235"/>
    </row>
    <row r="678" spans="1:14" ht="12.75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132"/>
      <c r="M678" s="235"/>
      <c r="N678" s="235"/>
    </row>
    <row r="679" spans="1:14" ht="12.75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132"/>
      <c r="M679" s="235"/>
      <c r="N679" s="235"/>
    </row>
    <row r="680" spans="1:14" ht="12.75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132"/>
      <c r="M680" s="235"/>
      <c r="N680" s="235"/>
    </row>
    <row r="681" spans="1:14" ht="12.75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132"/>
      <c r="M681" s="235"/>
      <c r="N681" s="235"/>
    </row>
    <row r="682" spans="1:14" ht="12.75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132"/>
      <c r="M682" s="235"/>
      <c r="N682" s="235"/>
    </row>
    <row r="683" spans="1:14" ht="12.75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132"/>
      <c r="M683" s="235"/>
      <c r="N683" s="235"/>
    </row>
    <row r="684" spans="1:14" ht="12.75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132"/>
      <c r="M684" s="235"/>
      <c r="N684" s="235"/>
    </row>
    <row r="685" spans="1:14" ht="12.75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132"/>
      <c r="M685" s="235"/>
      <c r="N685" s="235"/>
    </row>
    <row r="686" spans="1:14" ht="12.75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132"/>
      <c r="M686" s="235"/>
      <c r="N686" s="235"/>
    </row>
    <row r="687" spans="1:14" ht="12.75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132"/>
      <c r="M687" s="235"/>
      <c r="N687" s="235"/>
    </row>
    <row r="688" spans="1:14" ht="12.75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132"/>
      <c r="M688" s="235"/>
      <c r="N688" s="235"/>
    </row>
    <row r="689" spans="1:14" ht="12.75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132"/>
      <c r="M689" s="235"/>
      <c r="N689" s="235"/>
    </row>
    <row r="690" spans="1:14" ht="12.75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132"/>
      <c r="M690" s="235"/>
      <c r="N690" s="235"/>
    </row>
    <row r="691" spans="1:14" ht="12.75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132"/>
      <c r="M691" s="235"/>
      <c r="N691" s="235"/>
    </row>
    <row r="692" spans="1:14" ht="12.75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132"/>
      <c r="M692" s="235"/>
      <c r="N692" s="235"/>
    </row>
    <row r="693" spans="1:14" ht="12.75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132"/>
      <c r="M693" s="235"/>
      <c r="N693" s="235"/>
    </row>
    <row r="694" spans="1:14" ht="12.75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132"/>
      <c r="M694" s="235"/>
      <c r="N694" s="235"/>
    </row>
    <row r="695" spans="1:14" ht="12.75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132"/>
      <c r="M695" s="235"/>
      <c r="N695" s="235"/>
    </row>
    <row r="696" spans="1:14" ht="12.75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132"/>
      <c r="M696" s="235"/>
      <c r="N696" s="235"/>
    </row>
    <row r="697" spans="1:14" ht="12.75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132"/>
      <c r="M697" s="235"/>
      <c r="N697" s="235"/>
    </row>
    <row r="698" spans="1:14" ht="12.75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132"/>
      <c r="M698" s="235"/>
      <c r="N698" s="235"/>
    </row>
    <row r="699" spans="1:14" ht="12.75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132"/>
      <c r="M699" s="235"/>
      <c r="N699" s="235"/>
    </row>
    <row r="700" spans="1:14" ht="12.75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132"/>
      <c r="M700" s="235"/>
      <c r="N700" s="235"/>
    </row>
    <row r="701" spans="1:14" ht="12.75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132"/>
      <c r="M701" s="235"/>
      <c r="N701" s="235"/>
    </row>
    <row r="702" spans="1:14" ht="12.75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132"/>
      <c r="M702" s="235"/>
      <c r="N702" s="235"/>
    </row>
    <row r="703" spans="1:14" ht="12.75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132"/>
      <c r="M703" s="235"/>
      <c r="N703" s="235"/>
    </row>
    <row r="704" spans="1:14" ht="12.75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132"/>
      <c r="M704" s="235"/>
      <c r="N704" s="235"/>
    </row>
    <row r="705" spans="1:14" ht="12.75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132"/>
      <c r="M705" s="235"/>
      <c r="N705" s="235"/>
    </row>
    <row r="706" spans="1:14" ht="12.75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132"/>
      <c r="M706" s="235"/>
      <c r="N706" s="235"/>
    </row>
    <row r="707" spans="1:14" ht="12.75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132"/>
      <c r="M707" s="235"/>
      <c r="N707" s="235"/>
    </row>
    <row r="708" spans="1:14" ht="12.75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132"/>
      <c r="M708" s="235"/>
      <c r="N708" s="235"/>
    </row>
    <row r="709" spans="1:14" ht="12.75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132"/>
      <c r="M709" s="235"/>
      <c r="N709" s="235"/>
    </row>
    <row r="710" spans="1:14" ht="12.75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132"/>
      <c r="M710" s="235"/>
      <c r="N710" s="235"/>
    </row>
    <row r="711" spans="1:14" ht="12.75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132"/>
      <c r="M711" s="235"/>
      <c r="N711" s="235"/>
    </row>
    <row r="712" spans="1:14" ht="12.75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132"/>
      <c r="M712" s="235"/>
      <c r="N712" s="235"/>
    </row>
    <row r="713" spans="1:14" ht="12.75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132"/>
      <c r="M713" s="235"/>
      <c r="N713" s="235"/>
    </row>
    <row r="714" spans="1:14" ht="12.75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132"/>
      <c r="M714" s="235"/>
      <c r="N714" s="235"/>
    </row>
    <row r="715" spans="1:14" ht="12.75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132"/>
      <c r="M715" s="235"/>
      <c r="N715" s="235"/>
    </row>
    <row r="716" spans="1:14" ht="12.75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132"/>
      <c r="M716" s="235"/>
      <c r="N716" s="235"/>
    </row>
    <row r="717" spans="1:14" ht="12.75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132"/>
      <c r="M717" s="235"/>
      <c r="N717" s="235"/>
    </row>
    <row r="718" spans="1:14" ht="12.75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132"/>
      <c r="M718" s="235"/>
      <c r="N718" s="235"/>
    </row>
    <row r="719" spans="1:14" ht="12.75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132"/>
      <c r="M719" s="235"/>
      <c r="N719" s="235"/>
    </row>
    <row r="720" spans="1:14" ht="12.75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132"/>
      <c r="M720" s="235"/>
      <c r="N720" s="235"/>
    </row>
    <row r="721" spans="1:14" ht="12.75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132"/>
      <c r="M721" s="235"/>
      <c r="N721" s="235"/>
    </row>
    <row r="722" spans="1:14" ht="12.75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132"/>
      <c r="M722" s="235"/>
      <c r="N722" s="235"/>
    </row>
    <row r="723" spans="1:14" ht="12.75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132"/>
      <c r="M723" s="235"/>
      <c r="N723" s="235"/>
    </row>
    <row r="724" spans="1:14" ht="12.75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132"/>
      <c r="M724" s="235"/>
      <c r="N724" s="235"/>
    </row>
    <row r="725" spans="1:14" ht="12.75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132"/>
      <c r="M725" s="235"/>
      <c r="N725" s="235"/>
    </row>
    <row r="726" spans="1:14" ht="12.75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132"/>
      <c r="M726" s="235"/>
      <c r="N726" s="235"/>
    </row>
    <row r="727" spans="1:14" ht="12.75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132"/>
      <c r="M727" s="235"/>
      <c r="N727" s="235"/>
    </row>
    <row r="728" spans="1:14" ht="12.75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132"/>
      <c r="M728" s="235"/>
      <c r="N728" s="235"/>
    </row>
    <row r="729" spans="1:14" ht="12.75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132"/>
      <c r="M729" s="235"/>
      <c r="N729" s="235"/>
    </row>
    <row r="730" spans="1:14" ht="12.75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132"/>
      <c r="M730" s="235"/>
      <c r="N730" s="235"/>
    </row>
    <row r="731" spans="1:14" ht="12.75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132"/>
      <c r="M731" s="235"/>
      <c r="N731" s="235"/>
    </row>
    <row r="732" spans="1:14" ht="12.75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132"/>
      <c r="M732" s="235"/>
      <c r="N732" s="235"/>
    </row>
    <row r="733" spans="1:14" ht="12.75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132"/>
      <c r="M733" s="235"/>
      <c r="N733" s="235"/>
    </row>
    <row r="734" spans="1:14" ht="12.75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132"/>
      <c r="M734" s="235"/>
      <c r="N734" s="235"/>
    </row>
    <row r="735" spans="1:14" ht="12.75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132"/>
      <c r="M735" s="235"/>
      <c r="N735" s="235"/>
    </row>
    <row r="736" spans="1:14" ht="12.75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132"/>
      <c r="M736" s="235"/>
      <c r="N736" s="235"/>
    </row>
    <row r="737" spans="1:14" ht="12.75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132"/>
      <c r="M737" s="235"/>
      <c r="N737" s="235"/>
    </row>
    <row r="738" spans="1:14" ht="12.75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132"/>
      <c r="M738" s="235"/>
      <c r="N738" s="235"/>
    </row>
    <row r="739" spans="1:14" ht="12.75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132"/>
      <c r="M739" s="235"/>
      <c r="N739" s="235"/>
    </row>
    <row r="740" spans="1:14" ht="12.75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132"/>
      <c r="M740" s="235"/>
      <c r="N740" s="235"/>
    </row>
    <row r="741" spans="1:14" ht="12.75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132"/>
      <c r="M741" s="235"/>
      <c r="N741" s="235"/>
    </row>
    <row r="742" spans="1:14" ht="12.75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132"/>
      <c r="M742" s="235"/>
      <c r="N742" s="235"/>
    </row>
    <row r="743" spans="1:14" ht="12.75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132"/>
      <c r="M743" s="235"/>
      <c r="N743" s="235"/>
    </row>
    <row r="744" spans="1:14" ht="12.75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132"/>
      <c r="M744" s="235"/>
      <c r="N744" s="235"/>
    </row>
    <row r="745" spans="1:14" ht="12.75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132"/>
      <c r="M745" s="235"/>
      <c r="N745" s="235"/>
    </row>
    <row r="746" spans="1:14" ht="12.75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132"/>
      <c r="M746" s="235"/>
      <c r="N746" s="235"/>
    </row>
    <row r="747" spans="1:14" ht="12.75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132"/>
      <c r="M747" s="235"/>
      <c r="N747" s="235"/>
    </row>
    <row r="748" spans="1:14" ht="12.75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132"/>
      <c r="M748" s="235"/>
      <c r="N748" s="235"/>
    </row>
    <row r="749" spans="1:14" ht="12.75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132"/>
      <c r="M749" s="235"/>
      <c r="N749" s="235"/>
    </row>
    <row r="750" spans="1:14" ht="12.75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132"/>
      <c r="M750" s="235"/>
      <c r="N750" s="235"/>
    </row>
    <row r="751" spans="1:14" ht="12.75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132"/>
      <c r="M751" s="235"/>
      <c r="N751" s="235"/>
    </row>
    <row r="752" spans="1:14" ht="12.75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132"/>
      <c r="M752" s="235"/>
      <c r="N752" s="235"/>
    </row>
    <row r="753" spans="1:14" ht="12.75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132"/>
      <c r="M753" s="235"/>
      <c r="N753" s="235"/>
    </row>
    <row r="754" spans="1:14" ht="12.75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132"/>
      <c r="M754" s="235"/>
      <c r="N754" s="235"/>
    </row>
    <row r="755" spans="1:14" ht="12.75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132"/>
      <c r="M755" s="235"/>
      <c r="N755" s="235"/>
    </row>
    <row r="756" spans="1:14" ht="12.75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132"/>
      <c r="M756" s="235"/>
      <c r="N756" s="235"/>
    </row>
    <row r="757" spans="1:14" ht="12.75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132"/>
      <c r="M757" s="235"/>
      <c r="N757" s="235"/>
    </row>
    <row r="758" spans="1:14" ht="12.75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132"/>
      <c r="M758" s="235"/>
      <c r="N758" s="235"/>
    </row>
    <row r="759" spans="1:14" ht="12.75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132"/>
      <c r="M759" s="235"/>
      <c r="N759" s="235"/>
    </row>
    <row r="760" spans="1:14" ht="12.75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132"/>
      <c r="M760" s="235"/>
      <c r="N760" s="235"/>
    </row>
    <row r="761" spans="1:14" ht="12.75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132"/>
      <c r="M761" s="235"/>
      <c r="N761" s="235"/>
    </row>
    <row r="762" spans="1:14" ht="12.75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132"/>
      <c r="M762" s="235"/>
      <c r="N762" s="235"/>
    </row>
    <row r="763" spans="1:14" ht="12.75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132"/>
      <c r="M763" s="235"/>
      <c r="N763" s="235"/>
    </row>
    <row r="764" spans="1:14" ht="12.75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132"/>
      <c r="M764" s="235"/>
      <c r="N764" s="235"/>
    </row>
    <row r="765" spans="1:14" ht="12.75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132"/>
      <c r="M765" s="235"/>
      <c r="N765" s="235"/>
    </row>
    <row r="766" spans="1:14" ht="12.75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132"/>
      <c r="M766" s="235"/>
      <c r="N766" s="235"/>
    </row>
    <row r="767" spans="1:14" ht="12.75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132"/>
      <c r="M767" s="235"/>
      <c r="N767" s="235"/>
    </row>
    <row r="768" spans="1:14" ht="12.75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132"/>
      <c r="M768" s="235"/>
      <c r="N768" s="235"/>
    </row>
    <row r="769" spans="1:14" ht="12.75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132"/>
      <c r="M769" s="235"/>
      <c r="N769" s="235"/>
    </row>
    <row r="770" spans="1:14" ht="12.75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132"/>
      <c r="M770" s="235"/>
      <c r="N770" s="235"/>
    </row>
    <row r="771" spans="1:14" ht="12.75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132"/>
      <c r="M771" s="235"/>
      <c r="N771" s="235"/>
    </row>
    <row r="772" spans="1:14" ht="12.75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132"/>
      <c r="M772" s="235"/>
      <c r="N772" s="235"/>
    </row>
    <row r="773" spans="1:14" ht="12.75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132"/>
      <c r="M773" s="235"/>
      <c r="N773" s="235"/>
    </row>
    <row r="774" spans="1:14" ht="12.75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132"/>
      <c r="M774" s="235"/>
      <c r="N774" s="235"/>
    </row>
    <row r="775" spans="1:14" ht="12.75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132"/>
      <c r="M775" s="235"/>
      <c r="N775" s="235"/>
    </row>
    <row r="776" spans="1:14" ht="12.75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132"/>
      <c r="M776" s="235"/>
      <c r="N776" s="235"/>
    </row>
    <row r="777" spans="1:14" ht="12.75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132"/>
      <c r="M777" s="235"/>
      <c r="N777" s="235"/>
    </row>
    <row r="778" spans="1:14" ht="12.75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132"/>
      <c r="M778" s="235"/>
      <c r="N778" s="235"/>
    </row>
    <row r="779" spans="1:14" ht="12.75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132"/>
      <c r="M779" s="235"/>
      <c r="N779" s="235"/>
    </row>
    <row r="780" spans="1:14" ht="12.75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132"/>
      <c r="M780" s="235"/>
      <c r="N780" s="235"/>
    </row>
    <row r="781" spans="1:14" ht="12.75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132"/>
      <c r="M781" s="235"/>
      <c r="N781" s="235"/>
    </row>
    <row r="782" spans="1:14" ht="12.75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132"/>
      <c r="M782" s="235"/>
      <c r="N782" s="235"/>
    </row>
    <row r="783" spans="1:14" ht="12.75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132"/>
      <c r="M783" s="235"/>
      <c r="N783" s="235"/>
    </row>
    <row r="784" spans="1:14" ht="12.75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132"/>
      <c r="M784" s="235"/>
      <c r="N784" s="235"/>
    </row>
    <row r="785" spans="1:14" ht="12.75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132"/>
      <c r="M785" s="235"/>
      <c r="N785" s="235"/>
    </row>
    <row r="786" spans="1:14" ht="12.75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132"/>
      <c r="M786" s="235"/>
      <c r="N786" s="235"/>
    </row>
    <row r="787" spans="1:14" ht="12.75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132"/>
      <c r="M787" s="235"/>
      <c r="N787" s="235"/>
    </row>
    <row r="788" spans="1:14" ht="12.75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132"/>
      <c r="M788" s="235"/>
      <c r="N788" s="235"/>
    </row>
    <row r="789" spans="1:14" ht="12.75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132"/>
      <c r="M789" s="235"/>
      <c r="N789" s="235"/>
    </row>
    <row r="790" spans="1:14" ht="12.75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132"/>
      <c r="M790" s="235"/>
      <c r="N790" s="235"/>
    </row>
    <row r="791" spans="1:14" ht="12.75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132"/>
      <c r="M791" s="235"/>
      <c r="N791" s="235"/>
    </row>
    <row r="792" spans="1:14" ht="12.75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132"/>
      <c r="M792" s="235"/>
      <c r="N792" s="235"/>
    </row>
    <row r="793" spans="1:14" ht="12.75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132"/>
      <c r="M793" s="235"/>
      <c r="N793" s="235"/>
    </row>
    <row r="794" spans="1:14" ht="12.75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132"/>
      <c r="M794" s="235"/>
      <c r="N794" s="235"/>
    </row>
    <row r="795" spans="1:14" ht="12.75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132"/>
      <c r="M795" s="235"/>
      <c r="N795" s="235"/>
    </row>
    <row r="796" spans="1:14" ht="12.75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132"/>
      <c r="M796" s="235"/>
      <c r="N796" s="235"/>
    </row>
    <row r="797" spans="1:14" ht="12.75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132"/>
      <c r="M797" s="235"/>
      <c r="N797" s="235"/>
    </row>
    <row r="798" spans="1:14" ht="12.75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132"/>
      <c r="M798" s="235"/>
      <c r="N798" s="235"/>
    </row>
    <row r="799" spans="1:14" ht="12.75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132"/>
      <c r="M799" s="235"/>
      <c r="N799" s="235"/>
    </row>
    <row r="800" spans="1:14" ht="12.75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132"/>
      <c r="M800" s="235"/>
      <c r="N800" s="235"/>
    </row>
    <row r="801" spans="1:14" ht="12.75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132"/>
      <c r="M801" s="235"/>
      <c r="N801" s="235"/>
    </row>
    <row r="802" spans="1:14" ht="12.75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132"/>
      <c r="M802" s="235"/>
      <c r="N802" s="235"/>
    </row>
    <row r="803" spans="1:14" ht="12.75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132"/>
      <c r="M803" s="235"/>
      <c r="N803" s="235"/>
    </row>
    <row r="804" spans="1:14" ht="12.75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132"/>
      <c r="M804" s="235"/>
      <c r="N804" s="235"/>
    </row>
    <row r="805" spans="1:14" ht="12.75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132"/>
      <c r="M805" s="235"/>
      <c r="N805" s="235"/>
    </row>
    <row r="806" spans="1:14" ht="12.75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132"/>
      <c r="M806" s="235"/>
      <c r="N806" s="235"/>
    </row>
    <row r="807" spans="1:14" ht="12.75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132"/>
      <c r="M807" s="235"/>
      <c r="N807" s="235"/>
    </row>
    <row r="808" spans="1:14" ht="12.75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132"/>
      <c r="M808" s="235"/>
      <c r="N808" s="235"/>
    </row>
    <row r="809" spans="1:14" ht="12.75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132"/>
      <c r="M809" s="235"/>
      <c r="N809" s="235"/>
    </row>
    <row r="810" spans="1:14" ht="12.75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132"/>
      <c r="M810" s="235"/>
      <c r="N810" s="235"/>
    </row>
    <row r="811" spans="1:14" ht="12.75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132"/>
      <c r="M811" s="235"/>
      <c r="N811" s="235"/>
    </row>
    <row r="812" spans="1:14" ht="12.75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132"/>
      <c r="M812" s="235"/>
      <c r="N812" s="235"/>
    </row>
    <row r="813" spans="1:14" ht="12.75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132"/>
      <c r="M813" s="235"/>
      <c r="N813" s="235"/>
    </row>
    <row r="814" spans="1:14" ht="12.75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132"/>
      <c r="M814" s="235"/>
      <c r="N814" s="235"/>
    </row>
    <row r="815" spans="1:14" ht="12.75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132"/>
      <c r="M815" s="235"/>
      <c r="N815" s="235"/>
    </row>
    <row r="816" spans="1:14" ht="12.75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132"/>
      <c r="M816" s="235"/>
      <c r="N816" s="235"/>
    </row>
    <row r="817" spans="1:14" ht="12.75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132"/>
      <c r="M817" s="235"/>
      <c r="N817" s="235"/>
    </row>
    <row r="818" spans="1:14" ht="12.75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132"/>
      <c r="M818" s="235"/>
      <c r="N818" s="235"/>
    </row>
    <row r="819" spans="1:14" ht="12.75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132"/>
      <c r="M819" s="235"/>
      <c r="N819" s="235"/>
    </row>
    <row r="820" spans="1:14" ht="12.75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132"/>
      <c r="M820" s="235"/>
      <c r="N820" s="235"/>
    </row>
    <row r="821" spans="1:14" ht="12.75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132"/>
      <c r="M821" s="235"/>
      <c r="N821" s="235"/>
    </row>
    <row r="822" spans="1:14" ht="12.75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132"/>
      <c r="M822" s="235"/>
      <c r="N822" s="235"/>
    </row>
    <row r="823" spans="1:14" ht="12.75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132"/>
      <c r="M823" s="235"/>
      <c r="N823" s="235"/>
    </row>
    <row r="824" spans="1:14" ht="12.75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132"/>
      <c r="M824" s="235"/>
      <c r="N824" s="235"/>
    </row>
    <row r="825" spans="1:14" ht="12.75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132"/>
      <c r="M825" s="235"/>
      <c r="N825" s="235"/>
    </row>
    <row r="826" spans="1:14" ht="12.75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132"/>
      <c r="M826" s="235"/>
      <c r="N826" s="235"/>
    </row>
    <row r="827" spans="1:14" ht="12.75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132"/>
      <c r="M827" s="235"/>
      <c r="N827" s="235"/>
    </row>
    <row r="828" spans="1:14" ht="12.75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132"/>
      <c r="M828" s="235"/>
      <c r="N828" s="235"/>
    </row>
    <row r="829" spans="1:14" ht="12.75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132"/>
      <c r="M829" s="235"/>
      <c r="N829" s="235"/>
    </row>
    <row r="830" spans="1:14" ht="12.75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132"/>
      <c r="M830" s="235"/>
      <c r="N830" s="235"/>
    </row>
    <row r="831" spans="1:14" ht="12.75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132"/>
      <c r="M831" s="235"/>
      <c r="N831" s="235"/>
    </row>
    <row r="832" spans="1:14" ht="12.75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132"/>
      <c r="M832" s="235"/>
      <c r="N832" s="235"/>
    </row>
    <row r="833" spans="1:14" ht="12.75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132"/>
      <c r="M833" s="235"/>
      <c r="N833" s="235"/>
    </row>
    <row r="834" spans="1:14" ht="12.75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132"/>
      <c r="M834" s="235"/>
      <c r="N834" s="235"/>
    </row>
    <row r="835" spans="1:14" ht="12.75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132"/>
      <c r="M835" s="235"/>
      <c r="N835" s="235"/>
    </row>
    <row r="836" spans="1:14" ht="12.75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132"/>
      <c r="M836" s="235"/>
      <c r="N836" s="235"/>
    </row>
    <row r="837" spans="1:14" ht="12.75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132"/>
      <c r="M837" s="235"/>
      <c r="N837" s="235"/>
    </row>
    <row r="838" spans="1:14" ht="12.75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132"/>
      <c r="M838" s="235"/>
      <c r="N838" s="235"/>
    </row>
    <row r="839" spans="1:14" ht="12.75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132"/>
      <c r="M839" s="235"/>
      <c r="N839" s="235"/>
    </row>
    <row r="840" spans="1:14" ht="12.75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132"/>
      <c r="M840" s="235"/>
      <c r="N840" s="235"/>
    </row>
    <row r="841" spans="1:14" ht="12.75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132"/>
      <c r="M841" s="235"/>
      <c r="N841" s="235"/>
    </row>
    <row r="842" spans="1:14" ht="12.75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132"/>
      <c r="M842" s="235"/>
      <c r="N842" s="235"/>
    </row>
    <row r="843" spans="1:14" ht="12.75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132"/>
      <c r="M843" s="235"/>
      <c r="N843" s="235"/>
    </row>
    <row r="844" spans="1:14" ht="12.75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132"/>
      <c r="M844" s="235"/>
      <c r="N844" s="235"/>
    </row>
    <row r="845" spans="1:14" ht="12.75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132"/>
      <c r="M845" s="235"/>
      <c r="N845" s="235"/>
    </row>
    <row r="846" spans="1:14" ht="12.75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132"/>
      <c r="M846" s="235"/>
      <c r="N846" s="235"/>
    </row>
    <row r="847" spans="1:14" ht="12.75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132"/>
      <c r="M847" s="235"/>
      <c r="N847" s="235"/>
    </row>
    <row r="848" spans="1:14" ht="12.75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132"/>
      <c r="M848" s="235"/>
      <c r="N848" s="235"/>
    </row>
    <row r="849" spans="1:14" ht="12.75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132"/>
      <c r="M849" s="235"/>
      <c r="N849" s="235"/>
    </row>
    <row r="850" spans="1:14" ht="12.75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132"/>
      <c r="M850" s="235"/>
      <c r="N850" s="235"/>
    </row>
    <row r="851" spans="1:14" ht="12.75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132"/>
      <c r="M851" s="235"/>
      <c r="N851" s="235"/>
    </row>
    <row r="852" spans="1:14" ht="12.75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132"/>
      <c r="M852" s="235"/>
      <c r="N852" s="235"/>
    </row>
    <row r="853" spans="1:14" ht="12.75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132"/>
      <c r="M853" s="235"/>
      <c r="N853" s="235"/>
    </row>
    <row r="854" spans="1:14" ht="12.75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132"/>
      <c r="M854" s="235"/>
      <c r="N854" s="235"/>
    </row>
    <row r="855" spans="1:14" ht="12.75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132"/>
      <c r="M855" s="235"/>
      <c r="N855" s="235"/>
    </row>
    <row r="856" spans="1:14" ht="12.75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132"/>
      <c r="M856" s="235"/>
      <c r="N856" s="235"/>
    </row>
    <row r="857" spans="1:14" ht="12.75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132"/>
      <c r="M857" s="235"/>
      <c r="N857" s="235"/>
    </row>
    <row r="858" spans="1:14" ht="12.75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132"/>
      <c r="M858" s="235"/>
      <c r="N858" s="235"/>
    </row>
    <row r="859" spans="1:14" ht="12.75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132"/>
      <c r="M859" s="235"/>
      <c r="N859" s="235"/>
    </row>
    <row r="860" spans="1:14" ht="12.75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132"/>
      <c r="M860" s="235"/>
      <c r="N860" s="235"/>
    </row>
    <row r="861" spans="1:14" ht="12.75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132"/>
      <c r="M861" s="235"/>
      <c r="N861" s="235"/>
    </row>
    <row r="862" spans="1:14" ht="12.75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132"/>
      <c r="M862" s="235"/>
      <c r="N862" s="235"/>
    </row>
    <row r="863" spans="1:14" ht="12.75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132"/>
      <c r="M863" s="235"/>
      <c r="N863" s="235"/>
    </row>
    <row r="864" spans="1:14" ht="12.75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132"/>
      <c r="M864" s="235"/>
      <c r="N864" s="235"/>
    </row>
    <row r="865" spans="1:14" ht="12.75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132"/>
      <c r="M865" s="235"/>
      <c r="N865" s="235"/>
    </row>
    <row r="866" spans="1:14" ht="12.75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132"/>
      <c r="M866" s="235"/>
      <c r="N866" s="235"/>
    </row>
    <row r="867" spans="1:14" ht="12.75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132"/>
      <c r="M867" s="235"/>
      <c r="N867" s="235"/>
    </row>
    <row r="868" spans="1:14" ht="12.75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132"/>
      <c r="M868" s="235"/>
      <c r="N868" s="235"/>
    </row>
    <row r="869" spans="1:14" ht="12.75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132"/>
      <c r="M869" s="235"/>
      <c r="N869" s="235"/>
    </row>
    <row r="870" spans="1:14" ht="12.75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132"/>
      <c r="M870" s="235"/>
      <c r="N870" s="235"/>
    </row>
    <row r="871" spans="1:14" ht="12.75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132"/>
      <c r="M871" s="235"/>
      <c r="N871" s="235"/>
    </row>
    <row r="872" spans="1:14" ht="12.75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132"/>
      <c r="M872" s="235"/>
      <c r="N872" s="235"/>
    </row>
    <row r="873" spans="1:14" ht="12.75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132"/>
      <c r="M873" s="235"/>
      <c r="N873" s="235"/>
    </row>
    <row r="874" spans="1:14" ht="12.75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132"/>
      <c r="M874" s="235"/>
      <c r="N874" s="235"/>
    </row>
    <row r="875" spans="1:14" ht="12.75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132"/>
      <c r="M875" s="235"/>
      <c r="N875" s="235"/>
    </row>
    <row r="876" spans="1:14" ht="12.75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132"/>
      <c r="M876" s="235"/>
      <c r="N876" s="235"/>
    </row>
    <row r="877" spans="1:14" ht="12.75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132"/>
      <c r="M877" s="235"/>
      <c r="N877" s="235"/>
    </row>
    <row r="878" spans="1:14" ht="12.75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132"/>
      <c r="M878" s="235"/>
      <c r="N878" s="235"/>
    </row>
    <row r="879" spans="1:14" ht="12.75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132"/>
      <c r="M879" s="235"/>
      <c r="N879" s="235"/>
    </row>
    <row r="880" spans="1:14" ht="12.75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132"/>
      <c r="M880" s="235"/>
      <c r="N880" s="235"/>
    </row>
    <row r="881" spans="1:14" ht="12.75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132"/>
      <c r="M881" s="235"/>
      <c r="N881" s="235"/>
    </row>
    <row r="882" spans="1:14" ht="12.75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132"/>
      <c r="M882" s="235"/>
      <c r="N882" s="235"/>
    </row>
    <row r="883" spans="1:14" ht="12.75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132"/>
      <c r="M883" s="235"/>
      <c r="N883" s="235"/>
    </row>
    <row r="884" spans="1:14" ht="12.75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132"/>
      <c r="M884" s="235"/>
      <c r="N884" s="235"/>
    </row>
    <row r="885" spans="1:14" ht="12.75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132"/>
      <c r="M885" s="235"/>
      <c r="N885" s="235"/>
    </row>
    <row r="886" spans="1:14" ht="12.75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132"/>
      <c r="M886" s="235"/>
      <c r="N886" s="235"/>
    </row>
    <row r="887" spans="1:14" ht="12.75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132"/>
      <c r="M887" s="235"/>
      <c r="N887" s="235"/>
    </row>
    <row r="888" spans="1:14" ht="12.75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132"/>
      <c r="M888" s="235"/>
      <c r="N888" s="235"/>
    </row>
    <row r="889" spans="1:14" ht="12.75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132"/>
      <c r="M889" s="235"/>
      <c r="N889" s="235"/>
    </row>
    <row r="890" spans="1:14" ht="12.75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132"/>
      <c r="M890" s="235"/>
      <c r="N890" s="235"/>
    </row>
    <row r="891" spans="1:14" ht="12.75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132"/>
      <c r="M891" s="235"/>
      <c r="N891" s="235"/>
    </row>
    <row r="892" spans="1:14" ht="12.75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132"/>
      <c r="M892" s="235"/>
      <c r="N892" s="235"/>
    </row>
    <row r="893" spans="1:14" ht="12.75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132"/>
      <c r="M893" s="235"/>
      <c r="N893" s="235"/>
    </row>
    <row r="894" spans="1:14" ht="12.75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132"/>
      <c r="M894" s="235"/>
      <c r="N894" s="235"/>
    </row>
    <row r="895" spans="1:14" ht="12.75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132"/>
      <c r="M895" s="235"/>
      <c r="N895" s="235"/>
    </row>
    <row r="896" spans="1:14" ht="12.75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132"/>
      <c r="M896" s="235"/>
      <c r="N896" s="235"/>
    </row>
    <row r="897" spans="1:14" ht="12.75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132"/>
      <c r="M897" s="235"/>
      <c r="N897" s="235"/>
    </row>
    <row r="898" spans="1:14" ht="12.75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132"/>
      <c r="M898" s="235"/>
      <c r="N898" s="235"/>
    </row>
    <row r="899" spans="1:14" ht="12.75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132"/>
      <c r="M899" s="235"/>
      <c r="N899" s="235"/>
    </row>
    <row r="900" spans="1:14" ht="12.75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132"/>
      <c r="M900" s="235"/>
      <c r="N900" s="235"/>
    </row>
    <row r="901" spans="1:14" ht="12.75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132"/>
      <c r="M901" s="235"/>
      <c r="N901" s="235"/>
    </row>
    <row r="902" spans="1:14" ht="12.75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132"/>
      <c r="M902" s="235"/>
      <c r="N902" s="235"/>
    </row>
    <row r="903" spans="1:14" ht="12.75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132"/>
      <c r="M903" s="235"/>
      <c r="N903" s="235"/>
    </row>
    <row r="904" spans="1:14" ht="12.75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132"/>
      <c r="M904" s="235"/>
      <c r="N904" s="235"/>
    </row>
    <row r="905" spans="1:14" ht="12.75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132"/>
      <c r="M905" s="235"/>
      <c r="N905" s="235"/>
    </row>
    <row r="906" spans="1:14" ht="12.75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132"/>
      <c r="M906" s="235"/>
      <c r="N906" s="235"/>
    </row>
    <row r="907" spans="1:14" ht="12.75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132"/>
      <c r="M907" s="235"/>
      <c r="N907" s="235"/>
    </row>
    <row r="908" spans="1:14" ht="12.75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132"/>
      <c r="M908" s="235"/>
      <c r="N908" s="235"/>
    </row>
    <row r="909" spans="1:14" ht="12.75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132"/>
      <c r="M909" s="235"/>
      <c r="N909" s="235"/>
    </row>
    <row r="910" spans="1:14" ht="12.75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132"/>
      <c r="M910" s="235"/>
      <c r="N910" s="235"/>
    </row>
    <row r="911" spans="1:14" ht="12.75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132"/>
      <c r="M911" s="235"/>
      <c r="N911" s="235"/>
    </row>
    <row r="912" spans="1:14" ht="12.75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132"/>
      <c r="M912" s="235"/>
      <c r="N912" s="235"/>
    </row>
    <row r="913" spans="1:14" ht="12.75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132"/>
      <c r="M913" s="235"/>
      <c r="N913" s="235"/>
    </row>
    <row r="914" spans="1:14" ht="12.75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132"/>
      <c r="M914" s="235"/>
      <c r="N914" s="235"/>
    </row>
    <row r="915" spans="1:14" ht="12.75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132"/>
      <c r="M915" s="235"/>
      <c r="N915" s="235"/>
    </row>
    <row r="916" spans="1:14" ht="12.75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132"/>
      <c r="M916" s="235"/>
      <c r="N916" s="235"/>
    </row>
    <row r="917" spans="1:14" ht="12.75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132"/>
      <c r="M917" s="235"/>
      <c r="N917" s="235"/>
    </row>
    <row r="918" spans="1:14" ht="12.75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132"/>
      <c r="M918" s="235"/>
      <c r="N918" s="235"/>
    </row>
    <row r="919" spans="1:14" ht="12.75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132"/>
      <c r="M919" s="235"/>
      <c r="N919" s="235"/>
    </row>
    <row r="920" spans="1:14" ht="12.75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132"/>
      <c r="M920" s="235"/>
      <c r="N920" s="235"/>
    </row>
    <row r="921" spans="1:14" ht="12.75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132"/>
      <c r="M921" s="235"/>
      <c r="N921" s="235"/>
    </row>
    <row r="922" spans="1:14" ht="12.75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132"/>
      <c r="M922" s="235"/>
      <c r="N922" s="235"/>
    </row>
    <row r="923" spans="1:14" ht="12.75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132"/>
      <c r="M923" s="235"/>
      <c r="N923" s="235"/>
    </row>
    <row r="924" spans="1:14" ht="12.75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132"/>
      <c r="M924" s="235"/>
      <c r="N924" s="235"/>
    </row>
    <row r="925" spans="1:14" ht="12.75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132"/>
      <c r="M925" s="235"/>
      <c r="N925" s="235"/>
    </row>
    <row r="926" spans="1:14" ht="12.75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132"/>
      <c r="M926" s="235"/>
      <c r="N926" s="235"/>
    </row>
    <row r="927" spans="1:14" ht="12.75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132"/>
      <c r="M927" s="235"/>
      <c r="N927" s="235"/>
    </row>
    <row r="928" spans="1:14" ht="12.75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132"/>
      <c r="M928" s="235"/>
      <c r="N928" s="235"/>
    </row>
    <row r="929" spans="1:14" ht="12.75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132"/>
      <c r="M929" s="235"/>
      <c r="N929" s="235"/>
    </row>
    <row r="930" spans="1:14" ht="12.75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132"/>
      <c r="M930" s="235"/>
      <c r="N930" s="235"/>
    </row>
    <row r="931" spans="1:14" ht="12.75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132"/>
      <c r="M931" s="235"/>
      <c r="N931" s="235"/>
    </row>
    <row r="932" spans="1:14" ht="12.75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132"/>
      <c r="M932" s="235"/>
      <c r="N932" s="235"/>
    </row>
    <row r="933" spans="1:14" ht="12.75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132"/>
      <c r="M933" s="235"/>
      <c r="N933" s="235"/>
    </row>
    <row r="934" spans="1:14" ht="12.75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132"/>
      <c r="M934" s="235"/>
      <c r="N934" s="235"/>
    </row>
    <row r="935" spans="1:14" ht="12.75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132"/>
      <c r="M935" s="235"/>
      <c r="N935" s="235"/>
    </row>
    <row r="936" spans="1:14" ht="12.75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132"/>
      <c r="M936" s="235"/>
      <c r="N936" s="235"/>
    </row>
    <row r="937" spans="1:14" ht="12.75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132"/>
      <c r="M937" s="235"/>
      <c r="N937" s="235"/>
    </row>
    <row r="938" spans="1:14" ht="12.75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132"/>
      <c r="M938" s="235"/>
      <c r="N938" s="235"/>
    </row>
    <row r="939" spans="1:14" ht="12.75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132"/>
      <c r="M939" s="235"/>
      <c r="N939" s="235"/>
    </row>
    <row r="940" spans="1:14" ht="12.75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132"/>
      <c r="M940" s="235"/>
      <c r="N940" s="235"/>
    </row>
    <row r="941" spans="1:14" ht="12.75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132"/>
      <c r="M941" s="235"/>
      <c r="N941" s="235"/>
    </row>
    <row r="942" spans="1:14" ht="12.75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132"/>
      <c r="M942" s="235"/>
      <c r="N942" s="235"/>
    </row>
    <row r="943" spans="1:14" ht="12.75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132"/>
      <c r="M943" s="235"/>
      <c r="N943" s="235"/>
    </row>
    <row r="944" spans="1:14" ht="12.75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132"/>
      <c r="M944" s="235"/>
      <c r="N944" s="235"/>
    </row>
    <row r="945" spans="1:14" ht="12.75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132"/>
      <c r="M945" s="235"/>
      <c r="N945" s="235"/>
    </row>
    <row r="946" spans="1:14" ht="12.75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132"/>
      <c r="M946" s="235"/>
      <c r="N946" s="235"/>
    </row>
    <row r="947" spans="1:14" ht="12.75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132"/>
      <c r="M947" s="235"/>
      <c r="N947" s="235"/>
    </row>
    <row r="948" spans="1:14" ht="12.75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132"/>
      <c r="M948" s="235"/>
      <c r="N948" s="235"/>
    </row>
    <row r="949" spans="1:14" ht="12.75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132"/>
      <c r="M949" s="235"/>
      <c r="N949" s="235"/>
    </row>
    <row r="950" spans="1:14" ht="12.75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132"/>
      <c r="M950" s="235"/>
      <c r="N950" s="235"/>
    </row>
    <row r="951" spans="1:14" ht="12.75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132"/>
      <c r="M951" s="235"/>
      <c r="N951" s="235"/>
    </row>
    <row r="952" spans="1:14" ht="12.75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132"/>
      <c r="M952" s="235"/>
      <c r="N952" s="235"/>
    </row>
    <row r="953" spans="1:14" ht="12.75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132"/>
      <c r="M953" s="235"/>
      <c r="N953" s="235"/>
    </row>
    <row r="954" spans="1:14" ht="12.75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132"/>
      <c r="M954" s="235"/>
      <c r="N954" s="235"/>
    </row>
    <row r="955" spans="1:14" ht="12.75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132"/>
      <c r="M955" s="235"/>
      <c r="N955" s="235"/>
    </row>
    <row r="956" spans="1:14" ht="12.75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132"/>
      <c r="M956" s="235"/>
      <c r="N956" s="235"/>
    </row>
    <row r="957" spans="1:14" ht="12.75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132"/>
      <c r="M957" s="235"/>
      <c r="N957" s="235"/>
    </row>
    <row r="958" spans="1:14" ht="12.75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132"/>
      <c r="M958" s="235"/>
      <c r="N958" s="235"/>
    </row>
    <row r="959" spans="1:14" ht="12.75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132"/>
      <c r="M959" s="235"/>
      <c r="N959" s="235"/>
    </row>
    <row r="960" spans="1:14" ht="12.75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132"/>
      <c r="M960" s="235"/>
      <c r="N960" s="235"/>
    </row>
    <row r="961" spans="1:14" ht="12.75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132"/>
      <c r="M961" s="235"/>
      <c r="N961" s="235"/>
    </row>
    <row r="962" spans="1:14" ht="12.75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132"/>
      <c r="M962" s="235"/>
      <c r="N962" s="235"/>
    </row>
    <row r="963" spans="1:14" ht="12.75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132"/>
      <c r="M963" s="235"/>
      <c r="N963" s="235"/>
    </row>
    <row r="964" spans="1:14" ht="12.75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132"/>
      <c r="M964" s="235"/>
      <c r="N964" s="235"/>
    </row>
    <row r="965" spans="1:14" ht="12.75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132"/>
      <c r="M965" s="235"/>
      <c r="N965" s="235"/>
    </row>
    <row r="966" spans="1:14" ht="12.75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132"/>
      <c r="M966" s="235"/>
      <c r="N966" s="235"/>
    </row>
    <row r="967" spans="1:14" ht="12.75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132"/>
      <c r="M967" s="235"/>
      <c r="N967" s="235"/>
    </row>
    <row r="968" spans="1:14" ht="12.75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132"/>
      <c r="M968" s="235"/>
      <c r="N968" s="235"/>
    </row>
    <row r="969" spans="1:14" ht="12.75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132"/>
      <c r="M969" s="235"/>
      <c r="N969" s="235"/>
    </row>
    <row r="970" spans="1:14" ht="12.75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132"/>
      <c r="M970" s="235"/>
      <c r="N970" s="235"/>
    </row>
    <row r="971" spans="1:14" ht="12.75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132"/>
      <c r="M971" s="235"/>
      <c r="N971" s="235"/>
    </row>
    <row r="972" spans="1:14" ht="12.75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132"/>
      <c r="M972" s="235"/>
      <c r="N972" s="235"/>
    </row>
    <row r="973" spans="1:14" ht="12.75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132"/>
      <c r="M973" s="235"/>
      <c r="N973" s="235"/>
    </row>
    <row r="974" spans="1:14" ht="12.75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132"/>
      <c r="M974" s="235"/>
      <c r="N974" s="235"/>
    </row>
    <row r="975" spans="1:14" ht="12.75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132"/>
      <c r="M975" s="235"/>
      <c r="N975" s="235"/>
    </row>
    <row r="976" spans="1:14" ht="12.75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132"/>
      <c r="M976" s="235"/>
      <c r="N976" s="235"/>
    </row>
    <row r="977" spans="1:14" ht="12.75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132"/>
      <c r="M977" s="235"/>
      <c r="N977" s="235"/>
    </row>
    <row r="978" spans="1:14" ht="12.75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132"/>
      <c r="M978" s="235"/>
      <c r="N978" s="235"/>
    </row>
    <row r="979" spans="1:14" ht="12.75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132"/>
      <c r="M979" s="235"/>
      <c r="N979" s="235"/>
    </row>
    <row r="980" spans="1:14" ht="12.75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132"/>
      <c r="M980" s="235"/>
      <c r="N980" s="235"/>
    </row>
    <row r="981" spans="1:14" ht="12.75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132"/>
      <c r="M981" s="235"/>
      <c r="N981" s="235"/>
    </row>
    <row r="982" spans="1:14" ht="12.75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132"/>
      <c r="M982" s="235"/>
      <c r="N982" s="235"/>
    </row>
    <row r="983" spans="1:14" ht="12.75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132"/>
      <c r="M983" s="235"/>
      <c r="N983" s="235"/>
    </row>
    <row r="984" spans="1:14" ht="12.75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132"/>
      <c r="M984" s="235"/>
      <c r="N984" s="235"/>
    </row>
    <row r="985" spans="1:14" ht="12.75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132"/>
      <c r="M985" s="235"/>
      <c r="N985" s="235"/>
    </row>
    <row r="986" spans="1:14" ht="12.75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132"/>
      <c r="M986" s="235"/>
      <c r="N986" s="235"/>
    </row>
    <row r="987" spans="1:14" ht="12.75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132"/>
      <c r="M987" s="235"/>
      <c r="N987" s="235"/>
    </row>
    <row r="988" spans="1:14" ht="12.75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132"/>
      <c r="M988" s="235"/>
      <c r="N988" s="235"/>
    </row>
    <row r="989" spans="1:14" ht="12.75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132"/>
      <c r="M989" s="235"/>
      <c r="N989" s="235"/>
    </row>
    <row r="990" spans="1:14" ht="12.75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132"/>
      <c r="M990" s="235"/>
      <c r="N990" s="235"/>
    </row>
    <row r="991" spans="1:14" ht="12.75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132"/>
      <c r="M991" s="235"/>
      <c r="N991" s="235"/>
    </row>
    <row r="992" spans="1:14" ht="12.75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132"/>
      <c r="M992" s="235"/>
      <c r="N992" s="235"/>
    </row>
    <row r="993" spans="1:14" ht="12.75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132"/>
      <c r="M993" s="235"/>
      <c r="N993" s="235"/>
    </row>
    <row r="994" spans="1:14" ht="12.75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132"/>
      <c r="M994" s="235"/>
      <c r="N994" s="235"/>
    </row>
    <row r="995" spans="1:14" ht="12.75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132"/>
      <c r="M995" s="235"/>
      <c r="N995" s="235"/>
    </row>
    <row r="996" spans="1:14" ht="12.75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132"/>
      <c r="M996" s="235"/>
      <c r="N996" s="235"/>
    </row>
    <row r="997" spans="1:14" ht="12.75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132"/>
      <c r="M997" s="235"/>
      <c r="N997" s="235"/>
    </row>
    <row r="998" spans="1:14" ht="12.75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132"/>
      <c r="M998" s="235"/>
      <c r="N998" s="235"/>
    </row>
    <row r="999" spans="1:14" ht="12.75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132"/>
      <c r="M999" s="235"/>
      <c r="N999" s="23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00"/>
  <sheetViews>
    <sheetView workbookViewId="0"/>
  </sheetViews>
  <sheetFormatPr defaultColWidth="12.5703125" defaultRowHeight="15" customHeight="1"/>
  <cols>
    <col min="2" max="2" width="17.140625" customWidth="1"/>
  </cols>
  <sheetData>
    <row r="1" spans="1:8" ht="24.75" customHeight="1">
      <c r="A1" s="211" t="s">
        <v>752</v>
      </c>
      <c r="B1" s="261" t="s">
        <v>753</v>
      </c>
      <c r="C1" s="262"/>
      <c r="E1" s="262" t="s">
        <v>754</v>
      </c>
      <c r="F1" s="241"/>
      <c r="G1" s="251"/>
      <c r="H1" s="251"/>
    </row>
    <row r="2" spans="1:8" ht="15.75" customHeight="1">
      <c r="B2" s="244" t="s">
        <v>755</v>
      </c>
      <c r="C2" s="245">
        <v>2</v>
      </c>
      <c r="E2" s="262" t="s">
        <v>34</v>
      </c>
      <c r="F2" s="241"/>
      <c r="G2" s="251"/>
      <c r="H2" s="251"/>
    </row>
    <row r="3" spans="1:8" ht="15.75" customHeight="1">
      <c r="B3" s="245" t="s">
        <v>756</v>
      </c>
      <c r="C3" s="245"/>
      <c r="E3" s="262" t="s">
        <v>757</v>
      </c>
      <c r="F3" s="241"/>
      <c r="G3" s="251"/>
      <c r="H3" s="251"/>
    </row>
    <row r="4" spans="1:8" ht="15.75" customHeight="1">
      <c r="B4" s="245" t="s">
        <v>758</v>
      </c>
      <c r="C4" s="245">
        <v>6</v>
      </c>
    </row>
    <row r="5" spans="1:8" ht="15.75" customHeight="1"/>
    <row r="6" spans="1:8" ht="15.75" customHeight="1">
      <c r="B6" s="262" t="s">
        <v>648</v>
      </c>
      <c r="C6" s="262">
        <v>48</v>
      </c>
    </row>
    <row r="7" spans="1:8" ht="15.75" customHeight="1">
      <c r="B7" s="262" t="s">
        <v>53</v>
      </c>
      <c r="C7" s="262">
        <v>16</v>
      </c>
    </row>
    <row r="8" spans="1:8" ht="15.75" customHeight="1">
      <c r="B8" s="262" t="s">
        <v>152</v>
      </c>
      <c r="C8" s="262">
        <v>2</v>
      </c>
    </row>
    <row r="9" spans="1:8" ht="15.75" customHeight="1"/>
    <row r="10" spans="1:8" ht="15.75" customHeight="1">
      <c r="B10" s="262" t="s">
        <v>759</v>
      </c>
      <c r="C10" s="245"/>
    </row>
    <row r="11" spans="1:8" ht="15.75" customHeight="1">
      <c r="B11" s="262" t="s">
        <v>35</v>
      </c>
      <c r="C11" s="245"/>
    </row>
    <row r="12" spans="1:8" ht="15.75" customHeight="1">
      <c r="B12" s="262" t="s">
        <v>77</v>
      </c>
      <c r="C12" s="245"/>
    </row>
    <row r="13" spans="1:8" ht="15.75" customHeight="1">
      <c r="B13" s="262" t="s">
        <v>760</v>
      </c>
      <c r="C13" s="262"/>
    </row>
    <row r="14" spans="1:8" ht="15.75" customHeight="1">
      <c r="B14" s="262" t="s">
        <v>761</v>
      </c>
      <c r="C14" s="262"/>
    </row>
    <row r="15" spans="1:8" ht="15.75" customHeight="1">
      <c r="B15" s="262" t="s">
        <v>762</v>
      </c>
      <c r="C15" s="262"/>
    </row>
    <row r="16" spans="1:8" ht="15.75" customHeight="1">
      <c r="B16" s="262" t="s">
        <v>763</v>
      </c>
      <c r="C16" s="262"/>
    </row>
    <row r="17" spans="2:8" ht="15.75" customHeight="1">
      <c r="B17" s="262" t="s">
        <v>764</v>
      </c>
      <c r="C17" s="262"/>
      <c r="E17" s="251"/>
    </row>
    <row r="18" spans="2:8" ht="15.75" customHeight="1"/>
    <row r="19" spans="2:8" ht="15.75" customHeight="1"/>
    <row r="20" spans="2:8" ht="15.75" customHeight="1"/>
    <row r="21" spans="2:8" ht="39.75" customHeight="1">
      <c r="B21" s="262" t="s">
        <v>765</v>
      </c>
      <c r="C21" s="95" t="s">
        <v>766</v>
      </c>
      <c r="D21" s="263" t="s">
        <v>767</v>
      </c>
      <c r="E21" s="251"/>
      <c r="F21" s="251"/>
      <c r="G21" s="251"/>
    </row>
    <row r="22" spans="2:8" ht="15.75" customHeight="1">
      <c r="B22" s="262" t="s">
        <v>768</v>
      </c>
      <c r="C22" s="262">
        <v>1</v>
      </c>
      <c r="D22" s="264"/>
    </row>
    <row r="23" spans="2:8" ht="15.75" customHeight="1">
      <c r="B23" s="262" t="s">
        <v>98</v>
      </c>
      <c r="C23" s="262">
        <v>2</v>
      </c>
      <c r="D23" s="264"/>
    </row>
    <row r="24" spans="2:8" ht="15.75" customHeight="1">
      <c r="B24" s="262" t="s">
        <v>113</v>
      </c>
      <c r="C24" s="262">
        <v>35</v>
      </c>
      <c r="D24" s="264"/>
    </row>
    <row r="25" spans="2:8" ht="15.75" customHeight="1">
      <c r="B25" s="262" t="s">
        <v>769</v>
      </c>
      <c r="C25" s="262">
        <v>7</v>
      </c>
      <c r="D25" s="264"/>
    </row>
    <row r="26" spans="2:8" ht="15.75" customHeight="1">
      <c r="B26" s="262" t="s">
        <v>770</v>
      </c>
      <c r="C26" s="262">
        <v>2</v>
      </c>
      <c r="D26" s="264"/>
    </row>
    <row r="27" spans="2:8" ht="15.75" customHeight="1">
      <c r="B27" s="262" t="s">
        <v>771</v>
      </c>
      <c r="C27" s="262">
        <v>19</v>
      </c>
      <c r="D27" s="264"/>
    </row>
    <row r="28" spans="2:8" ht="15.75" customHeight="1"/>
    <row r="29" spans="2:8" ht="15.75" customHeight="1"/>
    <row r="30" spans="2:8" ht="15.75" customHeight="1">
      <c r="B30" s="246" t="s">
        <v>772</v>
      </c>
      <c r="C30" s="251">
        <v>53</v>
      </c>
      <c r="D30" s="247">
        <v>1</v>
      </c>
      <c r="E30" s="246" t="s">
        <v>773</v>
      </c>
      <c r="F30" s="246">
        <v>66</v>
      </c>
      <c r="G30" s="247"/>
      <c r="H30" s="247">
        <v>1</v>
      </c>
    </row>
    <row r="31" spans="2:8" ht="15.75" customHeight="1">
      <c r="B31" s="246" t="s">
        <v>774</v>
      </c>
      <c r="C31" s="251">
        <v>37</v>
      </c>
      <c r="D31" s="247">
        <v>0.70499999999999996</v>
      </c>
      <c r="E31" s="246" t="s">
        <v>775</v>
      </c>
      <c r="F31" s="246">
        <v>53</v>
      </c>
      <c r="G31" s="248"/>
      <c r="H31" s="248">
        <v>0.81499999999999995</v>
      </c>
    </row>
    <row r="32" spans="2:8" ht="15.75" customHeight="1">
      <c r="B32" s="246" t="s">
        <v>776</v>
      </c>
      <c r="C32" s="251">
        <v>14</v>
      </c>
      <c r="D32" s="249">
        <v>0.39</v>
      </c>
      <c r="E32" s="246" t="s">
        <v>38</v>
      </c>
      <c r="F32" s="246">
        <v>5</v>
      </c>
      <c r="G32" s="249"/>
      <c r="H32" s="249">
        <v>0.08</v>
      </c>
    </row>
    <row r="33" spans="2:8" ht="15.75" customHeight="1">
      <c r="B33" s="246" t="s">
        <v>777</v>
      </c>
      <c r="C33" s="251">
        <v>1</v>
      </c>
      <c r="D33" s="247">
        <v>7.0999999999999994E-2</v>
      </c>
      <c r="E33" s="246" t="s">
        <v>778</v>
      </c>
      <c r="F33" s="246">
        <v>6</v>
      </c>
      <c r="G33" s="249"/>
      <c r="H33" s="249">
        <v>0.08</v>
      </c>
    </row>
    <row r="34" spans="2:8" ht="15.75" customHeight="1">
      <c r="B34" s="246" t="s">
        <v>779</v>
      </c>
      <c r="C34" s="251">
        <v>2</v>
      </c>
      <c r="D34" s="249">
        <v>0.04</v>
      </c>
      <c r="E34" s="246" t="s">
        <v>780</v>
      </c>
      <c r="F34" s="246">
        <v>2</v>
      </c>
      <c r="G34" s="249"/>
      <c r="H34" s="249">
        <v>0.04</v>
      </c>
    </row>
    <row r="35" spans="2:8" ht="15.75" customHeight="1">
      <c r="B35" s="246" t="s">
        <v>38</v>
      </c>
      <c r="C35" s="251">
        <v>5</v>
      </c>
      <c r="G35" s="246"/>
      <c r="H35" s="246"/>
    </row>
    <row r="36" spans="2:8" ht="15.75" customHeight="1">
      <c r="B36" s="246" t="s">
        <v>778</v>
      </c>
      <c r="C36" s="251">
        <v>5</v>
      </c>
      <c r="G36" s="246"/>
      <c r="H36" s="246"/>
    </row>
    <row r="37" spans="2:8" ht="15.75" customHeight="1">
      <c r="B37" s="246" t="s">
        <v>780</v>
      </c>
      <c r="C37" s="251">
        <v>2</v>
      </c>
      <c r="G37" s="246"/>
      <c r="H37" s="246"/>
    </row>
    <row r="38" spans="2:8" ht="15.75" customHeight="1"/>
    <row r="39" spans="2:8" ht="15.75" customHeight="1"/>
    <row r="40" spans="2:8" ht="15.75" customHeight="1"/>
    <row r="41" spans="2:8" ht="15.75" customHeight="1"/>
    <row r="42" spans="2:8" ht="15.75" customHeight="1"/>
    <row r="43" spans="2:8" ht="15.75" customHeight="1"/>
    <row r="44" spans="2:8" ht="15.75" customHeight="1"/>
    <row r="45" spans="2:8" ht="15.75" customHeight="1"/>
    <row r="46" spans="2:8" ht="15.75" customHeight="1"/>
    <row r="47" spans="2:8" ht="15.75" customHeight="1"/>
    <row r="48" spans="2:8" ht="15.75" customHeight="1"/>
    <row r="49" spans="10:12" ht="15.75" customHeight="1">
      <c r="J49" s="246" t="s">
        <v>772</v>
      </c>
      <c r="K49" s="246">
        <v>51</v>
      </c>
      <c r="L49" s="249">
        <v>0.85</v>
      </c>
    </row>
    <row r="50" spans="10:12" ht="15.75" customHeight="1">
      <c r="J50" s="246" t="s">
        <v>38</v>
      </c>
      <c r="K50" s="246">
        <v>6</v>
      </c>
      <c r="L50" s="247"/>
    </row>
    <row r="51" spans="10:12" ht="15.75" customHeight="1">
      <c r="J51" s="246" t="s">
        <v>778</v>
      </c>
      <c r="K51" s="246">
        <v>5</v>
      </c>
      <c r="L51" s="249"/>
    </row>
    <row r="52" spans="10:12" ht="15.75" customHeight="1">
      <c r="J52" s="246" t="s">
        <v>434</v>
      </c>
      <c r="K52" s="246">
        <v>2</v>
      </c>
      <c r="L52" s="247"/>
    </row>
    <row r="53" spans="10:12" ht="15.75" customHeight="1">
      <c r="J53" s="246"/>
      <c r="K53" s="246"/>
      <c r="L53" s="249"/>
    </row>
    <row r="54" spans="10:12" ht="15.75" customHeight="1">
      <c r="L54" s="246"/>
    </row>
    <row r="55" spans="10:12" ht="15.75" customHeight="1">
      <c r="L55" s="246"/>
    </row>
    <row r="56" spans="10:12" ht="15.75" customHeight="1">
      <c r="L56" s="246"/>
    </row>
    <row r="57" spans="10:12" ht="15.75" customHeight="1"/>
    <row r="58" spans="10:12" ht="15.75" customHeight="1"/>
    <row r="59" spans="10:12" ht="15.75" customHeight="1"/>
    <row r="60" spans="10:12" ht="15.75" customHeight="1"/>
    <row r="61" spans="10:12" ht="15.75" customHeight="1"/>
    <row r="62" spans="10:12" ht="15.75" customHeight="1"/>
    <row r="63" spans="10:12" ht="15.75" customHeight="1"/>
    <row r="64" spans="10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L1000"/>
  <sheetViews>
    <sheetView workbookViewId="0"/>
  </sheetViews>
  <sheetFormatPr defaultColWidth="12.5703125" defaultRowHeight="15" customHeight="1"/>
  <cols>
    <col min="2" max="2" width="17.140625" customWidth="1"/>
  </cols>
  <sheetData>
    <row r="1" spans="2:8" ht="24.75" customHeight="1">
      <c r="B1" s="261" t="s">
        <v>753</v>
      </c>
      <c r="C1" s="262"/>
      <c r="E1" s="262" t="s">
        <v>754</v>
      </c>
      <c r="F1" s="241"/>
      <c r="G1" s="251"/>
      <c r="H1" s="251"/>
    </row>
    <row r="2" spans="2:8" ht="15.75" customHeight="1">
      <c r="B2" s="244" t="s">
        <v>755</v>
      </c>
      <c r="C2" s="245"/>
      <c r="E2" s="262" t="s">
        <v>34</v>
      </c>
      <c r="F2" s="241"/>
      <c r="G2" s="251"/>
      <c r="H2" s="251"/>
    </row>
    <row r="3" spans="2:8" ht="15.75" customHeight="1">
      <c r="B3" s="245" t="s">
        <v>756</v>
      </c>
      <c r="C3" s="245"/>
      <c r="E3" s="262" t="s">
        <v>757</v>
      </c>
      <c r="F3" s="241"/>
      <c r="G3" s="251"/>
      <c r="H3" s="251"/>
    </row>
    <row r="4" spans="2:8" ht="15.75" customHeight="1">
      <c r="B4" s="245" t="s">
        <v>758</v>
      </c>
      <c r="C4" s="245"/>
    </row>
    <row r="5" spans="2:8" ht="15.75" customHeight="1"/>
    <row r="6" spans="2:8" ht="15.75" customHeight="1">
      <c r="B6" s="262" t="s">
        <v>648</v>
      </c>
      <c r="C6" s="262"/>
    </row>
    <row r="7" spans="2:8" ht="15.75" customHeight="1">
      <c r="B7" s="262" t="s">
        <v>53</v>
      </c>
      <c r="C7" s="262"/>
    </row>
    <row r="8" spans="2:8" ht="15.75" customHeight="1">
      <c r="B8" s="262" t="s">
        <v>152</v>
      </c>
      <c r="C8" s="262"/>
    </row>
    <row r="9" spans="2:8" ht="15.75" customHeight="1"/>
    <row r="10" spans="2:8" ht="15.75" customHeight="1">
      <c r="B10" s="262" t="s">
        <v>759</v>
      </c>
      <c r="C10" s="245"/>
    </row>
    <row r="11" spans="2:8" ht="15.75" customHeight="1">
      <c r="B11" s="262" t="s">
        <v>35</v>
      </c>
      <c r="C11" s="245"/>
    </row>
    <row r="12" spans="2:8" ht="15.75" customHeight="1">
      <c r="B12" s="262" t="s">
        <v>77</v>
      </c>
      <c r="C12" s="245"/>
    </row>
    <row r="13" spans="2:8" ht="15.75" customHeight="1">
      <c r="B13" s="262" t="s">
        <v>760</v>
      </c>
      <c r="C13" s="262"/>
    </row>
    <row r="14" spans="2:8" ht="15.75" customHeight="1">
      <c r="B14" s="262" t="s">
        <v>761</v>
      </c>
      <c r="C14" s="262"/>
    </row>
    <row r="15" spans="2:8" ht="15.75" customHeight="1">
      <c r="B15" s="262" t="s">
        <v>762</v>
      </c>
      <c r="C15" s="262"/>
    </row>
    <row r="16" spans="2:8" ht="15.75" customHeight="1">
      <c r="B16" s="262" t="s">
        <v>763</v>
      </c>
      <c r="C16" s="262"/>
    </row>
    <row r="17" spans="2:8" ht="15.75" customHeight="1">
      <c r="B17" s="262" t="s">
        <v>764</v>
      </c>
      <c r="C17" s="262"/>
      <c r="E17" s="251"/>
    </row>
    <row r="18" spans="2:8" ht="15.75" customHeight="1"/>
    <row r="19" spans="2:8" ht="15.75" customHeight="1"/>
    <row r="20" spans="2:8" ht="15.75" customHeight="1"/>
    <row r="21" spans="2:8" ht="39.75" customHeight="1">
      <c r="B21" s="262" t="s">
        <v>765</v>
      </c>
      <c r="C21" s="95" t="s">
        <v>766</v>
      </c>
      <c r="D21" s="263" t="s">
        <v>767</v>
      </c>
      <c r="E21" s="251"/>
      <c r="F21" s="251"/>
      <c r="G21" s="251"/>
    </row>
    <row r="22" spans="2:8" ht="15.75" customHeight="1">
      <c r="B22" s="262" t="s">
        <v>768</v>
      </c>
      <c r="C22" s="262">
        <v>1</v>
      </c>
      <c r="D22" s="264"/>
    </row>
    <row r="23" spans="2:8" ht="15.75" customHeight="1">
      <c r="B23" s="262" t="s">
        <v>98</v>
      </c>
      <c r="C23" s="262">
        <v>2</v>
      </c>
      <c r="D23" s="264"/>
    </row>
    <row r="24" spans="2:8" ht="15.75" customHeight="1">
      <c r="B24" s="262" t="s">
        <v>113</v>
      </c>
      <c r="C24" s="262">
        <v>35</v>
      </c>
      <c r="D24" s="264"/>
    </row>
    <row r="25" spans="2:8" ht="15.75" customHeight="1">
      <c r="B25" s="262" t="s">
        <v>769</v>
      </c>
      <c r="C25" s="262">
        <v>7</v>
      </c>
      <c r="D25" s="264"/>
    </row>
    <row r="26" spans="2:8" ht="15.75" customHeight="1">
      <c r="B26" s="262" t="s">
        <v>770</v>
      </c>
      <c r="C26" s="262">
        <v>2</v>
      </c>
      <c r="D26" s="264"/>
    </row>
    <row r="27" spans="2:8" ht="15.75" customHeight="1">
      <c r="B27" s="262" t="s">
        <v>771</v>
      </c>
      <c r="C27" s="262">
        <v>19</v>
      </c>
      <c r="D27" s="264"/>
    </row>
    <row r="28" spans="2:8" ht="15.75" customHeight="1"/>
    <row r="29" spans="2:8" ht="15.75" customHeight="1"/>
    <row r="30" spans="2:8" ht="15.75" customHeight="1">
      <c r="B30" s="246" t="s">
        <v>772</v>
      </c>
      <c r="C30" s="251">
        <v>53</v>
      </c>
      <c r="D30" s="247">
        <v>1</v>
      </c>
      <c r="E30" s="246" t="s">
        <v>773</v>
      </c>
      <c r="F30" s="246">
        <v>66</v>
      </c>
      <c r="G30" s="247"/>
      <c r="H30" s="247">
        <v>1</v>
      </c>
    </row>
    <row r="31" spans="2:8" ht="15.75" customHeight="1">
      <c r="B31" s="246" t="s">
        <v>774</v>
      </c>
      <c r="C31" s="251">
        <v>37</v>
      </c>
      <c r="D31" s="247">
        <v>0.70499999999999996</v>
      </c>
      <c r="E31" s="246" t="s">
        <v>775</v>
      </c>
      <c r="F31" s="246">
        <v>53</v>
      </c>
      <c r="G31" s="248"/>
      <c r="H31" s="248">
        <v>0.81499999999999995</v>
      </c>
    </row>
    <row r="32" spans="2:8" ht="15.75" customHeight="1">
      <c r="B32" s="246" t="s">
        <v>776</v>
      </c>
      <c r="C32" s="251">
        <v>14</v>
      </c>
      <c r="D32" s="249">
        <v>0.39</v>
      </c>
      <c r="E32" s="246" t="s">
        <v>38</v>
      </c>
      <c r="F32" s="246">
        <v>5</v>
      </c>
      <c r="G32" s="249"/>
      <c r="H32" s="249">
        <v>0.08</v>
      </c>
    </row>
    <row r="33" spans="2:8" ht="15.75" customHeight="1">
      <c r="B33" s="246" t="s">
        <v>777</v>
      </c>
      <c r="C33" s="251">
        <v>1</v>
      </c>
      <c r="D33" s="247">
        <v>7.0999999999999994E-2</v>
      </c>
      <c r="E33" s="246" t="s">
        <v>778</v>
      </c>
      <c r="F33" s="246">
        <v>6</v>
      </c>
      <c r="G33" s="249"/>
      <c r="H33" s="249">
        <v>0.08</v>
      </c>
    </row>
    <row r="34" spans="2:8" ht="15.75" customHeight="1">
      <c r="B34" s="246" t="s">
        <v>779</v>
      </c>
      <c r="C34" s="251">
        <v>2</v>
      </c>
      <c r="D34" s="249">
        <v>0.04</v>
      </c>
      <c r="E34" s="246" t="s">
        <v>780</v>
      </c>
      <c r="F34" s="246">
        <v>2</v>
      </c>
      <c r="G34" s="249"/>
      <c r="H34" s="249">
        <v>0.04</v>
      </c>
    </row>
    <row r="35" spans="2:8" ht="15.75" customHeight="1">
      <c r="B35" s="246" t="s">
        <v>38</v>
      </c>
      <c r="C35" s="251">
        <v>5</v>
      </c>
      <c r="G35" s="246"/>
      <c r="H35" s="246"/>
    </row>
    <row r="36" spans="2:8" ht="15.75" customHeight="1">
      <c r="B36" s="246" t="s">
        <v>778</v>
      </c>
      <c r="C36" s="251">
        <v>5</v>
      </c>
      <c r="G36" s="246"/>
      <c r="H36" s="246"/>
    </row>
    <row r="37" spans="2:8" ht="15.75" customHeight="1">
      <c r="B37" s="246" t="s">
        <v>780</v>
      </c>
      <c r="C37" s="251">
        <v>2</v>
      </c>
      <c r="G37" s="246"/>
      <c r="H37" s="246"/>
    </row>
    <row r="38" spans="2:8" ht="15.75" customHeight="1"/>
    <row r="39" spans="2:8" ht="15.75" customHeight="1"/>
    <row r="40" spans="2:8" ht="15.75" customHeight="1"/>
    <row r="41" spans="2:8" ht="15.75" customHeight="1"/>
    <row r="42" spans="2:8" ht="15.75" customHeight="1"/>
    <row r="43" spans="2:8" ht="15.75" customHeight="1"/>
    <row r="44" spans="2:8" ht="15.75" customHeight="1"/>
    <row r="45" spans="2:8" ht="15.75" customHeight="1"/>
    <row r="46" spans="2:8" ht="15.75" customHeight="1"/>
    <row r="47" spans="2:8" ht="15.75" customHeight="1"/>
    <row r="48" spans="2:8" ht="15.75" customHeight="1"/>
    <row r="49" spans="10:12" ht="15.75" customHeight="1">
      <c r="J49" s="246" t="s">
        <v>772</v>
      </c>
      <c r="K49" s="246">
        <v>51</v>
      </c>
      <c r="L49" s="249">
        <v>0.85</v>
      </c>
    </row>
    <row r="50" spans="10:12" ht="15.75" customHeight="1">
      <c r="J50" s="246" t="s">
        <v>38</v>
      </c>
      <c r="K50" s="246">
        <v>6</v>
      </c>
      <c r="L50" s="247"/>
    </row>
    <row r="51" spans="10:12" ht="15.75" customHeight="1">
      <c r="J51" s="246" t="s">
        <v>778</v>
      </c>
      <c r="K51" s="246">
        <v>5</v>
      </c>
      <c r="L51" s="249"/>
    </row>
    <row r="52" spans="10:12" ht="15.75" customHeight="1">
      <c r="J52" s="246" t="s">
        <v>434</v>
      </c>
      <c r="K52" s="246">
        <v>2</v>
      </c>
      <c r="L52" s="247"/>
    </row>
    <row r="53" spans="10:12" ht="15.75" customHeight="1">
      <c r="J53" s="246"/>
      <c r="K53" s="246"/>
      <c r="L53" s="249"/>
    </row>
    <row r="54" spans="10:12" ht="15.75" customHeight="1">
      <c r="L54" s="246"/>
    </row>
    <row r="55" spans="10:12" ht="15.75" customHeight="1">
      <c r="L55" s="246"/>
    </row>
    <row r="56" spans="10:12" ht="15.75" customHeight="1">
      <c r="L56" s="246"/>
    </row>
    <row r="57" spans="10:12" ht="15.75" customHeight="1"/>
    <row r="58" spans="10:12" ht="15.75" customHeight="1"/>
    <row r="59" spans="10:12" ht="15.75" customHeight="1"/>
    <row r="60" spans="10:12" ht="15.75" customHeight="1"/>
    <row r="61" spans="10:12" ht="15.75" customHeight="1"/>
    <row r="62" spans="10:12" ht="15.75" customHeight="1"/>
    <row r="63" spans="10:12" ht="15.75" customHeight="1"/>
    <row r="64" spans="10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Q1003"/>
  <sheetViews>
    <sheetView workbookViewId="0"/>
  </sheetViews>
  <sheetFormatPr defaultColWidth="12.5703125" defaultRowHeight="15" customHeight="1"/>
  <cols>
    <col min="2" max="2" width="17.140625" customWidth="1"/>
    <col min="14" max="14" width="16" customWidth="1"/>
  </cols>
  <sheetData>
    <row r="1" spans="2:8" ht="24.75" customHeight="1">
      <c r="B1" s="265" t="s">
        <v>781</v>
      </c>
      <c r="C1" s="251">
        <v>87</v>
      </c>
      <c r="E1" s="251" t="s">
        <v>754</v>
      </c>
    </row>
    <row r="2" spans="2:8" ht="15.75" customHeight="1">
      <c r="B2" s="244" t="s">
        <v>755</v>
      </c>
      <c r="C2" s="250">
        <v>58</v>
      </c>
      <c r="E2" s="251" t="s">
        <v>34</v>
      </c>
    </row>
    <row r="3" spans="2:8" ht="15.75" customHeight="1">
      <c r="B3" s="250" t="s">
        <v>782</v>
      </c>
      <c r="C3" s="250">
        <v>5</v>
      </c>
      <c r="E3" s="251" t="s">
        <v>757</v>
      </c>
    </row>
    <row r="4" spans="2:8" ht="15.75" customHeight="1">
      <c r="B4" s="250" t="s">
        <v>783</v>
      </c>
      <c r="C4" s="250">
        <v>4</v>
      </c>
    </row>
    <row r="5" spans="2:8" ht="15.75" customHeight="1">
      <c r="B5" s="251" t="s">
        <v>784</v>
      </c>
      <c r="C5" s="251">
        <v>2</v>
      </c>
    </row>
    <row r="6" spans="2:8" ht="15.75" customHeight="1">
      <c r="E6" s="251" t="s">
        <v>785</v>
      </c>
      <c r="F6" s="251" t="s">
        <v>786</v>
      </c>
      <c r="G6" s="251" t="s">
        <v>787</v>
      </c>
      <c r="H6" s="251" t="s">
        <v>788</v>
      </c>
    </row>
    <row r="7" spans="2:8" ht="15.75" customHeight="1">
      <c r="B7" s="251" t="s">
        <v>789</v>
      </c>
      <c r="C7" s="250">
        <v>87</v>
      </c>
      <c r="G7" s="251">
        <v>66</v>
      </c>
      <c r="H7" s="251">
        <v>87</v>
      </c>
    </row>
    <row r="8" spans="2:8" ht="15.75" customHeight="1">
      <c r="B8" s="251" t="s">
        <v>35</v>
      </c>
      <c r="C8" s="250">
        <v>68</v>
      </c>
      <c r="G8" s="262">
        <v>1</v>
      </c>
      <c r="H8" s="262">
        <v>2</v>
      </c>
    </row>
    <row r="9" spans="2:8" ht="15.75" customHeight="1">
      <c r="B9" s="251" t="s">
        <v>77</v>
      </c>
      <c r="C9" s="250">
        <v>10</v>
      </c>
      <c r="G9" s="262">
        <v>2</v>
      </c>
      <c r="H9" s="262">
        <v>2</v>
      </c>
    </row>
    <row r="10" spans="2:8" ht="15.75" customHeight="1">
      <c r="B10" s="251" t="s">
        <v>760</v>
      </c>
      <c r="C10" s="251">
        <v>1</v>
      </c>
      <c r="G10" s="262">
        <v>35</v>
      </c>
      <c r="H10" s="262">
        <v>37</v>
      </c>
    </row>
    <row r="11" spans="2:8" ht="15.75" customHeight="1">
      <c r="B11" s="251" t="s">
        <v>761</v>
      </c>
      <c r="C11" s="251">
        <v>1</v>
      </c>
      <c r="G11" s="262">
        <v>7</v>
      </c>
      <c r="H11" s="262">
        <v>7</v>
      </c>
    </row>
    <row r="12" spans="2:8" ht="15.75" customHeight="1">
      <c r="B12" s="251" t="s">
        <v>762</v>
      </c>
      <c r="C12" s="251">
        <v>1</v>
      </c>
      <c r="G12" s="262">
        <v>2</v>
      </c>
      <c r="H12" s="262">
        <v>2</v>
      </c>
    </row>
    <row r="13" spans="2:8" ht="15.75" customHeight="1">
      <c r="B13" s="251" t="s">
        <v>763</v>
      </c>
      <c r="C13" s="251">
        <v>1</v>
      </c>
      <c r="G13" s="262">
        <v>19</v>
      </c>
      <c r="H13" s="262">
        <v>37</v>
      </c>
    </row>
    <row r="14" spans="2:8" ht="15.75" customHeight="1">
      <c r="B14" s="251" t="s">
        <v>764</v>
      </c>
      <c r="C14" s="251">
        <v>1</v>
      </c>
    </row>
    <row r="15" spans="2:8" ht="15.75" customHeight="1">
      <c r="B15" s="251" t="s">
        <v>790</v>
      </c>
      <c r="C15" s="251">
        <v>1</v>
      </c>
    </row>
    <row r="16" spans="2:8" ht="15.75" customHeight="1">
      <c r="B16" s="251" t="s">
        <v>791</v>
      </c>
      <c r="C16" s="251">
        <v>1</v>
      </c>
    </row>
    <row r="17" spans="2:7" ht="15.75" customHeight="1">
      <c r="B17" s="251" t="s">
        <v>52</v>
      </c>
      <c r="C17" s="251">
        <v>1</v>
      </c>
    </row>
    <row r="18" spans="2:7" ht="15.75" customHeight="1">
      <c r="B18" s="251" t="s">
        <v>792</v>
      </c>
      <c r="C18" s="251">
        <v>1</v>
      </c>
    </row>
    <row r="19" spans="2:7" ht="15.75" customHeight="1"/>
    <row r="20" spans="2:7" ht="15.75" customHeight="1">
      <c r="B20" s="266" t="s">
        <v>648</v>
      </c>
      <c r="C20" s="267">
        <v>54</v>
      </c>
    </row>
    <row r="21" spans="2:7" ht="15.75" customHeight="1">
      <c r="B21" s="268" t="s">
        <v>53</v>
      </c>
      <c r="C21" s="269">
        <v>31</v>
      </c>
    </row>
    <row r="22" spans="2:7" ht="15.75" customHeight="1">
      <c r="B22" s="270" t="s">
        <v>152</v>
      </c>
      <c r="C22" s="271">
        <v>2</v>
      </c>
    </row>
    <row r="23" spans="2:7" ht="15.75" customHeight="1"/>
    <row r="24" spans="2:7" ht="39.75" customHeight="1">
      <c r="B24" s="262" t="s">
        <v>765</v>
      </c>
      <c r="C24" s="95" t="s">
        <v>793</v>
      </c>
      <c r="D24" s="263" t="s">
        <v>767</v>
      </c>
      <c r="E24" s="251" t="s">
        <v>794</v>
      </c>
    </row>
    <row r="25" spans="2:7" ht="15.75" customHeight="1">
      <c r="B25" s="262" t="s">
        <v>768</v>
      </c>
      <c r="C25" s="262">
        <v>2</v>
      </c>
      <c r="D25" s="264" t="s">
        <v>795</v>
      </c>
      <c r="E25" s="251" t="s">
        <v>796</v>
      </c>
    </row>
    <row r="26" spans="2:7" ht="15.75" customHeight="1">
      <c r="B26" s="262" t="s">
        <v>98</v>
      </c>
      <c r="C26" s="262">
        <v>2</v>
      </c>
      <c r="D26" s="264" t="s">
        <v>797</v>
      </c>
      <c r="E26" s="251" t="s">
        <v>705</v>
      </c>
    </row>
    <row r="27" spans="2:7" ht="15.75" customHeight="1">
      <c r="B27" s="262" t="s">
        <v>113</v>
      </c>
      <c r="C27" s="262">
        <v>37</v>
      </c>
      <c r="D27" s="264" t="s">
        <v>798</v>
      </c>
    </row>
    <row r="28" spans="2:7" ht="15.75" customHeight="1">
      <c r="B28" s="262" t="s">
        <v>769</v>
      </c>
      <c r="C28" s="262">
        <v>7</v>
      </c>
      <c r="D28" s="264" t="s">
        <v>799</v>
      </c>
    </row>
    <row r="29" spans="2:7" ht="15.75" customHeight="1">
      <c r="B29" s="262" t="s">
        <v>770</v>
      </c>
      <c r="C29" s="262">
        <v>2</v>
      </c>
      <c r="D29" s="264" t="s">
        <v>800</v>
      </c>
    </row>
    <row r="30" spans="2:7" ht="15.75" customHeight="1">
      <c r="B30" s="262" t="s">
        <v>771</v>
      </c>
      <c r="C30" s="262">
        <v>37</v>
      </c>
      <c r="D30" s="264" t="s">
        <v>801</v>
      </c>
    </row>
    <row r="31" spans="2:7" ht="15.75" customHeight="1"/>
    <row r="32" spans="2:7" ht="15.75" customHeight="1">
      <c r="G32" s="247">
        <v>1</v>
      </c>
    </row>
    <row r="33" spans="2:16" ht="15.75" customHeight="1">
      <c r="B33" s="246" t="s">
        <v>772</v>
      </c>
      <c r="C33" s="251">
        <v>53</v>
      </c>
      <c r="D33" s="247">
        <v>1</v>
      </c>
      <c r="E33" s="246" t="s">
        <v>773</v>
      </c>
      <c r="F33" s="246">
        <v>66</v>
      </c>
      <c r="G33" s="248">
        <v>0.81499999999999995</v>
      </c>
    </row>
    <row r="34" spans="2:16" ht="15.75" customHeight="1">
      <c r="B34" s="246" t="s">
        <v>774</v>
      </c>
      <c r="C34" s="251">
        <v>37</v>
      </c>
      <c r="D34" s="247">
        <v>0.70499999999999996</v>
      </c>
      <c r="E34" s="246" t="s">
        <v>775</v>
      </c>
      <c r="F34" s="246">
        <v>53</v>
      </c>
      <c r="G34" s="249">
        <v>0.08</v>
      </c>
    </row>
    <row r="35" spans="2:16" ht="15.75" customHeight="1">
      <c r="B35" s="246" t="s">
        <v>776</v>
      </c>
      <c r="C35" s="251">
        <v>14</v>
      </c>
      <c r="D35" s="249">
        <v>0.39</v>
      </c>
      <c r="E35" s="246" t="s">
        <v>38</v>
      </c>
      <c r="F35" s="246">
        <v>5</v>
      </c>
      <c r="G35" s="249">
        <v>0.08</v>
      </c>
    </row>
    <row r="36" spans="2:16" ht="15.75" customHeight="1">
      <c r="B36" s="246" t="s">
        <v>777</v>
      </c>
      <c r="C36" s="251">
        <v>1</v>
      </c>
      <c r="D36" s="247">
        <v>7.0999999999999994E-2</v>
      </c>
      <c r="E36" s="246" t="s">
        <v>778</v>
      </c>
      <c r="F36" s="246">
        <v>6</v>
      </c>
      <c r="G36" s="249">
        <v>0.04</v>
      </c>
    </row>
    <row r="37" spans="2:16" ht="15.75" customHeight="1">
      <c r="B37" s="246" t="s">
        <v>779</v>
      </c>
      <c r="C37" s="251">
        <v>2</v>
      </c>
      <c r="D37" s="249">
        <v>0.04</v>
      </c>
      <c r="E37" s="246" t="s">
        <v>780</v>
      </c>
      <c r="F37" s="246">
        <v>2</v>
      </c>
      <c r="G37" s="246"/>
    </row>
    <row r="38" spans="2:16" ht="15.75" customHeight="1">
      <c r="B38" s="246" t="s">
        <v>38</v>
      </c>
      <c r="C38" s="251">
        <v>5</v>
      </c>
      <c r="G38" s="246"/>
    </row>
    <row r="39" spans="2:16" ht="15.75" customHeight="1">
      <c r="B39" s="246" t="s">
        <v>778</v>
      </c>
      <c r="C39" s="251">
        <v>5</v>
      </c>
      <c r="G39" s="246"/>
    </row>
    <row r="40" spans="2:16" ht="15.75" customHeight="1">
      <c r="B40" s="246" t="s">
        <v>780</v>
      </c>
      <c r="C40" s="251">
        <v>2</v>
      </c>
    </row>
    <row r="41" spans="2:16" ht="15.75" customHeight="1"/>
    <row r="42" spans="2:16" ht="15.75" customHeight="1"/>
    <row r="43" spans="2:16" ht="15.75" customHeight="1"/>
    <row r="44" spans="2:16" ht="15.75" customHeight="1"/>
    <row r="45" spans="2:16" ht="15.75" customHeight="1">
      <c r="O45" s="251">
        <v>87</v>
      </c>
    </row>
    <row r="46" spans="2:16" ht="15.75" customHeight="1">
      <c r="N46" s="251" t="s">
        <v>802</v>
      </c>
      <c r="O46" s="251">
        <v>72</v>
      </c>
      <c r="P46" s="251">
        <v>57</v>
      </c>
    </row>
    <row r="47" spans="2:16" ht="15.75" customHeight="1">
      <c r="N47" s="251" t="s">
        <v>803</v>
      </c>
      <c r="O47" s="251">
        <v>5</v>
      </c>
    </row>
    <row r="48" spans="2:16" ht="15.75" customHeight="1">
      <c r="N48" s="251" t="s">
        <v>804</v>
      </c>
      <c r="O48" s="251">
        <v>3</v>
      </c>
      <c r="P48" s="251">
        <v>3</v>
      </c>
    </row>
    <row r="49" spans="9:17" ht="15.75" customHeight="1">
      <c r="N49" s="251" t="s">
        <v>805</v>
      </c>
      <c r="O49" s="251">
        <v>4</v>
      </c>
      <c r="P49" s="251">
        <v>5</v>
      </c>
    </row>
    <row r="50" spans="9:17" ht="15.75" customHeight="1">
      <c r="N50" s="251" t="s">
        <v>806</v>
      </c>
      <c r="O50" s="251">
        <v>3</v>
      </c>
      <c r="P50" s="251">
        <v>3</v>
      </c>
    </row>
    <row r="51" spans="9:17" ht="15.75" customHeight="1">
      <c r="O51" s="251">
        <v>87</v>
      </c>
      <c r="Q51" s="251">
        <v>87</v>
      </c>
    </row>
    <row r="52" spans="9:17" ht="15.75" customHeight="1">
      <c r="I52" s="246" t="s">
        <v>772</v>
      </c>
      <c r="J52" s="246">
        <v>51</v>
      </c>
      <c r="K52" s="249">
        <v>0.85</v>
      </c>
      <c r="N52" s="251" t="s">
        <v>807</v>
      </c>
      <c r="O52" s="251">
        <v>72</v>
      </c>
      <c r="Q52" s="251">
        <v>11</v>
      </c>
    </row>
    <row r="53" spans="9:17" ht="15.75" customHeight="1">
      <c r="I53" s="246" t="s">
        <v>38</v>
      </c>
      <c r="J53" s="246">
        <v>6</v>
      </c>
      <c r="K53" s="247"/>
      <c r="N53" s="251" t="s">
        <v>808</v>
      </c>
      <c r="O53" s="251">
        <v>65</v>
      </c>
      <c r="Q53" s="251">
        <v>76</v>
      </c>
    </row>
    <row r="54" spans="9:17" ht="15.75" customHeight="1">
      <c r="I54" s="246" t="s">
        <v>778</v>
      </c>
      <c r="J54" s="246">
        <v>5</v>
      </c>
      <c r="K54" s="249"/>
      <c r="N54" s="251" t="s">
        <v>809</v>
      </c>
      <c r="O54" s="251">
        <v>60</v>
      </c>
    </row>
    <row r="55" spans="9:17" ht="15.75" customHeight="1">
      <c r="I55" s="246" t="s">
        <v>434</v>
      </c>
      <c r="J55" s="246">
        <v>2</v>
      </c>
      <c r="K55" s="247"/>
      <c r="N55" s="251" t="s">
        <v>810</v>
      </c>
      <c r="O55" s="251">
        <v>5</v>
      </c>
    </row>
    <row r="56" spans="9:17" ht="15.75" customHeight="1">
      <c r="I56" s="246"/>
      <c r="J56" s="246"/>
      <c r="K56" s="249"/>
      <c r="N56" s="251" t="s">
        <v>811</v>
      </c>
      <c r="Q56" s="251" t="s">
        <v>812</v>
      </c>
    </row>
    <row r="57" spans="9:17" ht="15.75" customHeight="1">
      <c r="K57" s="246"/>
    </row>
    <row r="58" spans="9:17" ht="15.75" customHeight="1">
      <c r="K58" s="246"/>
    </row>
    <row r="59" spans="9:17" ht="15.75" customHeight="1">
      <c r="K59" s="246"/>
    </row>
    <row r="60" spans="9:17" ht="15.75" customHeight="1"/>
    <row r="61" spans="9:17" ht="15.75" customHeight="1"/>
    <row r="62" spans="9:17" ht="15.75" customHeight="1"/>
    <row r="63" spans="9:17" ht="15.75" customHeight="1"/>
    <row r="64" spans="9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B4"/>
  <sheetViews>
    <sheetView workbookViewId="0"/>
  </sheetViews>
  <sheetFormatPr defaultColWidth="12.5703125" defaultRowHeight="15" customHeight="1"/>
  <sheetData>
    <row r="2" spans="1:2">
      <c r="A2" s="211" t="s">
        <v>807</v>
      </c>
    </row>
    <row r="3" spans="1:2">
      <c r="A3" s="211">
        <v>2023</v>
      </c>
      <c r="B3" s="211">
        <v>87</v>
      </c>
    </row>
    <row r="4" spans="1:2">
      <c r="A4" s="211">
        <v>2024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Q1003"/>
  <sheetViews>
    <sheetView workbookViewId="0"/>
  </sheetViews>
  <sheetFormatPr defaultColWidth="12.5703125" defaultRowHeight="15" customHeight="1"/>
  <cols>
    <col min="2" max="2" width="17.140625" customWidth="1"/>
    <col min="14" max="14" width="16" customWidth="1"/>
  </cols>
  <sheetData>
    <row r="1" spans="2:8" ht="24.75" customHeight="1">
      <c r="B1" s="265" t="s">
        <v>781</v>
      </c>
      <c r="C1" s="251">
        <v>87</v>
      </c>
      <c r="E1" s="251" t="s">
        <v>754</v>
      </c>
    </row>
    <row r="2" spans="2:8" ht="15.75" customHeight="1">
      <c r="B2" s="244" t="s">
        <v>755</v>
      </c>
      <c r="C2" s="250">
        <v>58</v>
      </c>
      <c r="E2" s="251" t="s">
        <v>34</v>
      </c>
    </row>
    <row r="3" spans="2:8" ht="15.75" customHeight="1">
      <c r="B3" s="250" t="s">
        <v>782</v>
      </c>
      <c r="C3" s="250">
        <v>5</v>
      </c>
      <c r="E3" s="251" t="s">
        <v>757</v>
      </c>
    </row>
    <row r="4" spans="2:8" ht="15.75" customHeight="1">
      <c r="B4" s="250" t="s">
        <v>783</v>
      </c>
      <c r="C4" s="250">
        <v>4</v>
      </c>
    </row>
    <row r="5" spans="2:8" ht="15.75" customHeight="1">
      <c r="B5" s="251" t="s">
        <v>784</v>
      </c>
      <c r="C5" s="251">
        <v>2</v>
      </c>
    </row>
    <row r="6" spans="2:8" ht="15.75" customHeight="1">
      <c r="E6" s="251" t="s">
        <v>785</v>
      </c>
      <c r="F6" s="251" t="s">
        <v>786</v>
      </c>
      <c r="G6" s="251" t="s">
        <v>787</v>
      </c>
      <c r="H6" s="251" t="s">
        <v>788</v>
      </c>
    </row>
    <row r="7" spans="2:8" ht="15.75" customHeight="1">
      <c r="B7" s="251" t="s">
        <v>789</v>
      </c>
      <c r="C7" s="250">
        <v>87</v>
      </c>
      <c r="G7" s="251">
        <v>66</v>
      </c>
      <c r="H7" s="251">
        <v>87</v>
      </c>
    </row>
    <row r="8" spans="2:8" ht="15.75" customHeight="1">
      <c r="B8" s="251" t="s">
        <v>35</v>
      </c>
      <c r="C8" s="250">
        <v>68</v>
      </c>
      <c r="G8" s="262">
        <v>1</v>
      </c>
      <c r="H8" s="262">
        <v>2</v>
      </c>
    </row>
    <row r="9" spans="2:8" ht="15.75" customHeight="1">
      <c r="B9" s="251" t="s">
        <v>77</v>
      </c>
      <c r="C9" s="250">
        <v>10</v>
      </c>
      <c r="G9" s="262">
        <v>2</v>
      </c>
      <c r="H9" s="262">
        <v>2</v>
      </c>
    </row>
    <row r="10" spans="2:8" ht="15.75" customHeight="1">
      <c r="B10" s="251" t="s">
        <v>760</v>
      </c>
      <c r="C10" s="251">
        <v>1</v>
      </c>
      <c r="G10" s="262">
        <v>35</v>
      </c>
      <c r="H10" s="262">
        <v>37</v>
      </c>
    </row>
    <row r="11" spans="2:8" ht="15.75" customHeight="1">
      <c r="B11" s="251" t="s">
        <v>761</v>
      </c>
      <c r="C11" s="251">
        <v>1</v>
      </c>
      <c r="G11" s="262">
        <v>7</v>
      </c>
      <c r="H11" s="262">
        <v>7</v>
      </c>
    </row>
    <row r="12" spans="2:8" ht="15.75" customHeight="1">
      <c r="B12" s="251" t="s">
        <v>762</v>
      </c>
      <c r="C12" s="251">
        <v>1</v>
      </c>
      <c r="G12" s="262">
        <v>2</v>
      </c>
      <c r="H12" s="262">
        <v>2</v>
      </c>
    </row>
    <row r="13" spans="2:8" ht="15.75" customHeight="1">
      <c r="B13" s="251" t="s">
        <v>763</v>
      </c>
      <c r="C13" s="251">
        <v>1</v>
      </c>
      <c r="G13" s="262">
        <v>19</v>
      </c>
      <c r="H13" s="262">
        <v>37</v>
      </c>
    </row>
    <row r="14" spans="2:8" ht="15.75" customHeight="1">
      <c r="B14" s="251" t="s">
        <v>764</v>
      </c>
      <c r="C14" s="251">
        <v>1</v>
      </c>
    </row>
    <row r="15" spans="2:8" ht="15.75" customHeight="1">
      <c r="B15" s="251" t="s">
        <v>790</v>
      </c>
      <c r="C15" s="251">
        <v>1</v>
      </c>
    </row>
    <row r="16" spans="2:8" ht="15.75" customHeight="1">
      <c r="B16" s="251" t="s">
        <v>791</v>
      </c>
      <c r="C16" s="251">
        <v>1</v>
      </c>
    </row>
    <row r="17" spans="2:7" ht="15.75" customHeight="1">
      <c r="B17" s="251" t="s">
        <v>52</v>
      </c>
      <c r="C17" s="251">
        <v>1</v>
      </c>
    </row>
    <row r="18" spans="2:7" ht="15.75" customHeight="1">
      <c r="B18" s="251" t="s">
        <v>792</v>
      </c>
      <c r="C18" s="251">
        <v>1</v>
      </c>
    </row>
    <row r="19" spans="2:7" ht="15.75" customHeight="1"/>
    <row r="20" spans="2:7" ht="15.75" customHeight="1">
      <c r="B20" s="266" t="s">
        <v>648</v>
      </c>
      <c r="C20" s="267">
        <v>54</v>
      </c>
    </row>
    <row r="21" spans="2:7" ht="15.75" customHeight="1">
      <c r="B21" s="268" t="s">
        <v>53</v>
      </c>
      <c r="C21" s="269">
        <v>31</v>
      </c>
    </row>
    <row r="22" spans="2:7" ht="15.75" customHeight="1">
      <c r="B22" s="270" t="s">
        <v>152</v>
      </c>
      <c r="C22" s="271">
        <v>2</v>
      </c>
    </row>
    <row r="23" spans="2:7" ht="15.75" customHeight="1"/>
    <row r="24" spans="2:7" ht="39.75" customHeight="1">
      <c r="B24" s="262" t="s">
        <v>765</v>
      </c>
      <c r="C24" s="95" t="s">
        <v>793</v>
      </c>
      <c r="D24" s="263" t="s">
        <v>767</v>
      </c>
      <c r="E24" s="251" t="s">
        <v>794</v>
      </c>
    </row>
    <row r="25" spans="2:7" ht="15.75" customHeight="1">
      <c r="B25" s="262" t="s">
        <v>768</v>
      </c>
      <c r="C25" s="262">
        <v>2</v>
      </c>
      <c r="D25" s="264" t="s">
        <v>795</v>
      </c>
      <c r="E25" s="251" t="s">
        <v>796</v>
      </c>
    </row>
    <row r="26" spans="2:7" ht="15.75" customHeight="1">
      <c r="B26" s="262" t="s">
        <v>98</v>
      </c>
      <c r="C26" s="262">
        <v>2</v>
      </c>
      <c r="D26" s="264" t="s">
        <v>797</v>
      </c>
      <c r="E26" s="251" t="s">
        <v>705</v>
      </c>
    </row>
    <row r="27" spans="2:7" ht="15.75" customHeight="1">
      <c r="B27" s="262" t="s">
        <v>113</v>
      </c>
      <c r="C27" s="262">
        <v>37</v>
      </c>
      <c r="D27" s="264" t="s">
        <v>798</v>
      </c>
    </row>
    <row r="28" spans="2:7" ht="15.75" customHeight="1">
      <c r="B28" s="262" t="s">
        <v>769</v>
      </c>
      <c r="C28" s="262">
        <v>7</v>
      </c>
      <c r="D28" s="264" t="s">
        <v>799</v>
      </c>
    </row>
    <row r="29" spans="2:7" ht="15.75" customHeight="1">
      <c r="B29" s="262" t="s">
        <v>770</v>
      </c>
      <c r="C29" s="262">
        <v>2</v>
      </c>
      <c r="D29" s="264" t="s">
        <v>800</v>
      </c>
    </row>
    <row r="30" spans="2:7" ht="15.75" customHeight="1">
      <c r="B30" s="262" t="s">
        <v>771</v>
      </c>
      <c r="C30" s="262">
        <v>37</v>
      </c>
      <c r="D30" s="264" t="s">
        <v>801</v>
      </c>
    </row>
    <row r="31" spans="2:7" ht="15.75" customHeight="1"/>
    <row r="32" spans="2:7" ht="15.75" customHeight="1">
      <c r="G32" s="247">
        <v>1</v>
      </c>
    </row>
    <row r="33" spans="2:16" ht="15.75" customHeight="1">
      <c r="B33" s="246" t="s">
        <v>772</v>
      </c>
      <c r="C33" s="251">
        <v>53</v>
      </c>
      <c r="D33" s="247">
        <v>1</v>
      </c>
      <c r="E33" s="246" t="s">
        <v>773</v>
      </c>
      <c r="F33" s="246">
        <v>66</v>
      </c>
      <c r="G33" s="248">
        <v>0.81499999999999995</v>
      </c>
    </row>
    <row r="34" spans="2:16" ht="15.75" customHeight="1">
      <c r="B34" s="246" t="s">
        <v>774</v>
      </c>
      <c r="C34" s="251">
        <v>37</v>
      </c>
      <c r="D34" s="247">
        <v>0.70499999999999996</v>
      </c>
      <c r="E34" s="246" t="s">
        <v>775</v>
      </c>
      <c r="F34" s="246">
        <v>53</v>
      </c>
      <c r="G34" s="249">
        <v>0.08</v>
      </c>
    </row>
    <row r="35" spans="2:16" ht="15.75" customHeight="1">
      <c r="B35" s="246" t="s">
        <v>776</v>
      </c>
      <c r="C35" s="251">
        <v>14</v>
      </c>
      <c r="D35" s="249">
        <v>0.39</v>
      </c>
      <c r="E35" s="246" t="s">
        <v>38</v>
      </c>
      <c r="F35" s="246">
        <v>5</v>
      </c>
      <c r="G35" s="249">
        <v>0.08</v>
      </c>
    </row>
    <row r="36" spans="2:16" ht="15.75" customHeight="1">
      <c r="B36" s="246" t="s">
        <v>777</v>
      </c>
      <c r="C36" s="251">
        <v>1</v>
      </c>
      <c r="D36" s="247">
        <v>7.0999999999999994E-2</v>
      </c>
      <c r="E36" s="246" t="s">
        <v>778</v>
      </c>
      <c r="F36" s="246">
        <v>6</v>
      </c>
      <c r="G36" s="249">
        <v>0.04</v>
      </c>
    </row>
    <row r="37" spans="2:16" ht="15.75" customHeight="1">
      <c r="B37" s="246" t="s">
        <v>779</v>
      </c>
      <c r="C37" s="251">
        <v>2</v>
      </c>
      <c r="D37" s="249">
        <v>0.04</v>
      </c>
      <c r="E37" s="246" t="s">
        <v>780</v>
      </c>
      <c r="F37" s="246">
        <v>2</v>
      </c>
      <c r="G37" s="246"/>
    </row>
    <row r="38" spans="2:16" ht="15.75" customHeight="1">
      <c r="B38" s="246" t="s">
        <v>38</v>
      </c>
      <c r="C38" s="251">
        <v>5</v>
      </c>
      <c r="G38" s="246"/>
    </row>
    <row r="39" spans="2:16" ht="15.75" customHeight="1">
      <c r="B39" s="246" t="s">
        <v>778</v>
      </c>
      <c r="C39" s="251">
        <v>5</v>
      </c>
      <c r="G39" s="246"/>
    </row>
    <row r="40" spans="2:16" ht="15.75" customHeight="1">
      <c r="B40" s="246" t="s">
        <v>780</v>
      </c>
      <c r="C40" s="251">
        <v>2</v>
      </c>
    </row>
    <row r="41" spans="2:16" ht="15.75" customHeight="1"/>
    <row r="42" spans="2:16" ht="15.75" customHeight="1"/>
    <row r="43" spans="2:16" ht="15.75" customHeight="1"/>
    <row r="44" spans="2:16" ht="15.75" customHeight="1"/>
    <row r="45" spans="2:16" ht="15.75" customHeight="1">
      <c r="O45" s="251">
        <v>87</v>
      </c>
    </row>
    <row r="46" spans="2:16" ht="15.75" customHeight="1">
      <c r="N46" s="251" t="s">
        <v>802</v>
      </c>
      <c r="O46" s="251">
        <v>72</v>
      </c>
      <c r="P46" s="251">
        <v>57</v>
      </c>
    </row>
    <row r="47" spans="2:16" ht="15.75" customHeight="1">
      <c r="N47" s="251" t="s">
        <v>803</v>
      </c>
      <c r="O47" s="251">
        <v>5</v>
      </c>
    </row>
    <row r="48" spans="2:16" ht="15.75" customHeight="1">
      <c r="N48" s="251" t="s">
        <v>804</v>
      </c>
      <c r="O48" s="251">
        <v>3</v>
      </c>
      <c r="P48" s="251">
        <v>3</v>
      </c>
    </row>
    <row r="49" spans="9:17" ht="15.75" customHeight="1">
      <c r="N49" s="251" t="s">
        <v>805</v>
      </c>
      <c r="O49" s="251">
        <v>4</v>
      </c>
      <c r="P49" s="251">
        <v>5</v>
      </c>
    </row>
    <row r="50" spans="9:17" ht="15.75" customHeight="1">
      <c r="N50" s="251" t="s">
        <v>806</v>
      </c>
      <c r="O50" s="251">
        <v>3</v>
      </c>
      <c r="P50" s="251">
        <v>3</v>
      </c>
    </row>
    <row r="51" spans="9:17" ht="15.75" customHeight="1">
      <c r="O51" s="251">
        <v>87</v>
      </c>
      <c r="Q51" s="251">
        <v>87</v>
      </c>
    </row>
    <row r="52" spans="9:17" ht="15.75" customHeight="1">
      <c r="I52" s="246" t="s">
        <v>772</v>
      </c>
      <c r="J52" s="246">
        <v>51</v>
      </c>
      <c r="K52" s="249">
        <v>0.85</v>
      </c>
      <c r="N52" s="251" t="s">
        <v>807</v>
      </c>
      <c r="O52" s="251">
        <v>72</v>
      </c>
      <c r="Q52" s="251">
        <v>11</v>
      </c>
    </row>
    <row r="53" spans="9:17" ht="15.75" customHeight="1">
      <c r="I53" s="246" t="s">
        <v>38</v>
      </c>
      <c r="J53" s="246">
        <v>6</v>
      </c>
      <c r="K53" s="247"/>
      <c r="N53" s="251" t="s">
        <v>808</v>
      </c>
      <c r="O53" s="251">
        <v>65</v>
      </c>
      <c r="Q53" s="251">
        <v>76</v>
      </c>
    </row>
    <row r="54" spans="9:17" ht="15.75" customHeight="1">
      <c r="I54" s="246" t="s">
        <v>778</v>
      </c>
      <c r="J54" s="246">
        <v>5</v>
      </c>
      <c r="K54" s="249"/>
      <c r="N54" s="251" t="s">
        <v>809</v>
      </c>
      <c r="O54" s="251">
        <v>60</v>
      </c>
    </row>
    <row r="55" spans="9:17" ht="15.75" customHeight="1">
      <c r="I55" s="246" t="s">
        <v>434</v>
      </c>
      <c r="J55" s="246">
        <v>2</v>
      </c>
      <c r="K55" s="247"/>
      <c r="N55" s="251" t="s">
        <v>810</v>
      </c>
      <c r="O55" s="251">
        <v>5</v>
      </c>
    </row>
    <row r="56" spans="9:17" ht="15.75" customHeight="1">
      <c r="I56" s="246"/>
      <c r="J56" s="246"/>
      <c r="K56" s="249"/>
      <c r="N56" s="251" t="s">
        <v>811</v>
      </c>
      <c r="Q56" s="251" t="s">
        <v>812</v>
      </c>
    </row>
    <row r="57" spans="9:17" ht="15.75" customHeight="1">
      <c r="K57" s="246"/>
    </row>
    <row r="58" spans="9:17" ht="15.75" customHeight="1">
      <c r="K58" s="246"/>
    </row>
    <row r="59" spans="9:17" ht="15.75" customHeight="1">
      <c r="K59" s="246"/>
    </row>
    <row r="60" spans="9:17" ht="15.75" customHeight="1"/>
    <row r="61" spans="9:17" ht="15.75" customHeight="1"/>
    <row r="62" spans="9:17" ht="15.75" customHeight="1"/>
    <row r="63" spans="9:17" ht="15.75" customHeight="1"/>
    <row r="64" spans="9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K47"/>
  <sheetViews>
    <sheetView workbookViewId="0"/>
  </sheetViews>
  <sheetFormatPr defaultColWidth="12.5703125" defaultRowHeight="15" customHeight="1"/>
  <cols>
    <col min="1" max="1" width="26.28515625" customWidth="1"/>
    <col min="3" max="3" width="9.42578125" customWidth="1"/>
    <col min="4" max="4" width="11.85546875" customWidth="1"/>
    <col min="5" max="5" width="12.28515625" customWidth="1"/>
    <col min="6" max="7" width="11.5703125" customWidth="1"/>
    <col min="8" max="8" width="14.5703125" customWidth="1"/>
    <col min="9" max="9" width="15.42578125" customWidth="1"/>
    <col min="10" max="10" width="12.42578125" customWidth="1"/>
    <col min="11" max="11" width="15.42578125" customWidth="1"/>
  </cols>
  <sheetData>
    <row r="1" spans="1:11">
      <c r="A1" s="3" t="s">
        <v>3</v>
      </c>
      <c r="B1" s="4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7" t="s">
        <v>10</v>
      </c>
      <c r="I1" s="7" t="s">
        <v>20</v>
      </c>
      <c r="J1" s="15" t="s">
        <v>21</v>
      </c>
      <c r="K1" s="7" t="s">
        <v>22</v>
      </c>
    </row>
    <row r="2" spans="1:11">
      <c r="A2" s="46" t="s">
        <v>109</v>
      </c>
      <c r="B2" s="35" t="s">
        <v>110</v>
      </c>
      <c r="C2" s="34">
        <v>45337</v>
      </c>
      <c r="D2" s="36" t="s">
        <v>111</v>
      </c>
      <c r="E2" s="30" t="s">
        <v>112</v>
      </c>
      <c r="F2" s="31" t="s">
        <v>35</v>
      </c>
      <c r="G2" s="18" t="s">
        <v>36</v>
      </c>
      <c r="H2" s="32" t="s">
        <v>113</v>
      </c>
      <c r="I2" s="30" t="s">
        <v>114</v>
      </c>
      <c r="J2" s="15" t="s">
        <v>115</v>
      </c>
      <c r="K2" s="47" t="s">
        <v>116</v>
      </c>
    </row>
    <row r="3" spans="1:11">
      <c r="A3" s="54" t="s">
        <v>184</v>
      </c>
      <c r="B3" s="67" t="s">
        <v>185</v>
      </c>
      <c r="C3" s="63">
        <v>45421</v>
      </c>
      <c r="D3" s="25" t="s">
        <v>186</v>
      </c>
      <c r="E3" s="30" t="s">
        <v>112</v>
      </c>
      <c r="F3" s="31" t="s">
        <v>35</v>
      </c>
      <c r="G3" s="18" t="s">
        <v>53</v>
      </c>
      <c r="H3" s="32" t="s">
        <v>113</v>
      </c>
      <c r="I3" s="30"/>
      <c r="J3" s="15" t="s">
        <v>187</v>
      </c>
      <c r="K3" s="65" t="s">
        <v>188</v>
      </c>
    </row>
    <row r="4" spans="1:11">
      <c r="A4" s="46" t="s">
        <v>193</v>
      </c>
      <c r="B4" s="67" t="s">
        <v>194</v>
      </c>
      <c r="C4" s="63">
        <v>45421</v>
      </c>
      <c r="D4" s="25" t="s">
        <v>195</v>
      </c>
      <c r="E4" s="30" t="s">
        <v>112</v>
      </c>
      <c r="F4" s="31" t="s">
        <v>35</v>
      </c>
      <c r="G4" s="18" t="s">
        <v>53</v>
      </c>
      <c r="H4" s="32" t="s">
        <v>113</v>
      </c>
      <c r="I4" s="30" t="s">
        <v>175</v>
      </c>
      <c r="J4" s="15" t="s">
        <v>196</v>
      </c>
      <c r="K4" s="65" t="s">
        <v>29</v>
      </c>
    </row>
    <row r="5" spans="1:11">
      <c r="A5" s="46" t="s">
        <v>197</v>
      </c>
      <c r="B5" s="70" t="s">
        <v>198</v>
      </c>
      <c r="C5" s="63">
        <v>45425</v>
      </c>
      <c r="D5" s="25" t="s">
        <v>199</v>
      </c>
      <c r="E5" s="30" t="s">
        <v>112</v>
      </c>
      <c r="F5" s="31" t="s">
        <v>35</v>
      </c>
      <c r="G5" s="18" t="s">
        <v>53</v>
      </c>
      <c r="H5" s="32" t="s">
        <v>113</v>
      </c>
      <c r="I5" s="30" t="s">
        <v>175</v>
      </c>
      <c r="J5" s="15" t="s">
        <v>200</v>
      </c>
      <c r="K5" s="65" t="s">
        <v>29</v>
      </c>
    </row>
    <row r="6" spans="1:11">
      <c r="A6" s="46" t="s">
        <v>201</v>
      </c>
      <c r="B6" s="67" t="s">
        <v>202</v>
      </c>
      <c r="C6" s="63">
        <v>45425</v>
      </c>
      <c r="D6" s="25" t="s">
        <v>203</v>
      </c>
      <c r="E6" s="30" t="s">
        <v>112</v>
      </c>
      <c r="F6" s="31" t="s">
        <v>35</v>
      </c>
      <c r="G6" s="18" t="s">
        <v>36</v>
      </c>
      <c r="H6" s="32" t="s">
        <v>113</v>
      </c>
      <c r="I6" s="30" t="s">
        <v>181</v>
      </c>
      <c r="J6" s="15" t="s">
        <v>204</v>
      </c>
      <c r="K6" s="65" t="s">
        <v>205</v>
      </c>
    </row>
    <row r="7" spans="1:11">
      <c r="A7" s="46" t="s">
        <v>223</v>
      </c>
      <c r="B7" s="67" t="s">
        <v>224</v>
      </c>
      <c r="C7" s="63">
        <v>45429</v>
      </c>
      <c r="D7" s="25" t="s">
        <v>225</v>
      </c>
      <c r="E7" s="30" t="s">
        <v>112</v>
      </c>
      <c r="F7" s="31" t="s">
        <v>35</v>
      </c>
      <c r="G7" s="18" t="s">
        <v>53</v>
      </c>
      <c r="H7" s="32" t="s">
        <v>113</v>
      </c>
      <c r="I7" s="30" t="s">
        <v>141</v>
      </c>
      <c r="J7" s="15" t="s">
        <v>187</v>
      </c>
      <c r="K7" s="65" t="s">
        <v>226</v>
      </c>
    </row>
    <row r="8" spans="1:11">
      <c r="A8" s="46" t="s">
        <v>227</v>
      </c>
      <c r="B8" s="67" t="s">
        <v>228</v>
      </c>
      <c r="C8" s="63">
        <v>45432</v>
      </c>
      <c r="D8" s="25" t="s">
        <v>229</v>
      </c>
      <c r="E8" s="30" t="s">
        <v>112</v>
      </c>
      <c r="F8" s="31" t="s">
        <v>35</v>
      </c>
      <c r="G8" s="18" t="s">
        <v>36</v>
      </c>
      <c r="H8" s="32" t="s">
        <v>113</v>
      </c>
      <c r="I8" s="30" t="s">
        <v>181</v>
      </c>
      <c r="J8" s="15" t="s">
        <v>43</v>
      </c>
      <c r="K8" s="65" t="s">
        <v>230</v>
      </c>
    </row>
    <row r="9" spans="1:11">
      <c r="A9" s="46" t="s">
        <v>231</v>
      </c>
      <c r="B9" s="67" t="s">
        <v>232</v>
      </c>
      <c r="C9" s="63">
        <v>45432</v>
      </c>
      <c r="D9" s="25" t="s">
        <v>233</v>
      </c>
      <c r="E9" s="30" t="s">
        <v>112</v>
      </c>
      <c r="F9" s="31" t="s">
        <v>35</v>
      </c>
      <c r="G9" s="18" t="s">
        <v>53</v>
      </c>
      <c r="H9" s="32" t="s">
        <v>113</v>
      </c>
      <c r="I9" s="30" t="s">
        <v>165</v>
      </c>
      <c r="J9" s="15" t="s">
        <v>234</v>
      </c>
      <c r="K9" s="65" t="s">
        <v>235</v>
      </c>
    </row>
    <row r="10" spans="1:11">
      <c r="A10" s="46" t="s">
        <v>236</v>
      </c>
      <c r="B10" s="67" t="s">
        <v>237</v>
      </c>
      <c r="C10" s="63">
        <v>45433</v>
      </c>
      <c r="D10" s="25" t="s">
        <v>238</v>
      </c>
      <c r="E10" s="30" t="s">
        <v>112</v>
      </c>
      <c r="F10" s="31" t="s">
        <v>35</v>
      </c>
      <c r="G10" s="18" t="s">
        <v>53</v>
      </c>
      <c r="H10" s="32" t="s">
        <v>113</v>
      </c>
      <c r="I10" s="30" t="s">
        <v>141</v>
      </c>
      <c r="J10" s="15" t="s">
        <v>239</v>
      </c>
      <c r="K10" s="65" t="s">
        <v>240</v>
      </c>
    </row>
    <row r="11" spans="1:11">
      <c r="A11" s="46" t="s">
        <v>241</v>
      </c>
      <c r="B11" s="62" t="s">
        <v>242</v>
      </c>
      <c r="C11" s="63">
        <v>45434</v>
      </c>
      <c r="D11" s="25" t="s">
        <v>243</v>
      </c>
      <c r="E11" s="30" t="s">
        <v>112</v>
      </c>
      <c r="F11" s="31" t="s">
        <v>35</v>
      </c>
      <c r="G11" s="18" t="s">
        <v>53</v>
      </c>
      <c r="H11" s="32" t="s">
        <v>113</v>
      </c>
      <c r="I11" s="30" t="s">
        <v>141</v>
      </c>
      <c r="J11" s="15" t="s">
        <v>244</v>
      </c>
      <c r="K11" s="65" t="s">
        <v>210</v>
      </c>
    </row>
    <row r="12" spans="1:11">
      <c r="A12" s="46" t="s">
        <v>251</v>
      </c>
      <c r="B12" s="75" t="s">
        <v>252</v>
      </c>
      <c r="C12" s="63">
        <v>45439</v>
      </c>
      <c r="D12" s="43" t="s">
        <v>253</v>
      </c>
      <c r="E12" s="30" t="s">
        <v>112</v>
      </c>
      <c r="F12" s="31" t="s">
        <v>35</v>
      </c>
      <c r="G12" s="18" t="s">
        <v>53</v>
      </c>
      <c r="H12" s="32" t="s">
        <v>113</v>
      </c>
      <c r="I12" s="30" t="s">
        <v>79</v>
      </c>
      <c r="J12" s="15" t="s">
        <v>255</v>
      </c>
      <c r="K12" s="65" t="s">
        <v>256</v>
      </c>
    </row>
    <row r="13" spans="1:11">
      <c r="A13" s="46" t="s">
        <v>257</v>
      </c>
      <c r="B13" s="62" t="s">
        <v>258</v>
      </c>
      <c r="C13" s="63">
        <v>45440</v>
      </c>
      <c r="D13" s="25" t="s">
        <v>259</v>
      </c>
      <c r="E13" s="30" t="s">
        <v>112</v>
      </c>
      <c r="F13" s="31" t="s">
        <v>35</v>
      </c>
      <c r="G13" s="18" t="s">
        <v>36</v>
      </c>
      <c r="H13" s="32" t="s">
        <v>113</v>
      </c>
      <c r="I13" s="30" t="s">
        <v>93</v>
      </c>
      <c r="J13" s="15" t="s">
        <v>260</v>
      </c>
      <c r="K13" s="65" t="s">
        <v>261</v>
      </c>
    </row>
    <row r="14" spans="1:11">
      <c r="A14" s="46" t="s">
        <v>265</v>
      </c>
      <c r="B14" s="62" t="s">
        <v>266</v>
      </c>
      <c r="C14" s="66">
        <v>45441</v>
      </c>
      <c r="D14" s="25" t="s">
        <v>267</v>
      </c>
      <c r="E14" s="30" t="s">
        <v>112</v>
      </c>
      <c r="F14" s="31" t="s">
        <v>35</v>
      </c>
      <c r="G14" s="18" t="s">
        <v>36</v>
      </c>
      <c r="H14" s="32" t="s">
        <v>113</v>
      </c>
      <c r="I14" s="30" t="s">
        <v>141</v>
      </c>
      <c r="J14" s="15" t="s">
        <v>268</v>
      </c>
      <c r="K14" s="65" t="s">
        <v>269</v>
      </c>
    </row>
    <row r="15" spans="1:11">
      <c r="A15" s="46" t="s">
        <v>275</v>
      </c>
      <c r="B15" s="67" t="s">
        <v>276</v>
      </c>
      <c r="C15" s="63">
        <v>45441</v>
      </c>
      <c r="D15" s="25" t="s">
        <v>277</v>
      </c>
      <c r="E15" s="30" t="s">
        <v>112</v>
      </c>
      <c r="F15" s="31" t="s">
        <v>35</v>
      </c>
      <c r="G15" s="18" t="s">
        <v>36</v>
      </c>
      <c r="H15" s="32" t="s">
        <v>113</v>
      </c>
      <c r="I15" s="30" t="s">
        <v>278</v>
      </c>
      <c r="J15" s="15" t="s">
        <v>115</v>
      </c>
      <c r="K15" s="65" t="s">
        <v>279</v>
      </c>
    </row>
    <row r="16" spans="1:11">
      <c r="A16" s="46" t="s">
        <v>286</v>
      </c>
      <c r="B16" s="67" t="s">
        <v>287</v>
      </c>
      <c r="C16" s="63">
        <v>45446</v>
      </c>
      <c r="D16" s="25" t="s">
        <v>288</v>
      </c>
      <c r="E16" s="30" t="s">
        <v>112</v>
      </c>
      <c r="F16" s="31" t="s">
        <v>35</v>
      </c>
      <c r="G16" s="18" t="s">
        <v>36</v>
      </c>
      <c r="H16" s="32" t="s">
        <v>113</v>
      </c>
      <c r="I16" s="30" t="s">
        <v>165</v>
      </c>
      <c r="J16" s="15" t="s">
        <v>289</v>
      </c>
      <c r="K16" s="78" t="s">
        <v>290</v>
      </c>
    </row>
    <row r="17" spans="1:11">
      <c r="A17" s="46" t="s">
        <v>291</v>
      </c>
      <c r="B17" s="67" t="s">
        <v>292</v>
      </c>
      <c r="C17" s="63">
        <v>45446</v>
      </c>
      <c r="D17" s="25" t="s">
        <v>293</v>
      </c>
      <c r="E17" s="30" t="s">
        <v>112</v>
      </c>
      <c r="F17" s="31" t="s">
        <v>35</v>
      </c>
      <c r="G17" s="18" t="s">
        <v>36</v>
      </c>
      <c r="H17" s="32" t="s">
        <v>113</v>
      </c>
      <c r="I17" s="30" t="s">
        <v>278</v>
      </c>
      <c r="J17" s="15" t="s">
        <v>115</v>
      </c>
      <c r="K17" s="65" t="s">
        <v>294</v>
      </c>
    </row>
    <row r="18" spans="1:11">
      <c r="A18" s="46" t="s">
        <v>320</v>
      </c>
      <c r="B18" s="67" t="s">
        <v>321</v>
      </c>
      <c r="C18" s="63">
        <v>45470</v>
      </c>
      <c r="D18" s="25" t="s">
        <v>322</v>
      </c>
      <c r="E18" s="30" t="s">
        <v>112</v>
      </c>
      <c r="F18" s="31" t="s">
        <v>35</v>
      </c>
      <c r="G18" s="18" t="s">
        <v>36</v>
      </c>
      <c r="H18" s="32" t="s">
        <v>113</v>
      </c>
      <c r="I18" s="30" t="s">
        <v>181</v>
      </c>
      <c r="J18" s="15" t="s">
        <v>323</v>
      </c>
      <c r="K18" s="78" t="s">
        <v>324</v>
      </c>
    </row>
    <row r="19" spans="1:11">
      <c r="A19" s="46" t="s">
        <v>347</v>
      </c>
      <c r="B19" s="67" t="s">
        <v>348</v>
      </c>
      <c r="C19" s="63">
        <v>45485</v>
      </c>
      <c r="D19" s="25" t="s">
        <v>349</v>
      </c>
      <c r="E19" s="30" t="s">
        <v>350</v>
      </c>
      <c r="F19" s="31" t="s">
        <v>35</v>
      </c>
      <c r="G19" s="18" t="s">
        <v>36</v>
      </c>
      <c r="H19" s="32" t="s">
        <v>113</v>
      </c>
      <c r="I19" s="65" t="s">
        <v>181</v>
      </c>
      <c r="J19" s="15" t="s">
        <v>352</v>
      </c>
      <c r="K19" s="65" t="s">
        <v>353</v>
      </c>
    </row>
    <row r="20" spans="1:11">
      <c r="A20" s="27" t="s">
        <v>354</v>
      </c>
      <c r="B20" s="35" t="s">
        <v>355</v>
      </c>
      <c r="C20" s="34">
        <v>45488</v>
      </c>
      <c r="D20" s="25" t="s">
        <v>356</v>
      </c>
      <c r="E20" s="30" t="s">
        <v>112</v>
      </c>
      <c r="F20" s="31" t="s">
        <v>35</v>
      </c>
      <c r="G20" s="18" t="s">
        <v>36</v>
      </c>
      <c r="H20" s="32" t="s">
        <v>113</v>
      </c>
      <c r="I20" s="25" t="s">
        <v>141</v>
      </c>
      <c r="J20" s="15" t="s">
        <v>357</v>
      </c>
      <c r="K20" s="25" t="s">
        <v>358</v>
      </c>
    </row>
    <row r="21" spans="1:11">
      <c r="A21" s="27" t="s">
        <v>375</v>
      </c>
      <c r="B21" s="35" t="s">
        <v>376</v>
      </c>
      <c r="C21" s="34">
        <v>45490</v>
      </c>
      <c r="D21" s="52" t="s">
        <v>377</v>
      </c>
      <c r="E21" s="30" t="s">
        <v>112</v>
      </c>
      <c r="F21" s="31" t="s">
        <v>35</v>
      </c>
      <c r="G21" s="18" t="s">
        <v>36</v>
      </c>
      <c r="H21" s="32" t="s">
        <v>113</v>
      </c>
      <c r="I21" s="25" t="s">
        <v>141</v>
      </c>
      <c r="J21" s="15" t="s">
        <v>378</v>
      </c>
      <c r="K21" s="41" t="s">
        <v>379</v>
      </c>
    </row>
    <row r="22" spans="1:11">
      <c r="A22" s="27" t="s">
        <v>380</v>
      </c>
      <c r="B22" s="35" t="s">
        <v>381</v>
      </c>
      <c r="C22" s="34">
        <v>45490</v>
      </c>
      <c r="D22" s="25" t="s">
        <v>382</v>
      </c>
      <c r="E22" s="30" t="s">
        <v>350</v>
      </c>
      <c r="F22" s="31" t="s">
        <v>35</v>
      </c>
      <c r="G22" s="18" t="s">
        <v>36</v>
      </c>
      <c r="H22" s="32" t="s">
        <v>113</v>
      </c>
      <c r="I22" s="25" t="s">
        <v>93</v>
      </c>
      <c r="J22" s="15" t="s">
        <v>352</v>
      </c>
      <c r="K22" s="78" t="s">
        <v>383</v>
      </c>
    </row>
    <row r="23" spans="1:11">
      <c r="A23" s="46" t="s">
        <v>408</v>
      </c>
      <c r="B23" s="35" t="s">
        <v>409</v>
      </c>
      <c r="C23" s="37">
        <v>45498</v>
      </c>
      <c r="D23" s="96" t="s">
        <v>410</v>
      </c>
      <c r="E23" s="30" t="s">
        <v>112</v>
      </c>
      <c r="F23" s="31" t="s">
        <v>35</v>
      </c>
      <c r="G23" s="18" t="s">
        <v>53</v>
      </c>
      <c r="H23" s="32" t="s">
        <v>113</v>
      </c>
      <c r="I23" s="36" t="s">
        <v>42</v>
      </c>
      <c r="J23" s="15" t="s">
        <v>411</v>
      </c>
      <c r="K23" s="25" t="s">
        <v>412</v>
      </c>
    </row>
    <row r="24" spans="1:11">
      <c r="A24" s="27" t="s">
        <v>413</v>
      </c>
      <c r="B24" s="35" t="s">
        <v>414</v>
      </c>
      <c r="C24" s="37">
        <v>45506</v>
      </c>
      <c r="D24" s="25" t="s">
        <v>813</v>
      </c>
      <c r="E24" s="30" t="s">
        <v>112</v>
      </c>
      <c r="F24" s="31" t="s">
        <v>35</v>
      </c>
      <c r="G24" s="18" t="s">
        <v>53</v>
      </c>
      <c r="H24" s="32" t="s">
        <v>113</v>
      </c>
      <c r="I24" s="25" t="s">
        <v>272</v>
      </c>
      <c r="J24" s="15" t="s">
        <v>416</v>
      </c>
      <c r="K24" s="25" t="s">
        <v>417</v>
      </c>
    </row>
    <row r="25" spans="1:11">
      <c r="A25" s="106" t="s">
        <v>435</v>
      </c>
      <c r="B25" s="107" t="s">
        <v>436</v>
      </c>
      <c r="C25" s="108">
        <v>45523</v>
      </c>
      <c r="D25" s="105" t="s">
        <v>437</v>
      </c>
      <c r="E25" s="105" t="s">
        <v>350</v>
      </c>
      <c r="F25" s="109" t="s">
        <v>35</v>
      </c>
      <c r="G25" s="105" t="s">
        <v>36</v>
      </c>
      <c r="H25" s="110" t="s">
        <v>113</v>
      </c>
      <c r="I25" s="105" t="s">
        <v>440</v>
      </c>
      <c r="J25" s="15" t="s">
        <v>441</v>
      </c>
      <c r="K25" s="105" t="s">
        <v>442</v>
      </c>
    </row>
    <row r="26" spans="1:11">
      <c r="A26" s="46" t="s">
        <v>490</v>
      </c>
      <c r="B26" s="67" t="s">
        <v>491</v>
      </c>
      <c r="C26" s="114">
        <v>45544</v>
      </c>
      <c r="D26" s="27" t="s">
        <v>492</v>
      </c>
      <c r="E26" s="30" t="s">
        <v>112</v>
      </c>
      <c r="F26" s="115" t="s">
        <v>35</v>
      </c>
      <c r="G26" s="116" t="s">
        <v>36</v>
      </c>
      <c r="H26" s="117" t="s">
        <v>113</v>
      </c>
      <c r="I26" s="46" t="s">
        <v>79</v>
      </c>
      <c r="J26" s="121" t="s">
        <v>493</v>
      </c>
      <c r="K26" s="27" t="s">
        <v>494</v>
      </c>
    </row>
    <row r="27" spans="1:11">
      <c r="A27" s="46" t="s">
        <v>513</v>
      </c>
      <c r="B27" s="75" t="s">
        <v>514</v>
      </c>
      <c r="C27" s="22">
        <v>45526</v>
      </c>
      <c r="D27" s="25" t="s">
        <v>515</v>
      </c>
      <c r="E27" s="30" t="s">
        <v>34</v>
      </c>
      <c r="F27" s="31" t="s">
        <v>35</v>
      </c>
      <c r="G27" s="18" t="s">
        <v>53</v>
      </c>
      <c r="H27" s="32" t="s">
        <v>113</v>
      </c>
      <c r="I27" s="65" t="s">
        <v>181</v>
      </c>
      <c r="J27" s="15" t="s">
        <v>516</v>
      </c>
      <c r="K27" s="25" t="s">
        <v>517</v>
      </c>
    </row>
    <row r="28" spans="1:11">
      <c r="A28" s="46" t="s">
        <v>529</v>
      </c>
      <c r="B28" s="67" t="s">
        <v>530</v>
      </c>
      <c r="C28" s="63">
        <v>45639</v>
      </c>
      <c r="D28" s="46" t="s">
        <v>531</v>
      </c>
      <c r="E28" s="30" t="s">
        <v>34</v>
      </c>
      <c r="F28" s="31" t="s">
        <v>35</v>
      </c>
      <c r="G28" s="18" t="s">
        <v>36</v>
      </c>
      <c r="H28" s="32" t="s">
        <v>113</v>
      </c>
      <c r="I28" s="65" t="s">
        <v>175</v>
      </c>
      <c r="J28" s="15" t="s">
        <v>182</v>
      </c>
      <c r="K28" s="65" t="s">
        <v>29</v>
      </c>
    </row>
    <row r="29" spans="1:11">
      <c r="A29" s="46" t="s">
        <v>532</v>
      </c>
      <c r="B29" s="67" t="s">
        <v>533</v>
      </c>
      <c r="C29" s="63">
        <v>45590</v>
      </c>
      <c r="D29" s="48" t="s">
        <v>534</v>
      </c>
      <c r="E29" s="30" t="s">
        <v>34</v>
      </c>
      <c r="F29" s="31" t="s">
        <v>35</v>
      </c>
      <c r="G29" s="18" t="s">
        <v>36</v>
      </c>
      <c r="H29" s="32" t="s">
        <v>113</v>
      </c>
      <c r="I29" s="65" t="s">
        <v>175</v>
      </c>
      <c r="J29" s="15" t="s">
        <v>535</v>
      </c>
      <c r="K29" s="25" t="s">
        <v>29</v>
      </c>
    </row>
    <row r="30" spans="1:11">
      <c r="A30" s="46" t="s">
        <v>537</v>
      </c>
      <c r="B30" s="67" t="s">
        <v>538</v>
      </c>
      <c r="C30" s="63">
        <v>45551</v>
      </c>
      <c r="D30" s="25" t="s">
        <v>437</v>
      </c>
      <c r="E30" s="30" t="s">
        <v>350</v>
      </c>
      <c r="F30" s="31" t="s">
        <v>35</v>
      </c>
      <c r="G30" s="18" t="s">
        <v>36</v>
      </c>
      <c r="H30" s="32" t="s">
        <v>113</v>
      </c>
      <c r="I30" s="65" t="s">
        <v>42</v>
      </c>
      <c r="J30" s="15" t="s">
        <v>539</v>
      </c>
      <c r="K30" s="132" t="s">
        <v>540</v>
      </c>
    </row>
    <row r="31" spans="1:11">
      <c r="A31" s="46" t="s">
        <v>585</v>
      </c>
      <c r="B31" s="67" t="s">
        <v>586</v>
      </c>
      <c r="C31" s="63">
        <v>45596</v>
      </c>
      <c r="D31" s="48" t="s">
        <v>587</v>
      </c>
      <c r="E31" s="30" t="s">
        <v>34</v>
      </c>
      <c r="F31" s="31" t="s">
        <v>35</v>
      </c>
      <c r="G31" s="18" t="s">
        <v>36</v>
      </c>
      <c r="H31" s="32" t="s">
        <v>113</v>
      </c>
      <c r="I31" s="65" t="s">
        <v>175</v>
      </c>
      <c r="J31" s="15" t="s">
        <v>588</v>
      </c>
      <c r="K31" s="41" t="s">
        <v>29</v>
      </c>
    </row>
    <row r="32" spans="1:11">
      <c r="A32" s="98" t="s">
        <v>589</v>
      </c>
      <c r="B32" s="155" t="s">
        <v>590</v>
      </c>
      <c r="C32" s="100">
        <v>45533</v>
      </c>
      <c r="D32" s="97" t="s">
        <v>591</v>
      </c>
      <c r="E32" s="97" t="s">
        <v>34</v>
      </c>
      <c r="F32" s="101" t="s">
        <v>35</v>
      </c>
      <c r="G32" s="97" t="s">
        <v>36</v>
      </c>
      <c r="H32" s="102" t="s">
        <v>592</v>
      </c>
      <c r="I32" s="97" t="s">
        <v>181</v>
      </c>
      <c r="J32" s="15" t="s">
        <v>182</v>
      </c>
      <c r="K32" s="97" t="s">
        <v>593</v>
      </c>
    </row>
    <row r="33" spans="1:11">
      <c r="A33" s="133" t="s">
        <v>619</v>
      </c>
      <c r="B33" s="67" t="s">
        <v>620</v>
      </c>
      <c r="C33" s="63">
        <v>45587</v>
      </c>
      <c r="D33" s="25" t="s">
        <v>621</v>
      </c>
      <c r="E33" s="30" t="s">
        <v>34</v>
      </c>
      <c r="F33" s="31" t="s">
        <v>35</v>
      </c>
      <c r="G33" s="18" t="s">
        <v>36</v>
      </c>
      <c r="H33" s="32" t="s">
        <v>113</v>
      </c>
      <c r="I33" s="65" t="s">
        <v>42</v>
      </c>
      <c r="J33" s="15" t="s">
        <v>622</v>
      </c>
      <c r="K33" s="25" t="s">
        <v>623</v>
      </c>
    </row>
    <row r="34" spans="1:11">
      <c r="A34" s="46"/>
      <c r="B34" s="67"/>
      <c r="C34" s="63"/>
      <c r="D34" s="46"/>
      <c r="E34" s="30"/>
      <c r="F34" s="31"/>
      <c r="G34" s="18"/>
      <c r="H34" s="32"/>
      <c r="I34" s="65"/>
      <c r="J34" s="15"/>
      <c r="K34" s="65"/>
    </row>
    <row r="35" spans="1:11">
      <c r="A35" s="46"/>
      <c r="B35" s="67"/>
      <c r="C35" s="63"/>
      <c r="D35" s="46"/>
      <c r="E35" s="30"/>
      <c r="F35" s="31"/>
      <c r="G35" s="18"/>
      <c r="H35" s="32"/>
      <c r="I35" s="65"/>
      <c r="J35" s="15"/>
      <c r="K35" s="65"/>
    </row>
    <row r="36" spans="1:11">
      <c r="A36" s="46"/>
      <c r="B36" s="67"/>
      <c r="C36" s="63"/>
      <c r="D36" s="46"/>
      <c r="E36" s="30"/>
      <c r="F36" s="31"/>
      <c r="G36" s="18"/>
      <c r="H36" s="32"/>
      <c r="I36" s="65"/>
      <c r="J36" s="15"/>
      <c r="K36" s="65"/>
    </row>
    <row r="37" spans="1:11">
      <c r="A37" s="46"/>
      <c r="B37" s="67"/>
      <c r="C37" s="63"/>
      <c r="D37" s="46"/>
      <c r="E37" s="30"/>
      <c r="F37" s="31"/>
      <c r="G37" s="18"/>
      <c r="H37" s="32"/>
      <c r="I37" s="65"/>
      <c r="J37" s="15"/>
      <c r="K37" s="65"/>
    </row>
    <row r="38" spans="1:11">
      <c r="A38" s="46"/>
      <c r="B38" s="67"/>
      <c r="C38" s="63"/>
      <c r="D38" s="46"/>
      <c r="E38" s="30"/>
      <c r="F38" s="31"/>
      <c r="G38" s="18"/>
      <c r="H38" s="32"/>
      <c r="I38" s="65"/>
      <c r="J38" s="15"/>
      <c r="K38" s="65"/>
    </row>
    <row r="39" spans="1:11">
      <c r="A39" s="46"/>
      <c r="B39" s="67"/>
      <c r="C39" s="63"/>
      <c r="D39" s="46"/>
      <c r="E39" s="30"/>
      <c r="F39" s="31"/>
      <c r="G39" s="18"/>
      <c r="H39" s="32"/>
      <c r="I39" s="65"/>
      <c r="J39" s="15"/>
      <c r="K39" s="65"/>
    </row>
    <row r="40" spans="1:11">
      <c r="A40" s="46"/>
      <c r="B40" s="67"/>
      <c r="C40" s="63"/>
      <c r="D40" s="46"/>
      <c r="E40" s="30"/>
      <c r="F40" s="31"/>
      <c r="G40" s="18"/>
      <c r="H40" s="32"/>
      <c r="I40" s="65"/>
      <c r="J40" s="15"/>
      <c r="K40" s="65"/>
    </row>
    <row r="41" spans="1:11">
      <c r="A41" s="46"/>
      <c r="B41" s="67"/>
      <c r="C41" s="63"/>
      <c r="D41" s="46"/>
      <c r="E41" s="30"/>
      <c r="F41" s="31"/>
      <c r="G41" s="18"/>
      <c r="H41" s="32"/>
      <c r="I41" s="65"/>
      <c r="J41" s="15"/>
      <c r="K41" s="65"/>
    </row>
    <row r="42" spans="1:11">
      <c r="A42" s="46"/>
      <c r="B42" s="67"/>
      <c r="C42" s="63"/>
      <c r="D42" s="46"/>
      <c r="E42" s="30"/>
      <c r="F42" s="31"/>
      <c r="G42" s="18"/>
      <c r="H42" s="32"/>
      <c r="I42" s="65"/>
      <c r="J42" s="15"/>
      <c r="K42" s="65"/>
    </row>
    <row r="43" spans="1:11">
      <c r="A43" s="46"/>
      <c r="B43" s="67"/>
      <c r="C43" s="63"/>
      <c r="D43" s="46"/>
      <c r="E43" s="30"/>
      <c r="F43" s="31"/>
      <c r="G43" s="18"/>
      <c r="H43" s="32"/>
      <c r="I43" s="65"/>
      <c r="J43" s="15"/>
      <c r="K43" s="65"/>
    </row>
    <row r="44" spans="1:11">
      <c r="A44" s="46"/>
      <c r="B44" s="67"/>
      <c r="C44" s="63"/>
      <c r="D44" s="46"/>
      <c r="E44" s="30"/>
      <c r="F44" s="31"/>
      <c r="G44" s="18"/>
      <c r="H44" s="32"/>
      <c r="I44" s="65"/>
      <c r="J44" s="15"/>
      <c r="K44" s="65"/>
    </row>
    <row r="45" spans="1:11">
      <c r="A45" s="46"/>
      <c r="B45" s="67"/>
      <c r="C45" s="63"/>
      <c r="D45" s="46"/>
      <c r="E45" s="30"/>
      <c r="F45" s="31"/>
      <c r="G45" s="18"/>
      <c r="H45" s="32"/>
      <c r="I45" s="65"/>
      <c r="J45" s="15"/>
      <c r="K45" s="65"/>
    </row>
    <row r="46" spans="1:11">
      <c r="A46" s="161"/>
      <c r="B46" s="62"/>
      <c r="C46" s="162"/>
      <c r="D46" s="161"/>
      <c r="E46" s="163"/>
      <c r="F46" s="164"/>
      <c r="G46" s="165"/>
      <c r="H46" s="166"/>
      <c r="I46" s="78"/>
      <c r="J46" s="167"/>
      <c r="K46" s="78"/>
    </row>
    <row r="47" spans="1:11">
      <c r="A47" s="161"/>
      <c r="B47" s="62"/>
      <c r="C47" s="162"/>
      <c r="D47" s="161"/>
      <c r="E47" s="163"/>
      <c r="F47" s="164"/>
      <c r="G47" s="165"/>
      <c r="H47" s="166"/>
      <c r="I47" s="78"/>
      <c r="J47" s="167"/>
      <c r="K47" s="78"/>
    </row>
  </sheetData>
  <conditionalFormatting sqref="A25">
    <cfRule type="expression" dxfId="55" priority="1">
      <formula>#REF!=1</formula>
    </cfRule>
  </conditionalFormatting>
  <conditionalFormatting sqref="A25">
    <cfRule type="expression" dxfId="54" priority="2">
      <formula>#REF!=2</formula>
    </cfRule>
  </conditionalFormatting>
  <conditionalFormatting sqref="A25">
    <cfRule type="expression" dxfId="53" priority="3">
      <formula>#REF!=3</formula>
    </cfRule>
  </conditionalFormatting>
  <conditionalFormatting sqref="A25">
    <cfRule type="expression" dxfId="52" priority="4">
      <formula>"D7=1"</formula>
    </cfRule>
  </conditionalFormatting>
  <conditionalFormatting sqref="A25">
    <cfRule type="expression" dxfId="51" priority="5">
      <formula>#REF!=1</formula>
    </cfRule>
  </conditionalFormatting>
  <conditionalFormatting sqref="A25">
    <cfRule type="expression" dxfId="50" priority="6">
      <formula>#REF!=2</formula>
    </cfRule>
  </conditionalFormatting>
  <conditionalFormatting sqref="A25">
    <cfRule type="expression" dxfId="49" priority="7">
      <formula>#REF!=3</formula>
    </cfRule>
  </conditionalFormatting>
  <conditionalFormatting sqref="A23:A24">
    <cfRule type="expression" dxfId="48" priority="8">
      <formula>"D7=1"</formula>
    </cfRule>
  </conditionalFormatting>
  <conditionalFormatting sqref="A23:A24">
    <cfRule type="expression" dxfId="47" priority="9">
      <formula>#REF!=1</formula>
    </cfRule>
  </conditionalFormatting>
  <conditionalFormatting sqref="A23:A24">
    <cfRule type="expression" dxfId="46" priority="10">
      <formula>#REF!=2</formula>
    </cfRule>
  </conditionalFormatting>
  <conditionalFormatting sqref="A23:A24">
    <cfRule type="expression" dxfId="45" priority="11">
      <formula>#REF!=3</formula>
    </cfRule>
  </conditionalFormatting>
  <conditionalFormatting sqref="A21:A22">
    <cfRule type="expression" dxfId="44" priority="12">
      <formula>"D7=1"</formula>
    </cfRule>
  </conditionalFormatting>
  <conditionalFormatting sqref="A21:A22">
    <cfRule type="expression" dxfId="43" priority="13">
      <formula>#REF!=1</formula>
    </cfRule>
  </conditionalFormatting>
  <conditionalFormatting sqref="A21:A22">
    <cfRule type="expression" dxfId="42" priority="14">
      <formula>#REF!=2</formula>
    </cfRule>
  </conditionalFormatting>
  <conditionalFormatting sqref="A21:A22">
    <cfRule type="expression" dxfId="41" priority="15">
      <formula>#REF!=3</formula>
    </cfRule>
  </conditionalFormatting>
  <conditionalFormatting sqref="A19:A20">
    <cfRule type="expression" dxfId="40" priority="16">
      <formula>"D7=1"</formula>
    </cfRule>
  </conditionalFormatting>
  <conditionalFormatting sqref="A19:A20">
    <cfRule type="expression" dxfId="39" priority="17">
      <formula>#REF!=1</formula>
    </cfRule>
  </conditionalFormatting>
  <conditionalFormatting sqref="A19:A20">
    <cfRule type="expression" dxfId="38" priority="18">
      <formula>#REF!=2</formula>
    </cfRule>
  </conditionalFormatting>
  <conditionalFormatting sqref="A19:A20">
    <cfRule type="expression" dxfId="37" priority="19">
      <formula>#REF!=3</formula>
    </cfRule>
  </conditionalFormatting>
  <conditionalFormatting sqref="A18">
    <cfRule type="expression" dxfId="36" priority="20">
      <formula>"D7=1"</formula>
    </cfRule>
  </conditionalFormatting>
  <conditionalFormatting sqref="A18">
    <cfRule type="expression" dxfId="35" priority="21">
      <formula>#REF!=1</formula>
    </cfRule>
  </conditionalFormatting>
  <conditionalFormatting sqref="A18">
    <cfRule type="expression" dxfId="34" priority="22">
      <formula>#REF!=2</formula>
    </cfRule>
  </conditionalFormatting>
  <conditionalFormatting sqref="A18">
    <cfRule type="expression" dxfId="33" priority="23">
      <formula>#REF!=3</formula>
    </cfRule>
  </conditionalFormatting>
  <conditionalFormatting sqref="A16">
    <cfRule type="expression" dxfId="32" priority="24">
      <formula>#REF!=1</formula>
    </cfRule>
  </conditionalFormatting>
  <conditionalFormatting sqref="A16">
    <cfRule type="expression" dxfId="31" priority="25">
      <formula>#REF!=2</formula>
    </cfRule>
  </conditionalFormatting>
  <conditionalFormatting sqref="A16">
    <cfRule type="expression" dxfId="30" priority="26">
      <formula>#REF!=3</formula>
    </cfRule>
  </conditionalFormatting>
  <conditionalFormatting sqref="A16">
    <cfRule type="expression" dxfId="29" priority="27">
      <formula>"D7=1"</formula>
    </cfRule>
  </conditionalFormatting>
  <conditionalFormatting sqref="A15">
    <cfRule type="expression" dxfId="28" priority="28">
      <formula>#REF!=1</formula>
    </cfRule>
  </conditionalFormatting>
  <conditionalFormatting sqref="A15">
    <cfRule type="expression" dxfId="27" priority="29">
      <formula>#REF!=2</formula>
    </cfRule>
  </conditionalFormatting>
  <conditionalFormatting sqref="A15">
    <cfRule type="expression" dxfId="26" priority="30">
      <formula>#REF!=3</formula>
    </cfRule>
  </conditionalFormatting>
  <conditionalFormatting sqref="A15">
    <cfRule type="expression" dxfId="25" priority="31">
      <formula>"D7=1"</formula>
    </cfRule>
  </conditionalFormatting>
  <conditionalFormatting sqref="A14">
    <cfRule type="expression" dxfId="24" priority="32">
      <formula>"D7=1"</formula>
    </cfRule>
  </conditionalFormatting>
  <conditionalFormatting sqref="A14">
    <cfRule type="expression" dxfId="23" priority="33">
      <formula>#REF!=1</formula>
    </cfRule>
  </conditionalFormatting>
  <conditionalFormatting sqref="A14">
    <cfRule type="expression" dxfId="22" priority="34">
      <formula>#REF!=2</formula>
    </cfRule>
  </conditionalFormatting>
  <conditionalFormatting sqref="A14">
    <cfRule type="expression" dxfId="21" priority="35">
      <formula>#REF!=3</formula>
    </cfRule>
  </conditionalFormatting>
  <conditionalFormatting sqref="A12:A13">
    <cfRule type="expression" dxfId="20" priority="36">
      <formula>"D7=1"</formula>
    </cfRule>
  </conditionalFormatting>
  <conditionalFormatting sqref="A12:A13">
    <cfRule type="expression" dxfId="19" priority="37">
      <formula>#REF!=1</formula>
    </cfRule>
  </conditionalFormatting>
  <conditionalFormatting sqref="A12:A13">
    <cfRule type="expression" dxfId="18" priority="38">
      <formula>#REF!=2</formula>
    </cfRule>
  </conditionalFormatting>
  <conditionalFormatting sqref="A12:A13">
    <cfRule type="expression" dxfId="17" priority="39">
      <formula>#REF!=3</formula>
    </cfRule>
  </conditionalFormatting>
  <conditionalFormatting sqref="A7:A11">
    <cfRule type="expression" dxfId="16" priority="40">
      <formula>"D7=1"</formula>
    </cfRule>
  </conditionalFormatting>
  <conditionalFormatting sqref="A7:A11">
    <cfRule type="expression" dxfId="15" priority="41">
      <formula>#REF!=1</formula>
    </cfRule>
  </conditionalFormatting>
  <conditionalFormatting sqref="A7:A11">
    <cfRule type="expression" dxfId="14" priority="42">
      <formula>#REF!=2</formula>
    </cfRule>
  </conditionalFormatting>
  <conditionalFormatting sqref="A7:A11">
    <cfRule type="expression" dxfId="13" priority="43">
      <formula>#REF!=3</formula>
    </cfRule>
  </conditionalFormatting>
  <conditionalFormatting sqref="A4:A6">
    <cfRule type="expression" dxfId="12" priority="44">
      <formula>"D7=1"</formula>
    </cfRule>
  </conditionalFormatting>
  <conditionalFormatting sqref="A4:A6">
    <cfRule type="expression" dxfId="11" priority="45">
      <formula>#REF!=1</formula>
    </cfRule>
  </conditionalFormatting>
  <conditionalFormatting sqref="A4:A6">
    <cfRule type="expression" dxfId="10" priority="46">
      <formula>#REF!=2</formula>
    </cfRule>
  </conditionalFormatting>
  <conditionalFormatting sqref="A4:A6">
    <cfRule type="expression" dxfId="9" priority="47">
      <formula>#REF!=3</formula>
    </cfRule>
  </conditionalFormatting>
  <conditionalFormatting sqref="A3">
    <cfRule type="expression" dxfId="8" priority="48">
      <formula>"D7=1"</formula>
    </cfRule>
  </conditionalFormatting>
  <conditionalFormatting sqref="A3">
    <cfRule type="expression" dxfId="7" priority="49">
      <formula>#REF!=1</formula>
    </cfRule>
  </conditionalFormatting>
  <conditionalFormatting sqref="A3">
    <cfRule type="expression" dxfId="6" priority="50">
      <formula>#REF!=2</formula>
    </cfRule>
  </conditionalFormatting>
  <conditionalFormatting sqref="A3">
    <cfRule type="expression" dxfId="5" priority="51">
      <formula>#REF!=3</formula>
    </cfRule>
  </conditionalFormatting>
  <conditionalFormatting sqref="A2">
    <cfRule type="expression" dxfId="4" priority="52">
      <formula>"D7=1"</formula>
    </cfRule>
  </conditionalFormatting>
  <conditionalFormatting sqref="A2">
    <cfRule type="expression" dxfId="3" priority="53">
      <formula>#REF!=1</formula>
    </cfRule>
  </conditionalFormatting>
  <conditionalFormatting sqref="A2">
    <cfRule type="expression" dxfId="2" priority="54">
      <formula>#REF!=2</formula>
    </cfRule>
  </conditionalFormatting>
  <conditionalFormatting sqref="A2">
    <cfRule type="expression" dxfId="1" priority="55">
      <formula>#REF!=3</formula>
    </cfRule>
  </conditionalFormatting>
  <conditionalFormatting sqref="G1">
    <cfRule type="containsBlanks" dxfId="0" priority="56">
      <formula>LEN(TRIM(G1))=0</formula>
    </cfRule>
  </conditionalFormatting>
  <dataValidations count="5">
    <dataValidation type="list" allowBlank="1" showErrorMessage="1" sqref="F2:F47" xr:uid="{00000000-0002-0000-0D00-000000000000}">
      <formula1>"FHEMIG,UFMG,EINSTEIN,UI PAULSTA BOTUCATU,CIENCIAS MÉDICAS,FELUMA,HCFMUSP,FIOCRUZ,FUNDAÇÃO GERALDO CORREA,HCOR,HUPES/UFBA/EBSERH,UNIV PROF ED ANT VEL UNIFENAS,HOSPITAL SÍRIO LIBANÊS,INSTITUTO DO CANCET E PEDIAD ESPECIALIZADA(ICPE),INSTITUTO DO CANCER INFAN"&amp;"TIL E PEDITARIA ESPECIALIZADA (ICIPE)"</formula1>
    </dataValidation>
    <dataValidation type="list" allowBlank="1" showErrorMessage="1" sqref="I1:I47" xr:uid="{00000000-0002-0000-0D00-000001000000}">
      <formula1>"Relato de Caso,Série de casos,Transversal prospectivo,Observacional retrospectivo, Observacional prospectivo,Qualitativa obser/entrevista,Transversal retrospectivo,Observacional descritivo,Relato de Experiência,ECCR ,Observacional prospectivo,Survey"</formula1>
    </dataValidation>
    <dataValidation type="list" allowBlank="1" showErrorMessage="1" sqref="G2:G47" xr:uid="{00000000-0002-0000-0D00-000002000000}">
      <formula1>"HIJPII,HJXIII,HMAL,CHU,HJK"</formula1>
    </dataValidation>
    <dataValidation type="list" allowBlank="1" showErrorMessage="1" sqref="H2:H47" xr:uid="{00000000-0002-0000-0D00-000003000000}">
      <formula1>"CONGRESSO/DIVULGAÇÃO/PUBLICAÇÃO,TCC,TCR,MESTRADO,BOLSISTA FAPEMIG,DOUTORADO,EMENDA PROJ INTERNO,EMENDA PROJ EXTERNO,EMENDA TCR,DESEMVOL PESQUISA CLÍNICA???"</formula1>
    </dataValidation>
    <dataValidation type="list" allowBlank="1" showInputMessage="1" showErrorMessage="1" prompt="Clique e digite um valor da lista de itens" sqref="E2:E47" xr:uid="{00000000-0002-0000-0D00-000004000000}">
      <formula1>"SERVIDOR,PESQ EXTERNO,RESIDENTE MULTI,RESIDENTE BUCO,RESIDENTE MÉDIC"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Otavio Conrado Trindade</cp:lastModifiedBy>
  <cp:revision/>
  <dcterms:created xsi:type="dcterms:W3CDTF">2023-09-04T19:45:58Z</dcterms:created>
  <dcterms:modified xsi:type="dcterms:W3CDTF">2026-05-18T10:05:58Z</dcterms:modified>
  <cp:category/>
  <cp:contentStatus/>
</cp:coreProperties>
</file>