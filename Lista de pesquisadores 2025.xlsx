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4.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5.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6.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167" documentId="11_7CAF1F8B502E9CCC5F0C2F127053A8AABCBB89ED" xr6:coauthVersionLast="47" xr6:coauthVersionMax="47" xr10:uidLastSave="{D44D41EA-D6DD-4DBF-BA66-87FFCEF5399A}"/>
  <bookViews>
    <workbookView xWindow="0" yWindow="0" windowWidth="0" windowHeight="0" firstSheet="1" activeTab="1" xr2:uid="{00000000-000D-0000-FFFF-FFFF00000000}"/>
  </bookViews>
  <sheets>
    <sheet name="PLANILHA PESQ 2025" sheetId="1" r:id="rId1"/>
    <sheet name="RESUMO TEMPO DE TRAMITAÇÃO 2025" sheetId="2" r:id="rId2"/>
    <sheet name="lista de pesquisadores para env" sheetId="3" r:id="rId3"/>
    <sheet name="GRÁFICOS 2025" sheetId="4" r:id="rId4"/>
    <sheet name="PESQ EXTERNO COLETA DE DADOS" sheetId="5" r:id="rId5"/>
    <sheet name="ORGANIZAÇÃO DOS DADOS PARA CONS" sheetId="6" r:id="rId6"/>
    <sheet name="Cópia de RELATÓRIO SEMESTRAL 20" sheetId="7" r:id="rId7"/>
    <sheet name="CONTROLE COLABORADORES COLETA D" sheetId="8" r:id="rId8"/>
    <sheet name="Cópia de RELATÓRIO ANUAL 2023" sheetId="9" r:id="rId9"/>
    <sheet name="RELATÓRIO TRIMESTRAL 2023" sheetId="10" r:id="rId10"/>
    <sheet name="2024 Cópia de Cópia de RELATÓRI" sheetId="11" r:id="rId11"/>
    <sheet name="Cópia de 2024 Cópia de Cópia de" sheetId="12" r:id="rId12"/>
  </sheets>
  <externalReferences>
    <externalReference r:id="rId13"/>
    <externalReference r:id="rId14"/>
  </externalReferences>
  <definedNames>
    <definedName name="_xlnm._FilterDatabase" localSheetId="0" hidden="1">'PLANILHA PESQ 2025'!$A$1:$AG$126</definedName>
    <definedName name="_xlnm._FilterDatabase" localSheetId="2" hidden="1">'lista de pesquisadores para env'!$A$1:$M$1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ergehVG6mNY50sptro5qRvPb5uXyRIILyLN7/1F4Y+0="/>
    </ext>
  </extLst>
</workbook>
</file>

<file path=xl/calcChain.xml><?xml version="1.0" encoding="utf-8"?>
<calcChain xmlns="http://schemas.openxmlformats.org/spreadsheetml/2006/main">
  <c r="I109" i="2" l="1"/>
  <c r="K1" i="4"/>
  <c r="J1" i="4"/>
  <c r="I1" i="4"/>
  <c r="H1" i="4"/>
  <c r="G1" i="4"/>
  <c r="F1" i="4"/>
  <c r="E1" i="4"/>
  <c r="D1" i="4"/>
  <c r="C1" i="4"/>
  <c r="B1" i="4"/>
  <c r="L1" i="4"/>
  <c r="C2" i="2"/>
  <c r="G9" i="2"/>
  <c r="G8" i="2"/>
  <c r="G6" i="2"/>
  <c r="G5" i="2"/>
  <c r="G4" i="2"/>
  <c r="F9" i="2"/>
  <c r="F8" i="2"/>
  <c r="F6" i="2"/>
  <c r="F5" i="2"/>
  <c r="F4" i="2"/>
  <c r="E9" i="2"/>
  <c r="E8" i="2"/>
  <c r="E6" i="2"/>
  <c r="E5" i="2"/>
  <c r="E4" i="2"/>
  <c r="D5" i="2"/>
  <c r="D4" i="2"/>
  <c r="B8" i="2"/>
  <c r="B6" i="2"/>
  <c r="B5" i="2"/>
  <c r="B4" i="2"/>
  <c r="B3" i="2"/>
  <c r="C9" i="2"/>
  <c r="C8" i="2"/>
  <c r="C7" i="2"/>
  <c r="C6" i="2"/>
  <c r="C5" i="2"/>
  <c r="C4" i="2"/>
  <c r="C3" i="2"/>
  <c r="A9" i="2"/>
  <c r="A8" i="2"/>
  <c r="A7" i="2"/>
  <c r="A6" i="2"/>
  <c r="A5" i="2"/>
  <c r="A4" i="2"/>
  <c r="A3" i="2"/>
  <c r="A10" i="2"/>
  <c r="H5" i="2"/>
  <c r="H4" i="2"/>
  <c r="H3" i="2"/>
  <c r="H2" i="2"/>
  <c r="B126" i="4"/>
  <c r="L125" i="4"/>
  <c r="K125" i="4"/>
  <c r="J125" i="4"/>
  <c r="I125" i="4"/>
  <c r="H125" i="4"/>
  <c r="G125" i="4"/>
  <c r="F125" i="4"/>
  <c r="E125" i="4"/>
  <c r="D125" i="4"/>
  <c r="C125" i="4"/>
  <c r="B125" i="4"/>
  <c r="L124" i="4"/>
  <c r="K124" i="4"/>
  <c r="J124" i="4"/>
  <c r="I124" i="4"/>
  <c r="H124" i="4"/>
  <c r="G124" i="4"/>
  <c r="F124" i="4"/>
  <c r="E124" i="4"/>
  <c r="D124" i="4"/>
  <c r="C124" i="4"/>
  <c r="B124" i="4"/>
  <c r="L123" i="4"/>
  <c r="K123" i="4"/>
  <c r="J123" i="4"/>
  <c r="I123" i="4"/>
  <c r="H123" i="4"/>
  <c r="G123" i="4"/>
  <c r="F123" i="4"/>
  <c r="E123" i="4"/>
  <c r="D123" i="4"/>
  <c r="C123" i="4"/>
  <c r="B123" i="4"/>
  <c r="L122" i="4"/>
  <c r="K122" i="4"/>
  <c r="J122" i="4"/>
  <c r="I122" i="4"/>
  <c r="H122" i="4"/>
  <c r="G122" i="4"/>
  <c r="F122" i="4"/>
  <c r="E122" i="4"/>
  <c r="D122" i="4"/>
  <c r="C122" i="4"/>
  <c r="B122" i="4"/>
  <c r="L121" i="4"/>
  <c r="K121" i="4"/>
  <c r="J121" i="4"/>
  <c r="I121" i="4"/>
  <c r="H121" i="4"/>
  <c r="G121" i="4"/>
  <c r="F121" i="4"/>
  <c r="E121" i="4"/>
  <c r="D121" i="4"/>
  <c r="C121" i="4"/>
  <c r="B121" i="4"/>
  <c r="L120" i="4"/>
  <c r="K120" i="4"/>
  <c r="J120" i="4"/>
  <c r="I120" i="4"/>
  <c r="H120" i="4"/>
  <c r="G120" i="4"/>
  <c r="F120" i="4"/>
  <c r="E120" i="4"/>
  <c r="D120" i="4"/>
  <c r="C120" i="4"/>
  <c r="B120" i="4"/>
  <c r="K119" i="4"/>
  <c r="J119" i="4"/>
  <c r="I119" i="4"/>
  <c r="H119" i="4"/>
  <c r="G119" i="4"/>
  <c r="F119" i="4"/>
  <c r="E119" i="4"/>
  <c r="D119" i="4"/>
  <c r="C119" i="4"/>
  <c r="B119" i="4"/>
  <c r="L118" i="4"/>
  <c r="K118" i="4"/>
  <c r="J118" i="4"/>
  <c r="I118" i="4"/>
  <c r="H118" i="4"/>
  <c r="G118" i="4"/>
  <c r="F118" i="4"/>
  <c r="E118" i="4"/>
  <c r="D118" i="4"/>
  <c r="C118" i="4"/>
  <c r="B118" i="4"/>
  <c r="L117" i="4"/>
  <c r="K117" i="4"/>
  <c r="J117" i="4"/>
  <c r="I117" i="4"/>
  <c r="H117" i="4"/>
  <c r="G117" i="4"/>
  <c r="F117" i="4"/>
  <c r="E117" i="4"/>
  <c r="D117" i="4"/>
  <c r="C117" i="4"/>
  <c r="B117" i="4"/>
  <c r="L116" i="4"/>
  <c r="K116" i="4"/>
  <c r="J116" i="4"/>
  <c r="I116" i="4"/>
  <c r="H116" i="4"/>
  <c r="G116" i="4"/>
  <c r="F116" i="4"/>
  <c r="E116" i="4"/>
  <c r="D116" i="4"/>
  <c r="C116" i="4"/>
  <c r="B116" i="4"/>
  <c r="L115" i="4"/>
  <c r="K115" i="4"/>
  <c r="J115" i="4"/>
  <c r="I115" i="4"/>
  <c r="H115" i="4"/>
  <c r="G115" i="4"/>
  <c r="F115" i="4"/>
  <c r="E115" i="4"/>
  <c r="D115" i="4"/>
  <c r="C115" i="4"/>
  <c r="B115" i="4"/>
  <c r="L114" i="4"/>
  <c r="K114" i="4"/>
  <c r="J114" i="4"/>
  <c r="I114" i="4"/>
  <c r="H114" i="4"/>
  <c r="G114" i="4"/>
  <c r="F114" i="4"/>
  <c r="E114" i="4"/>
  <c r="D114" i="4"/>
  <c r="C114" i="4"/>
  <c r="B114" i="4"/>
  <c r="L113" i="4"/>
  <c r="K113" i="4"/>
  <c r="J113" i="4"/>
  <c r="I113" i="4"/>
  <c r="H113" i="4"/>
  <c r="G113" i="4"/>
  <c r="F113" i="4"/>
  <c r="E113" i="4"/>
  <c r="D113" i="4"/>
  <c r="C113" i="4"/>
  <c r="B113" i="4"/>
  <c r="L112" i="4"/>
  <c r="K112" i="4"/>
  <c r="J112" i="4"/>
  <c r="I112" i="4"/>
  <c r="H112" i="4"/>
  <c r="G112" i="4"/>
  <c r="F112" i="4"/>
  <c r="E112" i="4"/>
  <c r="D112" i="4"/>
  <c r="C112" i="4"/>
  <c r="B112" i="4"/>
  <c r="L111" i="4"/>
  <c r="K111" i="4"/>
  <c r="J111" i="4"/>
  <c r="I111" i="4"/>
  <c r="H111" i="4"/>
  <c r="G111" i="4"/>
  <c r="F111" i="4"/>
  <c r="E111" i="4"/>
  <c r="D111" i="4"/>
  <c r="C111" i="4"/>
  <c r="B111" i="4"/>
  <c r="L110" i="4"/>
  <c r="K110" i="4"/>
  <c r="J110" i="4"/>
  <c r="I110" i="4"/>
  <c r="H110" i="4"/>
  <c r="G110" i="4"/>
  <c r="F110" i="4"/>
  <c r="E110" i="4"/>
  <c r="D110" i="4"/>
  <c r="C110" i="4"/>
  <c r="B110" i="4"/>
  <c r="L109" i="4"/>
  <c r="K109" i="4"/>
  <c r="J109" i="4"/>
  <c r="I109" i="4"/>
  <c r="H109" i="4"/>
  <c r="G109" i="4"/>
  <c r="F109" i="4"/>
  <c r="E109" i="4"/>
  <c r="D109" i="4"/>
  <c r="C109" i="4"/>
  <c r="B109" i="4"/>
  <c r="J108" i="4"/>
  <c r="I108" i="4"/>
  <c r="H108" i="4"/>
  <c r="G108" i="4"/>
  <c r="F108" i="4"/>
  <c r="E108" i="4"/>
  <c r="D108" i="4"/>
  <c r="C108" i="4"/>
  <c r="B108" i="4"/>
  <c r="L107" i="4"/>
  <c r="K107" i="4"/>
  <c r="J107" i="4"/>
  <c r="I107" i="4"/>
  <c r="H107" i="4"/>
  <c r="G107" i="4"/>
  <c r="F107" i="4"/>
  <c r="E107" i="4"/>
  <c r="D107" i="4"/>
  <c r="C107" i="4"/>
  <c r="B107" i="4"/>
  <c r="L106" i="4"/>
  <c r="K106" i="4"/>
  <c r="J106" i="4"/>
  <c r="I106" i="4"/>
  <c r="H106" i="4"/>
  <c r="G106" i="4"/>
  <c r="F106" i="4"/>
  <c r="E106" i="4"/>
  <c r="D106" i="4"/>
  <c r="C106" i="4"/>
  <c r="B106" i="4"/>
  <c r="L105" i="4"/>
  <c r="K105" i="4"/>
  <c r="J105" i="4"/>
  <c r="I105" i="4"/>
  <c r="G105" i="4"/>
  <c r="F105" i="4"/>
  <c r="E105" i="4"/>
  <c r="D105" i="4"/>
  <c r="C105" i="4"/>
  <c r="B105" i="4"/>
  <c r="L104" i="4"/>
  <c r="K104" i="4"/>
  <c r="J104" i="4"/>
  <c r="I104" i="4"/>
  <c r="H104" i="4"/>
  <c r="G104" i="4"/>
  <c r="F104" i="4"/>
  <c r="E104" i="4"/>
  <c r="D104" i="4"/>
  <c r="C104" i="4"/>
  <c r="B104" i="4"/>
  <c r="L103" i="4"/>
  <c r="K103" i="4"/>
  <c r="J103" i="4"/>
  <c r="I103" i="4"/>
  <c r="H103" i="4"/>
  <c r="G103" i="4"/>
  <c r="F103" i="4"/>
  <c r="E103" i="4"/>
  <c r="D103" i="4"/>
  <c r="C103" i="4"/>
  <c r="B103" i="4"/>
  <c r="L102" i="4"/>
  <c r="K102" i="4"/>
  <c r="J102" i="4"/>
  <c r="I102" i="4"/>
  <c r="H102" i="4"/>
  <c r="G102" i="4"/>
  <c r="F102" i="4"/>
  <c r="E102" i="4"/>
  <c r="D102" i="4"/>
  <c r="C102" i="4"/>
  <c r="B102" i="4"/>
  <c r="K101" i="4"/>
  <c r="J101" i="4"/>
  <c r="I101" i="4"/>
  <c r="H101" i="4"/>
  <c r="G101" i="4"/>
  <c r="F101" i="4"/>
  <c r="E101" i="4"/>
  <c r="D101" i="4"/>
  <c r="C101" i="4"/>
  <c r="B101" i="4"/>
  <c r="L100" i="4"/>
  <c r="K100" i="4"/>
  <c r="J100" i="4"/>
  <c r="I100" i="4"/>
  <c r="H100" i="4"/>
  <c r="G100" i="4"/>
  <c r="F100" i="4"/>
  <c r="E100" i="4"/>
  <c r="D100" i="4"/>
  <c r="C100" i="4"/>
  <c r="B100" i="4"/>
  <c r="L99" i="4"/>
  <c r="K99" i="4"/>
  <c r="J99" i="4"/>
  <c r="I99" i="4"/>
  <c r="H99" i="4"/>
  <c r="G99" i="4"/>
  <c r="F99" i="4"/>
  <c r="E99" i="4"/>
  <c r="D99" i="4"/>
  <c r="C99" i="4"/>
  <c r="B99" i="4"/>
  <c r="L98" i="4"/>
  <c r="K98" i="4"/>
  <c r="J98" i="4"/>
  <c r="I98" i="4"/>
  <c r="H98" i="4"/>
  <c r="G98" i="4"/>
  <c r="F98" i="4"/>
  <c r="E98" i="4"/>
  <c r="D98" i="4"/>
  <c r="C98" i="4"/>
  <c r="B98" i="4"/>
  <c r="L97" i="4"/>
  <c r="K97" i="4"/>
  <c r="J97" i="4"/>
  <c r="I97" i="4"/>
  <c r="H97" i="4"/>
  <c r="G97" i="4"/>
  <c r="F97" i="4"/>
  <c r="E97" i="4"/>
  <c r="D97" i="4"/>
  <c r="C97" i="4"/>
  <c r="B97" i="4"/>
  <c r="L96" i="4"/>
  <c r="K96" i="4"/>
  <c r="J96" i="4"/>
  <c r="I96" i="4"/>
  <c r="H96" i="4"/>
  <c r="G96" i="4"/>
  <c r="F96" i="4"/>
  <c r="E96" i="4"/>
  <c r="D96" i="4"/>
  <c r="C96" i="4"/>
  <c r="B96" i="4"/>
  <c r="L95" i="4"/>
  <c r="K95" i="4"/>
  <c r="J95" i="4"/>
  <c r="I95" i="4"/>
  <c r="H95" i="4"/>
  <c r="G95" i="4"/>
  <c r="F95" i="4"/>
  <c r="E95" i="4"/>
  <c r="D95" i="4"/>
  <c r="C95" i="4"/>
  <c r="B95" i="4"/>
  <c r="L94" i="4"/>
  <c r="K94" i="4"/>
  <c r="J94" i="4"/>
  <c r="I94" i="4"/>
  <c r="H94" i="4"/>
  <c r="G94" i="4"/>
  <c r="F94" i="4"/>
  <c r="E94" i="4"/>
  <c r="D94" i="4"/>
  <c r="C94" i="4"/>
  <c r="B94" i="4"/>
  <c r="L93" i="4"/>
  <c r="K93" i="4"/>
  <c r="J93" i="4"/>
  <c r="I93" i="4"/>
  <c r="H93" i="4"/>
  <c r="G93" i="4"/>
  <c r="F93" i="4"/>
  <c r="E93" i="4"/>
  <c r="D93" i="4"/>
  <c r="C93" i="4"/>
  <c r="B93" i="4"/>
  <c r="L92" i="4"/>
  <c r="K92" i="4"/>
  <c r="J92" i="4"/>
  <c r="I92" i="4"/>
  <c r="H92" i="4"/>
  <c r="G92" i="4"/>
  <c r="F92" i="4"/>
  <c r="E92" i="4"/>
  <c r="D92" i="4"/>
  <c r="C92" i="4"/>
  <c r="B92" i="4"/>
  <c r="L91" i="4"/>
  <c r="K91" i="4"/>
  <c r="J91" i="4"/>
  <c r="I91" i="4"/>
  <c r="H91" i="4"/>
  <c r="G91" i="4"/>
  <c r="F91" i="4"/>
  <c r="E91" i="4"/>
  <c r="D91" i="4"/>
  <c r="C91" i="4"/>
  <c r="B91" i="4"/>
  <c r="L90" i="4"/>
  <c r="K90" i="4"/>
  <c r="J90" i="4"/>
  <c r="I90" i="4"/>
  <c r="H90" i="4"/>
  <c r="G90" i="4"/>
  <c r="F90" i="4"/>
  <c r="E90" i="4"/>
  <c r="D90" i="4"/>
  <c r="C90" i="4"/>
  <c r="B90" i="4"/>
  <c r="L89" i="4"/>
  <c r="K89" i="4"/>
  <c r="J89" i="4"/>
  <c r="I89" i="4"/>
  <c r="H89" i="4"/>
  <c r="G89" i="4"/>
  <c r="F89" i="4"/>
  <c r="E89" i="4"/>
  <c r="D89" i="4"/>
  <c r="C89" i="4"/>
  <c r="B89" i="4"/>
  <c r="L88" i="4"/>
  <c r="K88" i="4"/>
  <c r="J88" i="4"/>
  <c r="I88" i="4"/>
  <c r="H88" i="4"/>
  <c r="G88" i="4"/>
  <c r="F88" i="4"/>
  <c r="E88" i="4"/>
  <c r="D88" i="4"/>
  <c r="C88" i="4"/>
  <c r="B88" i="4"/>
  <c r="L87" i="4"/>
  <c r="K87" i="4"/>
  <c r="J87" i="4"/>
  <c r="I87" i="4"/>
  <c r="H87" i="4"/>
  <c r="G87" i="4"/>
  <c r="F87" i="4"/>
  <c r="E87" i="4"/>
  <c r="D87" i="4"/>
  <c r="C87" i="4"/>
  <c r="B87" i="4"/>
  <c r="L86" i="4"/>
  <c r="K86" i="4"/>
  <c r="J86" i="4"/>
  <c r="I86" i="4"/>
  <c r="H86" i="4"/>
  <c r="G86" i="4"/>
  <c r="F86" i="4"/>
  <c r="E86" i="4"/>
  <c r="D86" i="4"/>
  <c r="C86" i="4"/>
  <c r="B86" i="4"/>
  <c r="L85" i="4"/>
  <c r="K85" i="4"/>
  <c r="J85" i="4"/>
  <c r="I85" i="4"/>
  <c r="H85" i="4"/>
  <c r="G85" i="4"/>
  <c r="F85" i="4"/>
  <c r="E85" i="4"/>
  <c r="D85" i="4"/>
  <c r="C85" i="4"/>
  <c r="B85" i="4"/>
  <c r="L84" i="4"/>
  <c r="K84" i="4"/>
  <c r="J84" i="4"/>
  <c r="I84" i="4"/>
  <c r="H84" i="4"/>
  <c r="G84" i="4"/>
  <c r="F84" i="4"/>
  <c r="E84" i="4"/>
  <c r="D84" i="4"/>
  <c r="C84" i="4"/>
  <c r="B84" i="4"/>
  <c r="L83" i="4"/>
  <c r="K83" i="4"/>
  <c r="J83" i="4"/>
  <c r="I83" i="4"/>
  <c r="H83" i="4"/>
  <c r="G83" i="4"/>
  <c r="F83" i="4"/>
  <c r="E83" i="4"/>
  <c r="D83" i="4"/>
  <c r="C83" i="4"/>
  <c r="B83" i="4"/>
  <c r="L82" i="4"/>
  <c r="K82" i="4"/>
  <c r="J82" i="4"/>
  <c r="I82" i="4"/>
  <c r="H82" i="4"/>
  <c r="G82" i="4"/>
  <c r="F82" i="4"/>
  <c r="E82" i="4"/>
  <c r="D82" i="4"/>
  <c r="C82" i="4"/>
  <c r="B82" i="4"/>
  <c r="L81" i="4"/>
  <c r="K81" i="4"/>
  <c r="J81" i="4"/>
  <c r="I81" i="4"/>
  <c r="H81" i="4"/>
  <c r="G81" i="4"/>
  <c r="F81" i="4"/>
  <c r="E81" i="4"/>
  <c r="D81" i="4"/>
  <c r="C81" i="4"/>
  <c r="B81" i="4"/>
  <c r="L80" i="4"/>
  <c r="K80" i="4"/>
  <c r="J80" i="4"/>
  <c r="I80" i="4"/>
  <c r="H80" i="4"/>
  <c r="G80" i="4"/>
  <c r="F80" i="4"/>
  <c r="E80" i="4"/>
  <c r="D80" i="4"/>
  <c r="C80" i="4"/>
  <c r="B80" i="4"/>
  <c r="L79" i="4"/>
  <c r="K79" i="4"/>
  <c r="J79" i="4"/>
  <c r="I79" i="4"/>
  <c r="H79" i="4"/>
  <c r="G79" i="4"/>
  <c r="F79" i="4"/>
  <c r="E79" i="4"/>
  <c r="D79" i="4"/>
  <c r="C79" i="4"/>
  <c r="B79" i="4"/>
  <c r="L78" i="4"/>
  <c r="K78" i="4"/>
  <c r="J78" i="4"/>
  <c r="I78" i="4"/>
  <c r="H78" i="4"/>
  <c r="G78" i="4"/>
  <c r="F78" i="4"/>
  <c r="E78" i="4"/>
  <c r="D78" i="4"/>
  <c r="C78" i="4"/>
  <c r="B78" i="4"/>
  <c r="L77" i="4"/>
  <c r="K77" i="4"/>
  <c r="J77" i="4"/>
  <c r="I77" i="4"/>
  <c r="H77" i="4"/>
  <c r="G77" i="4"/>
  <c r="F77" i="4"/>
  <c r="E77" i="4"/>
  <c r="D77" i="4"/>
  <c r="C77" i="4"/>
  <c r="B77" i="4"/>
  <c r="L76" i="4"/>
  <c r="K76" i="4"/>
  <c r="J76" i="4"/>
  <c r="I76" i="4"/>
  <c r="H76" i="4"/>
  <c r="G76" i="4"/>
  <c r="F76" i="4"/>
  <c r="E76" i="4"/>
  <c r="D76" i="4"/>
  <c r="C76" i="4"/>
  <c r="B76" i="4"/>
  <c r="L75" i="4"/>
  <c r="K75" i="4"/>
  <c r="J75" i="4"/>
  <c r="I75" i="4"/>
  <c r="H75" i="4"/>
  <c r="G75" i="4"/>
  <c r="F75" i="4"/>
  <c r="E75" i="4"/>
  <c r="D75" i="4"/>
  <c r="C75" i="4"/>
  <c r="B75" i="4"/>
  <c r="L74" i="4"/>
  <c r="K74" i="4"/>
  <c r="J74" i="4"/>
  <c r="I74" i="4"/>
  <c r="H74" i="4"/>
  <c r="G74" i="4"/>
  <c r="F74" i="4"/>
  <c r="E74" i="4"/>
  <c r="D74" i="4"/>
  <c r="C74" i="4"/>
  <c r="B74" i="4"/>
  <c r="L73" i="4"/>
  <c r="K73" i="4"/>
  <c r="J73" i="4"/>
  <c r="I73" i="4"/>
  <c r="H73" i="4"/>
  <c r="G73" i="4"/>
  <c r="F73" i="4"/>
  <c r="E73" i="4"/>
  <c r="D73" i="4"/>
  <c r="C73" i="4"/>
  <c r="B73" i="4"/>
  <c r="L72" i="4"/>
  <c r="K72" i="4"/>
  <c r="J72" i="4"/>
  <c r="I72" i="4"/>
  <c r="H72" i="4"/>
  <c r="G72" i="4"/>
  <c r="F72" i="4"/>
  <c r="E72" i="4"/>
  <c r="D72" i="4"/>
  <c r="C72" i="4"/>
  <c r="B72" i="4"/>
  <c r="L71" i="4"/>
  <c r="K71" i="4"/>
  <c r="J71" i="4"/>
  <c r="I71" i="4"/>
  <c r="H71" i="4"/>
  <c r="G71" i="4"/>
  <c r="F71" i="4"/>
  <c r="E71" i="4"/>
  <c r="D71" i="4"/>
  <c r="C71" i="4"/>
  <c r="B71" i="4"/>
  <c r="L70" i="4"/>
  <c r="K70" i="4"/>
  <c r="J70" i="4"/>
  <c r="I70" i="4"/>
  <c r="H70" i="4"/>
  <c r="G70" i="4"/>
  <c r="F70" i="4"/>
  <c r="E70" i="4"/>
  <c r="D70" i="4"/>
  <c r="C70" i="4"/>
  <c r="B70" i="4"/>
  <c r="L69" i="4"/>
  <c r="K69" i="4"/>
  <c r="J69" i="4"/>
  <c r="I69" i="4"/>
  <c r="H69" i="4"/>
  <c r="G69" i="4"/>
  <c r="F69" i="4"/>
  <c r="E69" i="4"/>
  <c r="D69" i="4"/>
  <c r="C69" i="4"/>
  <c r="B69" i="4"/>
  <c r="L68" i="4"/>
  <c r="K68" i="4"/>
  <c r="J68" i="4"/>
  <c r="I68" i="4"/>
  <c r="H68" i="4"/>
  <c r="G68" i="4"/>
  <c r="F68" i="4"/>
  <c r="E68" i="4"/>
  <c r="D68" i="4"/>
  <c r="C68" i="4"/>
  <c r="B68" i="4"/>
  <c r="L67" i="4"/>
  <c r="K67" i="4"/>
  <c r="J67" i="4"/>
  <c r="I67" i="4"/>
  <c r="H67" i="4"/>
  <c r="G67" i="4"/>
  <c r="F67" i="4"/>
  <c r="E67" i="4"/>
  <c r="D67" i="4"/>
  <c r="C67" i="4"/>
  <c r="B67" i="4"/>
  <c r="L66" i="4"/>
  <c r="K66" i="4"/>
  <c r="J66" i="4"/>
  <c r="I66" i="4"/>
  <c r="H66" i="4"/>
  <c r="G66" i="4"/>
  <c r="F66" i="4"/>
  <c r="E66" i="4"/>
  <c r="D66" i="4"/>
  <c r="C66" i="4"/>
  <c r="B66" i="4"/>
  <c r="L65" i="4"/>
  <c r="K65" i="4"/>
  <c r="J65" i="4"/>
  <c r="I65" i="4"/>
  <c r="H65" i="4"/>
  <c r="G65" i="4"/>
  <c r="F65" i="4"/>
  <c r="E65" i="4"/>
  <c r="D65" i="4"/>
  <c r="C65" i="4"/>
  <c r="B65" i="4"/>
  <c r="L64" i="4"/>
  <c r="K64" i="4"/>
  <c r="J64" i="4"/>
  <c r="I64" i="4"/>
  <c r="H64" i="4"/>
  <c r="G64" i="4"/>
  <c r="F64" i="4"/>
  <c r="E64" i="4"/>
  <c r="D64" i="4"/>
  <c r="C64" i="4"/>
  <c r="B64" i="4"/>
  <c r="L63" i="4"/>
  <c r="K63" i="4"/>
  <c r="J63" i="4"/>
  <c r="I63" i="4"/>
  <c r="H63" i="4"/>
  <c r="G63" i="4"/>
  <c r="F63" i="4"/>
  <c r="E63" i="4"/>
  <c r="D63" i="4"/>
  <c r="C63" i="4"/>
  <c r="B63" i="4"/>
  <c r="L62" i="4"/>
  <c r="K62" i="4"/>
  <c r="J62" i="4"/>
  <c r="I62" i="4"/>
  <c r="H62" i="4"/>
  <c r="G62" i="4"/>
  <c r="F62" i="4"/>
  <c r="E62" i="4"/>
  <c r="D62" i="4"/>
  <c r="C62" i="4"/>
  <c r="B62" i="4"/>
  <c r="L61" i="4"/>
  <c r="K61" i="4"/>
  <c r="J61" i="4"/>
  <c r="H61" i="4"/>
  <c r="G61" i="4"/>
  <c r="F61" i="4"/>
  <c r="E61" i="4"/>
  <c r="D61" i="4"/>
  <c r="C61" i="4"/>
  <c r="B61" i="4"/>
  <c r="L60" i="4"/>
  <c r="K60" i="4"/>
  <c r="J60" i="4"/>
  <c r="I60" i="4"/>
  <c r="H60" i="4"/>
  <c r="G60" i="4"/>
  <c r="F60" i="4"/>
  <c r="E60" i="4"/>
  <c r="D60" i="4"/>
  <c r="C60" i="4"/>
  <c r="B60" i="4"/>
  <c r="L59" i="4"/>
  <c r="K59" i="4"/>
  <c r="J59" i="4"/>
  <c r="I59" i="4"/>
  <c r="H59" i="4"/>
  <c r="G59" i="4"/>
  <c r="F59" i="4"/>
  <c r="E59" i="4"/>
  <c r="D59" i="4"/>
  <c r="C59" i="4"/>
  <c r="B59" i="4"/>
  <c r="L58" i="4"/>
  <c r="K58" i="4"/>
  <c r="J58" i="4"/>
  <c r="I58" i="4"/>
  <c r="H58" i="4"/>
  <c r="G58" i="4"/>
  <c r="F58" i="4"/>
  <c r="E58" i="4"/>
  <c r="D58" i="4"/>
  <c r="C58" i="4"/>
  <c r="B58" i="4"/>
  <c r="L57" i="4"/>
  <c r="K57" i="4"/>
  <c r="J57" i="4"/>
  <c r="I57" i="4"/>
  <c r="H57" i="4"/>
  <c r="G57" i="4"/>
  <c r="F57" i="4"/>
  <c r="E57" i="4"/>
  <c r="D57" i="4"/>
  <c r="C57" i="4"/>
  <c r="B57" i="4"/>
  <c r="L56" i="4"/>
  <c r="K56" i="4"/>
  <c r="J56" i="4"/>
  <c r="I56" i="4"/>
  <c r="H56" i="4"/>
  <c r="G56" i="4"/>
  <c r="F56" i="4"/>
  <c r="E56" i="4"/>
  <c r="D56" i="4"/>
  <c r="C56" i="4"/>
  <c r="B56" i="4"/>
  <c r="L55" i="4"/>
  <c r="K55" i="4"/>
  <c r="J55" i="4"/>
  <c r="I55" i="4"/>
  <c r="H55" i="4"/>
  <c r="G55" i="4"/>
  <c r="F55" i="4"/>
  <c r="E55" i="4"/>
  <c r="D55" i="4"/>
  <c r="C55" i="4"/>
  <c r="B55" i="4"/>
  <c r="L54" i="4"/>
  <c r="K54" i="4"/>
  <c r="J54" i="4"/>
  <c r="I54" i="4"/>
  <c r="H54" i="4"/>
  <c r="G54" i="4"/>
  <c r="F54" i="4"/>
  <c r="E54" i="4"/>
  <c r="D54" i="4"/>
  <c r="C54" i="4"/>
  <c r="B54" i="4"/>
  <c r="L53" i="4"/>
  <c r="K53" i="4"/>
  <c r="J53" i="4"/>
  <c r="I53" i="4"/>
  <c r="H53" i="4"/>
  <c r="G53" i="4"/>
  <c r="F53" i="4"/>
  <c r="E53" i="4"/>
  <c r="D53" i="4"/>
  <c r="C53" i="4"/>
  <c r="B53" i="4"/>
  <c r="L52" i="4"/>
  <c r="K52" i="4"/>
  <c r="J52" i="4"/>
  <c r="I52" i="4"/>
  <c r="H52" i="4"/>
  <c r="G52" i="4"/>
  <c r="F52" i="4"/>
  <c r="E52" i="4"/>
  <c r="D52" i="4"/>
  <c r="C52" i="4"/>
  <c r="B52" i="4"/>
  <c r="L51" i="4"/>
  <c r="K51" i="4"/>
  <c r="J51" i="4"/>
  <c r="I51" i="4"/>
  <c r="H51" i="4"/>
  <c r="G51" i="4"/>
  <c r="F51" i="4"/>
  <c r="E51" i="4"/>
  <c r="D51" i="4"/>
  <c r="C51" i="4"/>
  <c r="B51" i="4"/>
  <c r="L50" i="4"/>
  <c r="K50" i="4"/>
  <c r="J50" i="4"/>
  <c r="I50" i="4"/>
  <c r="H50" i="4"/>
  <c r="G50" i="4"/>
  <c r="F50" i="4"/>
  <c r="E50" i="4"/>
  <c r="D50" i="4"/>
  <c r="C50" i="4"/>
  <c r="B50" i="4"/>
  <c r="L49" i="4"/>
  <c r="K49" i="4"/>
  <c r="J49" i="4"/>
  <c r="I49" i="4"/>
  <c r="H49" i="4"/>
  <c r="G49" i="4"/>
  <c r="F49" i="4"/>
  <c r="E49" i="4"/>
  <c r="D49" i="4"/>
  <c r="C49" i="4"/>
  <c r="B49" i="4"/>
  <c r="L48" i="4"/>
  <c r="K48" i="4"/>
  <c r="J48" i="4"/>
  <c r="I48" i="4"/>
  <c r="H48" i="4"/>
  <c r="G48" i="4"/>
  <c r="F48" i="4"/>
  <c r="E48" i="4"/>
  <c r="D48" i="4"/>
  <c r="C48" i="4"/>
  <c r="B48" i="4"/>
  <c r="L47" i="4"/>
  <c r="K47" i="4"/>
  <c r="J47" i="4"/>
  <c r="I47" i="4"/>
  <c r="H47" i="4"/>
  <c r="G47" i="4"/>
  <c r="F47" i="4"/>
  <c r="E47" i="4"/>
  <c r="D47" i="4"/>
  <c r="C47" i="4"/>
  <c r="B47" i="4"/>
  <c r="L46" i="4"/>
  <c r="K46" i="4"/>
  <c r="J46" i="4"/>
  <c r="I46" i="4"/>
  <c r="H46" i="4"/>
  <c r="G46" i="4"/>
  <c r="F46" i="4"/>
  <c r="E46" i="4"/>
  <c r="D46" i="4"/>
  <c r="C46" i="4"/>
  <c r="B46" i="4"/>
  <c r="L45" i="4"/>
  <c r="K45" i="4"/>
  <c r="J45" i="4"/>
  <c r="I45" i="4"/>
  <c r="H45" i="4"/>
  <c r="G45" i="4"/>
  <c r="F45" i="4"/>
  <c r="E45" i="4"/>
  <c r="D45" i="4"/>
  <c r="C45" i="4"/>
  <c r="B45" i="4"/>
  <c r="L44" i="4"/>
  <c r="K44" i="4"/>
  <c r="J44" i="4"/>
  <c r="I44" i="4"/>
  <c r="H44" i="4"/>
  <c r="G44" i="4"/>
  <c r="F44" i="4"/>
  <c r="E44" i="4"/>
  <c r="D44" i="4"/>
  <c r="C44" i="4"/>
  <c r="B44" i="4"/>
  <c r="L43" i="4"/>
  <c r="K43" i="4"/>
  <c r="J43" i="4"/>
  <c r="I43" i="4"/>
  <c r="H43" i="4"/>
  <c r="G43" i="4"/>
  <c r="F43" i="4"/>
  <c r="E43" i="4"/>
  <c r="D43" i="4"/>
  <c r="C43" i="4"/>
  <c r="B43" i="4"/>
  <c r="L42" i="4"/>
  <c r="K42" i="4"/>
  <c r="J42" i="4"/>
  <c r="I42" i="4"/>
  <c r="H42" i="4"/>
  <c r="G42" i="4"/>
  <c r="F42" i="4"/>
  <c r="E42" i="4"/>
  <c r="D42" i="4"/>
  <c r="C42" i="4"/>
  <c r="B42" i="4"/>
  <c r="L41" i="4"/>
  <c r="K41" i="4"/>
  <c r="J41" i="4"/>
  <c r="I41" i="4"/>
  <c r="H41" i="4"/>
  <c r="G41" i="4"/>
  <c r="F41" i="4"/>
  <c r="E41" i="4"/>
  <c r="D41" i="4"/>
  <c r="C41" i="4"/>
  <c r="B41" i="4"/>
  <c r="L40" i="4"/>
  <c r="K40" i="4"/>
  <c r="J40" i="4"/>
  <c r="I40" i="4"/>
  <c r="H40" i="4"/>
  <c r="G40" i="4"/>
  <c r="F40" i="4"/>
  <c r="E40" i="4"/>
  <c r="D40" i="4"/>
  <c r="C40" i="4"/>
  <c r="B40" i="4"/>
  <c r="L39" i="4"/>
  <c r="K39" i="4"/>
  <c r="J39" i="4"/>
  <c r="I39" i="4"/>
  <c r="H39" i="4"/>
  <c r="G39" i="4"/>
  <c r="F39" i="4"/>
  <c r="E39" i="4"/>
  <c r="D39" i="4"/>
  <c r="C39" i="4"/>
  <c r="B39" i="4"/>
  <c r="L38" i="4"/>
  <c r="K38" i="4"/>
  <c r="J38" i="4"/>
  <c r="I38" i="4"/>
  <c r="H38" i="4"/>
  <c r="G38" i="4"/>
  <c r="F38" i="4"/>
  <c r="E38" i="4"/>
  <c r="D38" i="4"/>
  <c r="C38" i="4"/>
  <c r="B38" i="4"/>
  <c r="L37" i="4"/>
  <c r="K37" i="4"/>
  <c r="J37" i="4"/>
  <c r="I37" i="4"/>
  <c r="H37" i="4"/>
  <c r="G37" i="4"/>
  <c r="F37" i="4"/>
  <c r="E37" i="4"/>
  <c r="D37" i="4"/>
  <c r="C37" i="4"/>
  <c r="B37" i="4"/>
  <c r="L36" i="4"/>
  <c r="K36" i="4"/>
  <c r="J36" i="4"/>
  <c r="I36" i="4"/>
  <c r="H36" i="4"/>
  <c r="G36" i="4"/>
  <c r="F36" i="4"/>
  <c r="E36" i="4"/>
  <c r="D36" i="4"/>
  <c r="C36" i="4"/>
  <c r="B36" i="4"/>
  <c r="L35" i="4"/>
  <c r="K35" i="4"/>
  <c r="J35" i="4"/>
  <c r="I35" i="4"/>
  <c r="H35" i="4"/>
  <c r="G35" i="4"/>
  <c r="F35" i="4"/>
  <c r="E35" i="4"/>
  <c r="D35" i="4"/>
  <c r="C35" i="4"/>
  <c r="B35" i="4"/>
  <c r="L34" i="4"/>
  <c r="K34" i="4"/>
  <c r="J34" i="4"/>
  <c r="I34" i="4"/>
  <c r="H34" i="4"/>
  <c r="G34" i="4"/>
  <c r="F34" i="4"/>
  <c r="E34" i="4"/>
  <c r="D34" i="4"/>
  <c r="C34" i="4"/>
  <c r="B34" i="4"/>
  <c r="L33" i="4"/>
  <c r="K33" i="4"/>
  <c r="J33" i="4"/>
  <c r="I33" i="4"/>
  <c r="H33" i="4"/>
  <c r="G33" i="4"/>
  <c r="F33" i="4"/>
  <c r="E33" i="4"/>
  <c r="D33" i="4"/>
  <c r="C33" i="4"/>
  <c r="B33" i="4"/>
  <c r="L32" i="4"/>
  <c r="K32" i="4"/>
  <c r="J32" i="4"/>
  <c r="I32" i="4"/>
  <c r="H32" i="4"/>
  <c r="G32" i="4"/>
  <c r="F32" i="4"/>
  <c r="E32" i="4"/>
  <c r="D32" i="4"/>
  <c r="C32" i="4"/>
  <c r="B32" i="4"/>
  <c r="L31" i="4"/>
  <c r="K31" i="4"/>
  <c r="J31" i="4"/>
  <c r="I31" i="4"/>
  <c r="H31" i="4"/>
  <c r="G31" i="4"/>
  <c r="F31" i="4"/>
  <c r="E31" i="4"/>
  <c r="D31" i="4"/>
  <c r="C31" i="4"/>
  <c r="B31" i="4"/>
  <c r="L30" i="4"/>
  <c r="K30" i="4"/>
  <c r="J30" i="4"/>
  <c r="I30" i="4"/>
  <c r="H30" i="4"/>
  <c r="G30" i="4"/>
  <c r="F30" i="4"/>
  <c r="E30" i="4"/>
  <c r="D30" i="4"/>
  <c r="C30" i="4"/>
  <c r="B30" i="4"/>
  <c r="L29" i="4"/>
  <c r="K29" i="4"/>
  <c r="J29" i="4"/>
  <c r="I29" i="4"/>
  <c r="H29" i="4"/>
  <c r="G29" i="4"/>
  <c r="F29" i="4"/>
  <c r="E29" i="4"/>
  <c r="D29" i="4"/>
  <c r="C29" i="4"/>
  <c r="B29" i="4"/>
  <c r="L28" i="4"/>
  <c r="K28" i="4"/>
  <c r="J28" i="4"/>
  <c r="I28" i="4"/>
  <c r="H28" i="4"/>
  <c r="G28" i="4"/>
  <c r="F28" i="4"/>
  <c r="E28" i="4"/>
  <c r="D28" i="4"/>
  <c r="C28" i="4"/>
  <c r="B28" i="4"/>
  <c r="L27" i="4"/>
  <c r="K27" i="4"/>
  <c r="J27" i="4"/>
  <c r="I27" i="4"/>
  <c r="H27" i="4"/>
  <c r="G27" i="4"/>
  <c r="F27" i="4"/>
  <c r="E27" i="4"/>
  <c r="D27" i="4"/>
  <c r="C27" i="4"/>
  <c r="B27" i="4"/>
  <c r="L26" i="4"/>
  <c r="K26" i="4"/>
  <c r="J26" i="4"/>
  <c r="I26" i="4"/>
  <c r="H26" i="4"/>
  <c r="G26" i="4"/>
  <c r="F26" i="4"/>
  <c r="E26" i="4"/>
  <c r="D26" i="4"/>
  <c r="C26" i="4"/>
  <c r="B26" i="4"/>
  <c r="L25" i="4"/>
  <c r="K25" i="4"/>
  <c r="J25" i="4"/>
  <c r="I25" i="4"/>
  <c r="H25" i="4"/>
  <c r="G25" i="4"/>
  <c r="F25" i="4"/>
  <c r="E25" i="4"/>
  <c r="D25" i="4"/>
  <c r="C25" i="4"/>
  <c r="B25" i="4"/>
  <c r="L24" i="4"/>
  <c r="K24" i="4"/>
  <c r="J24" i="4"/>
  <c r="I24" i="4"/>
  <c r="H24" i="4"/>
  <c r="G24" i="4"/>
  <c r="F24" i="4"/>
  <c r="E24" i="4"/>
  <c r="D24" i="4"/>
  <c r="C24" i="4"/>
  <c r="B24" i="4"/>
  <c r="L23" i="4"/>
  <c r="K23" i="4"/>
  <c r="J23" i="4"/>
  <c r="I23" i="4"/>
  <c r="H23" i="4"/>
  <c r="G23" i="4"/>
  <c r="F23" i="4"/>
  <c r="E23" i="4"/>
  <c r="D23" i="4"/>
  <c r="C23" i="4"/>
  <c r="B23" i="4"/>
  <c r="L22" i="4"/>
  <c r="K22" i="4"/>
  <c r="J22" i="4"/>
  <c r="I22" i="4"/>
  <c r="H22" i="4"/>
  <c r="G22" i="4"/>
  <c r="F22" i="4"/>
  <c r="E22" i="4"/>
  <c r="D22" i="4"/>
  <c r="C22" i="4"/>
  <c r="B22" i="4"/>
  <c r="L21" i="4"/>
  <c r="K21" i="4"/>
  <c r="J21" i="4"/>
  <c r="I21" i="4"/>
  <c r="H21" i="4"/>
  <c r="G21" i="4"/>
  <c r="F21" i="4"/>
  <c r="E21" i="4"/>
  <c r="D21" i="4"/>
  <c r="C21" i="4"/>
  <c r="B21" i="4"/>
  <c r="L20" i="4"/>
  <c r="K20" i="4"/>
  <c r="J20" i="4"/>
  <c r="I20" i="4"/>
  <c r="H20" i="4"/>
  <c r="G20" i="4"/>
  <c r="F20" i="4"/>
  <c r="E20" i="4"/>
  <c r="D20" i="4"/>
  <c r="C20" i="4"/>
  <c r="B20" i="4"/>
  <c r="L19" i="4"/>
  <c r="K19" i="4"/>
  <c r="J19" i="4"/>
  <c r="I19" i="4"/>
  <c r="H19" i="4"/>
  <c r="G19" i="4"/>
  <c r="F19" i="4"/>
  <c r="E19" i="4"/>
  <c r="D19" i="4"/>
  <c r="C19" i="4"/>
  <c r="B19" i="4"/>
  <c r="L18" i="4"/>
  <c r="K18" i="4"/>
  <c r="J18" i="4"/>
  <c r="I18" i="4"/>
  <c r="H18" i="4"/>
  <c r="G18" i="4"/>
  <c r="F18" i="4"/>
  <c r="E18" i="4"/>
  <c r="D18" i="4"/>
  <c r="C18" i="4"/>
  <c r="B18" i="4"/>
  <c r="K17" i="4"/>
  <c r="J17" i="4"/>
  <c r="I17" i="4"/>
  <c r="H17" i="4"/>
  <c r="G17" i="4"/>
  <c r="E17" i="4"/>
  <c r="D17" i="4"/>
  <c r="C17" i="4"/>
  <c r="B17" i="4"/>
  <c r="L16" i="4"/>
  <c r="K16" i="4"/>
  <c r="J16" i="4"/>
  <c r="I16" i="4"/>
  <c r="H16" i="4"/>
  <c r="G16" i="4"/>
  <c r="F16" i="4"/>
  <c r="E16" i="4"/>
  <c r="D16" i="4"/>
  <c r="C16" i="4"/>
  <c r="B16" i="4"/>
  <c r="L15" i="4"/>
  <c r="K15" i="4"/>
  <c r="J15" i="4"/>
  <c r="I15" i="4"/>
  <c r="H15" i="4"/>
  <c r="G15" i="4"/>
  <c r="F15" i="4"/>
  <c r="E15" i="4"/>
  <c r="D15" i="4"/>
  <c r="C15" i="4"/>
  <c r="B15" i="4"/>
  <c r="L14" i="4"/>
  <c r="K14" i="4"/>
  <c r="J14" i="4"/>
  <c r="I14" i="4"/>
  <c r="H14" i="4"/>
  <c r="G14" i="4"/>
  <c r="F14" i="4"/>
  <c r="E14" i="4"/>
  <c r="D14" i="4"/>
  <c r="C14" i="4"/>
  <c r="B14" i="4"/>
  <c r="L13" i="4"/>
  <c r="K13" i="4"/>
  <c r="J13" i="4"/>
  <c r="I13" i="4"/>
  <c r="H13" i="4"/>
  <c r="G13" i="4"/>
  <c r="F13" i="4"/>
  <c r="E13" i="4"/>
  <c r="D13" i="4"/>
  <c r="C13" i="4"/>
  <c r="B13" i="4"/>
  <c r="L12" i="4"/>
  <c r="K12" i="4"/>
  <c r="J12" i="4"/>
  <c r="I12" i="4"/>
  <c r="H12" i="4"/>
  <c r="G12" i="4"/>
  <c r="F12" i="4"/>
  <c r="E12" i="4"/>
  <c r="D12" i="4"/>
  <c r="C12" i="4"/>
  <c r="B12" i="4"/>
  <c r="L11" i="4"/>
  <c r="K11" i="4"/>
  <c r="J11" i="4"/>
  <c r="I11" i="4"/>
  <c r="H11" i="4"/>
  <c r="G11" i="4"/>
  <c r="F11" i="4"/>
  <c r="E11" i="4"/>
  <c r="D11" i="4"/>
  <c r="C11" i="4"/>
  <c r="B11" i="4"/>
  <c r="L10" i="4"/>
  <c r="K10" i="4"/>
  <c r="J10" i="4"/>
  <c r="I10" i="4"/>
  <c r="H10" i="4"/>
  <c r="G10" i="4"/>
  <c r="F10" i="4"/>
  <c r="E10" i="4"/>
  <c r="D10" i="4"/>
  <c r="C10" i="4"/>
  <c r="B10" i="4"/>
  <c r="L9" i="4"/>
  <c r="K9" i="4"/>
  <c r="J9" i="4"/>
  <c r="I9" i="4"/>
  <c r="H9" i="4"/>
  <c r="G9" i="4"/>
  <c r="F9" i="4"/>
  <c r="E9" i="4"/>
  <c r="D9" i="4"/>
  <c r="C9" i="4"/>
  <c r="B9" i="4"/>
  <c r="L8" i="4"/>
  <c r="K8" i="4"/>
  <c r="J8" i="4"/>
  <c r="I8" i="4"/>
  <c r="H8" i="4"/>
  <c r="G8" i="4"/>
  <c r="F8" i="4"/>
  <c r="E8" i="4"/>
  <c r="D8" i="4"/>
  <c r="C8" i="4"/>
  <c r="B8" i="4"/>
  <c r="L7" i="4"/>
  <c r="K7" i="4"/>
  <c r="J7" i="4"/>
  <c r="I7" i="4"/>
  <c r="H7" i="4"/>
  <c r="G7" i="4"/>
  <c r="F7" i="4"/>
  <c r="E7" i="4"/>
  <c r="D7" i="4"/>
  <c r="C7" i="4"/>
  <c r="B7" i="4"/>
  <c r="L6" i="4"/>
  <c r="K6" i="4"/>
  <c r="J6" i="4"/>
  <c r="I6" i="4"/>
  <c r="H6" i="4"/>
  <c r="G6" i="4"/>
  <c r="F6" i="4"/>
  <c r="E6" i="4"/>
  <c r="D6" i="4"/>
  <c r="C6" i="4"/>
  <c r="B6" i="4"/>
  <c r="L5" i="4"/>
  <c r="K5" i="4"/>
  <c r="J5" i="4"/>
  <c r="I5" i="4"/>
  <c r="H5" i="4"/>
  <c r="G5" i="4"/>
  <c r="F5" i="4"/>
  <c r="E5" i="4"/>
  <c r="D5" i="4"/>
  <c r="C5" i="4"/>
  <c r="B5" i="4"/>
  <c r="L4" i="4"/>
  <c r="K4" i="4"/>
  <c r="J4" i="4"/>
  <c r="I4" i="4"/>
  <c r="H4" i="4"/>
  <c r="G4" i="4"/>
  <c r="F4" i="4"/>
  <c r="E4" i="4"/>
  <c r="D4" i="4"/>
  <c r="C4" i="4"/>
  <c r="B4" i="4"/>
  <c r="L3" i="4"/>
  <c r="K3" i="4"/>
  <c r="J3" i="4"/>
  <c r="I3" i="4"/>
  <c r="H3" i="4"/>
  <c r="G3" i="4"/>
  <c r="F3" i="4"/>
  <c r="E3" i="4"/>
  <c r="D3" i="4"/>
  <c r="C3" i="4"/>
  <c r="B3" i="4"/>
  <c r="L2" i="4"/>
  <c r="K2" i="4"/>
  <c r="J2" i="4"/>
  <c r="I2" i="4"/>
  <c r="H2" i="4"/>
  <c r="G2" i="4"/>
  <c r="F2" i="4"/>
  <c r="E2" i="4"/>
  <c r="D2" i="4"/>
  <c r="C2" i="4"/>
  <c r="B2" i="4"/>
  <c r="J127" i="2"/>
  <c r="J126" i="2"/>
  <c r="J125" i="2"/>
  <c r="J124" i="2"/>
  <c r="J123" i="2"/>
  <c r="I123" i="2"/>
  <c r="J122" i="2"/>
  <c r="I122" i="2"/>
  <c r="K121" i="2"/>
  <c r="I121" i="2"/>
  <c r="J120" i="2"/>
  <c r="I120" i="2"/>
  <c r="K119" i="2"/>
  <c r="J119" i="2"/>
  <c r="I119" i="2"/>
  <c r="J118" i="2"/>
  <c r="J117" i="2"/>
  <c r="I117" i="2"/>
  <c r="J116" i="2"/>
  <c r="I116" i="2"/>
  <c r="J115" i="2"/>
  <c r="I115" i="2"/>
  <c r="K114" i="2"/>
  <c r="J114" i="2"/>
  <c r="I114" i="2"/>
  <c r="J113" i="2"/>
  <c r="I113" i="2"/>
  <c r="I112" i="2"/>
  <c r="J111" i="2"/>
  <c r="I111" i="2"/>
  <c r="J110" i="2"/>
  <c r="J109" i="2"/>
  <c r="I108" i="2"/>
  <c r="J107" i="2"/>
  <c r="I107" i="2"/>
  <c r="J106" i="2"/>
  <c r="I106" i="2"/>
  <c r="J105" i="2"/>
  <c r="I105" i="2"/>
  <c r="K104" i="2"/>
  <c r="I104" i="2"/>
  <c r="K103" i="2"/>
  <c r="J103" i="2"/>
  <c r="I103" i="2"/>
  <c r="J102" i="2"/>
  <c r="I102" i="2"/>
  <c r="J101" i="2"/>
  <c r="I101" i="2"/>
  <c r="K100" i="2"/>
  <c r="J100" i="2"/>
  <c r="I100" i="2"/>
  <c r="K99" i="2"/>
  <c r="J99" i="2"/>
  <c r="I99" i="2"/>
  <c r="J98" i="2"/>
  <c r="I98" i="2"/>
  <c r="J97" i="2"/>
  <c r="I97" i="2"/>
  <c r="J96" i="2"/>
  <c r="I96" i="2"/>
  <c r="J95" i="2"/>
  <c r="I95" i="2"/>
  <c r="K94" i="2"/>
  <c r="J94" i="2"/>
  <c r="I94" i="2"/>
  <c r="J93" i="2"/>
  <c r="I93" i="2"/>
  <c r="K92" i="2"/>
  <c r="J92" i="2"/>
  <c r="I92" i="2"/>
  <c r="J91" i="2"/>
  <c r="I91" i="2"/>
  <c r="J90" i="2"/>
  <c r="I90" i="2"/>
  <c r="J89" i="2"/>
  <c r="I89" i="2"/>
  <c r="J88" i="2"/>
  <c r="I88" i="2"/>
  <c r="I86" i="2"/>
  <c r="J85" i="2"/>
  <c r="I85" i="2"/>
  <c r="K84" i="2"/>
  <c r="J84" i="2"/>
  <c r="I84" i="2"/>
  <c r="J83" i="2"/>
  <c r="I83" i="2"/>
  <c r="K82" i="2"/>
  <c r="J82" i="2"/>
  <c r="I82" i="2"/>
  <c r="K81" i="2"/>
  <c r="J81" i="2"/>
  <c r="I81" i="2"/>
  <c r="K80" i="2"/>
  <c r="J80" i="2"/>
  <c r="I80" i="2"/>
  <c r="K79" i="2"/>
  <c r="J79" i="2"/>
  <c r="I79" i="2"/>
  <c r="J78" i="2"/>
  <c r="I78" i="2"/>
  <c r="I77" i="2"/>
  <c r="J76" i="2"/>
  <c r="I76" i="2"/>
  <c r="J75" i="2"/>
  <c r="I75" i="2"/>
  <c r="J74" i="2"/>
  <c r="K73" i="2"/>
  <c r="J73" i="2"/>
  <c r="I73" i="2"/>
  <c r="K72" i="2"/>
  <c r="J72" i="2"/>
  <c r="I72" i="2"/>
  <c r="K71" i="2"/>
  <c r="J71" i="2"/>
  <c r="I71" i="2"/>
  <c r="K70" i="2"/>
  <c r="J70" i="2"/>
  <c r="I70" i="2"/>
  <c r="K69" i="2"/>
  <c r="J69" i="2"/>
  <c r="I69" i="2"/>
  <c r="J68" i="2"/>
  <c r="J67" i="2"/>
  <c r="I66" i="2"/>
  <c r="I64" i="2"/>
  <c r="J63" i="2"/>
  <c r="J62" i="2"/>
  <c r="I62" i="2"/>
  <c r="K60" i="2"/>
  <c r="J60" i="2"/>
  <c r="I60" i="2"/>
  <c r="K59" i="2"/>
  <c r="J59" i="2"/>
  <c r="I59" i="2"/>
  <c r="J58" i="2"/>
  <c r="I58" i="2"/>
  <c r="J57" i="2"/>
  <c r="K56" i="2"/>
  <c r="J56" i="2"/>
  <c r="I56" i="2"/>
  <c r="K55" i="2"/>
  <c r="J55" i="2"/>
  <c r="K54" i="2"/>
  <c r="J54" i="2"/>
  <c r="I54" i="2"/>
  <c r="K53" i="2"/>
  <c r="K52" i="2"/>
  <c r="J52" i="2"/>
  <c r="J51" i="2"/>
  <c r="K50" i="2"/>
  <c r="J50" i="2"/>
  <c r="I50" i="2"/>
  <c r="K49" i="2"/>
  <c r="J49" i="2"/>
  <c r="J48" i="2"/>
  <c r="J47" i="2"/>
  <c r="K45" i="2"/>
  <c r="J45" i="2"/>
  <c r="J44" i="2"/>
  <c r="J43" i="2"/>
  <c r="K42" i="2"/>
  <c r="J42" i="2"/>
  <c r="J41" i="2"/>
  <c r="K40" i="2"/>
  <c r="J40" i="2"/>
  <c r="K39" i="2"/>
  <c r="J39" i="2"/>
  <c r="K38" i="2"/>
  <c r="J36" i="2"/>
  <c r="K35" i="2"/>
  <c r="J35" i="2"/>
  <c r="K34" i="2"/>
  <c r="J34" i="2"/>
  <c r="K33" i="2"/>
  <c r="J33" i="2"/>
  <c r="K32" i="2"/>
  <c r="J32" i="2"/>
  <c r="K31" i="2"/>
  <c r="J31" i="2"/>
  <c r="J30" i="2"/>
  <c r="J29" i="2"/>
  <c r="I29" i="2"/>
  <c r="K28" i="2"/>
  <c r="J28" i="2"/>
  <c r="K27" i="2"/>
  <c r="J27" i="2"/>
  <c r="J26" i="2"/>
  <c r="K25" i="2"/>
  <c r="J25" i="2"/>
  <c r="K24" i="2"/>
  <c r="J24" i="2"/>
  <c r="J23" i="2"/>
  <c r="J22" i="2"/>
  <c r="K21" i="2"/>
  <c r="J21" i="2"/>
  <c r="J20" i="2"/>
  <c r="K19" i="2"/>
  <c r="J19" i="2"/>
  <c r="J18" i="2"/>
  <c r="J17" i="2"/>
  <c r="I17" i="2"/>
  <c r="J16" i="2"/>
  <c r="K15" i="2"/>
  <c r="J15" i="2"/>
  <c r="J14" i="2"/>
  <c r="J13" i="2"/>
  <c r="J12" i="2"/>
  <c r="K11" i="2"/>
  <c r="J11" i="2"/>
  <c r="J10" i="2"/>
  <c r="AC126" i="1"/>
  <c r="U126" i="1"/>
  <c r="S126" i="1"/>
  <c r="AC125" i="1"/>
  <c r="U125" i="1"/>
  <c r="S125" i="1"/>
  <c r="AC124" i="1"/>
  <c r="U124" i="1"/>
  <c r="S124" i="1"/>
  <c r="AC123" i="1"/>
  <c r="U123" i="1"/>
  <c r="S123" i="1"/>
  <c r="AC122" i="1"/>
  <c r="U122" i="1"/>
  <c r="S122" i="1"/>
  <c r="AC121" i="1"/>
  <c r="U121" i="1"/>
  <c r="S121" i="1"/>
  <c r="AC120" i="1"/>
  <c r="AA120" i="1"/>
  <c r="U120" i="1"/>
  <c r="S120" i="1"/>
  <c r="U119" i="1"/>
  <c r="S119" i="1"/>
  <c r="AC118" i="1"/>
  <c r="U118" i="1"/>
  <c r="S118" i="1"/>
  <c r="AC117" i="1"/>
  <c r="U117" i="1"/>
  <c r="S117" i="1"/>
  <c r="AC116" i="1"/>
  <c r="U116" i="1"/>
  <c r="S116" i="1"/>
  <c r="AC115" i="1"/>
  <c r="U115" i="1"/>
  <c r="S115" i="1"/>
  <c r="AC114" i="1"/>
  <c r="U114" i="1"/>
  <c r="S114" i="1"/>
  <c r="AC113" i="1"/>
  <c r="AA113" i="1"/>
  <c r="U113" i="1"/>
  <c r="S113" i="1"/>
  <c r="AC112" i="1"/>
  <c r="U112" i="1"/>
  <c r="S112" i="1"/>
  <c r="AC111" i="1"/>
  <c r="U111" i="1"/>
  <c r="S111" i="1"/>
  <c r="AC110" i="1"/>
  <c r="U110" i="1"/>
  <c r="S110" i="1"/>
  <c r="AC109" i="1"/>
  <c r="U109" i="1"/>
  <c r="S109" i="1"/>
  <c r="U108" i="1"/>
  <c r="S108" i="1"/>
  <c r="AC107" i="1"/>
  <c r="U107" i="1"/>
  <c r="S107" i="1"/>
  <c r="AC106" i="1"/>
  <c r="U106" i="1"/>
  <c r="S106" i="1"/>
  <c r="AC105" i="1"/>
  <c r="AA105" i="1"/>
  <c r="U105" i="1"/>
  <c r="AC104" i="1"/>
  <c r="AA104" i="1"/>
  <c r="U104" i="1"/>
  <c r="S104" i="1"/>
  <c r="AC103" i="1"/>
  <c r="AA103" i="1"/>
  <c r="U103" i="1"/>
  <c r="S103" i="1"/>
  <c r="AC102" i="1"/>
  <c r="AA102" i="1"/>
  <c r="U102" i="1"/>
  <c r="S102" i="1"/>
  <c r="U101" i="1"/>
  <c r="S101" i="1"/>
  <c r="AC100" i="1"/>
  <c r="AA100" i="1"/>
  <c r="U100" i="1"/>
  <c r="S100" i="1"/>
  <c r="AC99" i="1"/>
  <c r="AA99" i="1"/>
  <c r="U99" i="1"/>
  <c r="S99" i="1"/>
  <c r="AC98" i="1"/>
  <c r="AA98" i="1"/>
  <c r="U98" i="1"/>
  <c r="S98" i="1"/>
  <c r="AC97" i="1"/>
  <c r="AA97" i="1"/>
  <c r="U97" i="1"/>
  <c r="S97" i="1"/>
  <c r="AC96" i="1"/>
  <c r="AA96" i="1"/>
  <c r="U96" i="1"/>
  <c r="S96" i="1"/>
  <c r="AC95" i="1"/>
  <c r="AA95" i="1"/>
  <c r="U95" i="1"/>
  <c r="S95" i="1"/>
  <c r="AC94" i="1"/>
  <c r="AA94" i="1"/>
  <c r="U94" i="1"/>
  <c r="S94" i="1"/>
  <c r="AC93" i="1"/>
  <c r="AA93" i="1"/>
  <c r="U93" i="1"/>
  <c r="S93" i="1"/>
  <c r="AC92" i="1"/>
  <c r="AA92" i="1"/>
  <c r="U92" i="1"/>
  <c r="S92" i="1"/>
  <c r="AC91" i="1"/>
  <c r="AA91" i="1"/>
  <c r="U91" i="1"/>
  <c r="S91" i="1"/>
  <c r="AC90" i="1"/>
  <c r="AA90" i="1"/>
  <c r="U90" i="1"/>
  <c r="S90" i="1"/>
  <c r="AC89" i="1"/>
  <c r="AA89" i="1"/>
  <c r="U89" i="1"/>
  <c r="S89" i="1"/>
  <c r="AC88" i="1"/>
  <c r="AA88" i="1"/>
  <c r="U88" i="1"/>
  <c r="S88" i="1"/>
  <c r="AC87" i="1"/>
  <c r="AA87" i="1"/>
  <c r="U87" i="1"/>
  <c r="S87" i="1"/>
  <c r="AC86" i="1"/>
  <c r="AA86" i="1"/>
  <c r="U86" i="1"/>
  <c r="S86" i="1"/>
  <c r="AC85" i="1"/>
  <c r="U85" i="1"/>
  <c r="S85" i="1"/>
  <c r="AC84" i="1"/>
  <c r="AA84" i="1"/>
  <c r="U84" i="1"/>
  <c r="S84" i="1"/>
  <c r="AC83" i="1"/>
  <c r="AA83" i="1"/>
  <c r="U83" i="1"/>
  <c r="S83" i="1"/>
  <c r="AC82" i="1"/>
  <c r="AA82" i="1"/>
  <c r="U82" i="1"/>
  <c r="S82" i="1"/>
  <c r="AC81" i="1"/>
  <c r="AA81" i="1"/>
  <c r="U81" i="1"/>
  <c r="S81" i="1"/>
  <c r="AC80" i="1"/>
  <c r="AA80" i="1"/>
  <c r="U80" i="1"/>
  <c r="S80" i="1"/>
  <c r="AC79" i="1"/>
  <c r="AA79" i="1"/>
  <c r="U79" i="1"/>
  <c r="S79" i="1"/>
  <c r="AC78" i="1"/>
  <c r="AA78" i="1"/>
  <c r="U78" i="1"/>
  <c r="S78" i="1"/>
  <c r="AC77" i="1"/>
  <c r="AA77" i="1"/>
  <c r="U77" i="1"/>
  <c r="S77" i="1"/>
  <c r="AC76" i="1"/>
  <c r="AA76" i="1"/>
  <c r="U76" i="1"/>
  <c r="S76" i="1"/>
  <c r="AC75" i="1"/>
  <c r="AA75" i="1"/>
  <c r="U75" i="1"/>
  <c r="S75" i="1"/>
  <c r="AC74" i="1"/>
  <c r="AA74" i="1"/>
  <c r="U74" i="1"/>
  <c r="S74" i="1"/>
  <c r="AC73" i="1"/>
  <c r="AA73" i="1"/>
  <c r="U73" i="1"/>
  <c r="S73" i="1"/>
  <c r="AC72" i="1"/>
  <c r="AA72" i="1"/>
  <c r="U72" i="1"/>
  <c r="S72" i="1"/>
  <c r="AC71" i="1"/>
  <c r="AA71" i="1"/>
  <c r="U71" i="1"/>
  <c r="S71" i="1"/>
  <c r="AC70" i="1"/>
  <c r="AA70" i="1"/>
  <c r="U70" i="1"/>
  <c r="S70" i="1"/>
  <c r="AC69" i="1"/>
  <c r="AA69" i="1"/>
  <c r="U69" i="1"/>
  <c r="S69" i="1"/>
  <c r="AC68" i="1"/>
  <c r="AA68" i="1"/>
  <c r="U68" i="1"/>
  <c r="S68" i="1"/>
  <c r="AC67" i="1"/>
  <c r="AA67" i="1"/>
  <c r="U67" i="1"/>
  <c r="S67" i="1"/>
  <c r="AC66" i="1"/>
  <c r="AA66" i="1"/>
  <c r="U66" i="1"/>
  <c r="S66" i="1"/>
  <c r="AC65" i="1"/>
  <c r="AA65" i="1"/>
  <c r="U65" i="1"/>
  <c r="S65" i="1"/>
  <c r="AC64" i="1"/>
  <c r="AA64" i="1"/>
  <c r="U64" i="1"/>
  <c r="S64" i="1"/>
  <c r="AC63" i="1"/>
  <c r="AA63" i="1"/>
  <c r="U63" i="1"/>
  <c r="S63" i="1"/>
  <c r="AC62" i="1"/>
  <c r="AA62" i="1"/>
  <c r="U62" i="1"/>
  <c r="S62" i="1"/>
  <c r="AC61" i="1"/>
  <c r="AA61" i="1"/>
  <c r="U61" i="1"/>
  <c r="S61" i="1"/>
  <c r="AC60" i="1"/>
  <c r="AA60" i="1"/>
  <c r="U60" i="1"/>
  <c r="S60" i="1"/>
  <c r="AC59" i="1"/>
  <c r="AA59" i="1"/>
  <c r="U59" i="1"/>
  <c r="S59" i="1"/>
  <c r="AC58" i="1"/>
  <c r="AA58" i="1"/>
  <c r="U58" i="1"/>
  <c r="S58" i="1"/>
  <c r="AC57" i="1"/>
  <c r="AA57" i="1"/>
  <c r="U57" i="1"/>
  <c r="S57" i="1"/>
  <c r="AC56" i="1"/>
  <c r="AA56" i="1"/>
  <c r="U56" i="1"/>
  <c r="S56" i="1"/>
  <c r="AC55" i="1"/>
  <c r="AA55" i="1"/>
  <c r="U55" i="1"/>
  <c r="S55" i="1"/>
  <c r="AC54" i="1"/>
  <c r="AA54" i="1"/>
  <c r="U54" i="1"/>
  <c r="S54" i="1"/>
  <c r="AC53" i="1"/>
  <c r="AA53" i="1"/>
  <c r="U53" i="1"/>
  <c r="S53" i="1"/>
  <c r="AC52" i="1"/>
  <c r="AA52" i="1"/>
  <c r="U52" i="1"/>
  <c r="S52" i="1"/>
  <c r="AC51" i="1"/>
  <c r="AA51" i="1"/>
  <c r="U51" i="1"/>
  <c r="S51" i="1"/>
  <c r="AC50" i="1"/>
  <c r="AA50" i="1"/>
  <c r="U50" i="1"/>
  <c r="S50" i="1"/>
  <c r="AC49" i="1"/>
  <c r="AA49" i="1"/>
  <c r="U49" i="1"/>
  <c r="S49" i="1"/>
  <c r="AC48" i="1"/>
  <c r="AA48" i="1"/>
  <c r="U48" i="1"/>
  <c r="S48" i="1"/>
  <c r="AC47" i="1"/>
  <c r="AA47" i="1"/>
  <c r="U47" i="1"/>
  <c r="S47" i="1"/>
  <c r="AC46" i="1"/>
  <c r="AA46" i="1"/>
  <c r="U46" i="1"/>
  <c r="S46" i="1"/>
  <c r="AC45" i="1"/>
  <c r="AA45" i="1"/>
  <c r="U45" i="1"/>
  <c r="S45" i="1"/>
  <c r="AC44" i="1"/>
  <c r="AA44" i="1"/>
  <c r="U44" i="1"/>
  <c r="S44" i="1"/>
  <c r="AC43" i="1"/>
  <c r="AA43" i="1"/>
  <c r="U43" i="1"/>
  <c r="S43" i="1"/>
  <c r="AC42" i="1"/>
  <c r="AA42" i="1"/>
  <c r="U42" i="1"/>
  <c r="S42" i="1"/>
  <c r="AC41" i="1"/>
  <c r="AA41" i="1"/>
  <c r="U41" i="1"/>
  <c r="S41" i="1"/>
  <c r="AC40" i="1"/>
  <c r="AA40" i="1"/>
  <c r="U40" i="1"/>
  <c r="S40" i="1"/>
  <c r="AC39" i="1"/>
  <c r="AA39" i="1"/>
  <c r="U39" i="1"/>
  <c r="S39" i="1"/>
  <c r="AC38" i="1"/>
  <c r="AA38" i="1"/>
  <c r="U38" i="1"/>
  <c r="S38" i="1"/>
  <c r="AC37" i="1"/>
  <c r="AA37" i="1"/>
  <c r="U37" i="1"/>
  <c r="S37" i="1"/>
  <c r="AC36" i="1"/>
  <c r="AA36" i="1"/>
  <c r="U36" i="1"/>
  <c r="S36" i="1"/>
  <c r="AC35" i="1"/>
  <c r="AA35" i="1"/>
  <c r="U35" i="1"/>
  <c r="S35" i="1"/>
  <c r="AC34" i="1"/>
  <c r="AA34" i="1"/>
  <c r="U34" i="1"/>
  <c r="S34" i="1"/>
  <c r="AC33" i="1"/>
  <c r="AA33" i="1"/>
  <c r="U33" i="1"/>
  <c r="S33" i="1"/>
  <c r="AC32" i="1"/>
  <c r="AA32" i="1"/>
  <c r="U32" i="1"/>
  <c r="S32" i="1"/>
  <c r="AC31" i="1"/>
  <c r="AA31" i="1"/>
  <c r="U31" i="1"/>
  <c r="S31" i="1"/>
  <c r="AC30" i="1"/>
  <c r="AA30" i="1"/>
  <c r="U30" i="1"/>
  <c r="S30" i="1"/>
  <c r="AC29" i="1"/>
  <c r="U29" i="1"/>
  <c r="S29" i="1"/>
  <c r="AC28" i="1"/>
  <c r="AA28" i="1"/>
  <c r="U28" i="1"/>
  <c r="S28" i="1"/>
  <c r="AC27" i="1"/>
  <c r="AA27" i="1"/>
  <c r="U27" i="1"/>
  <c r="S27" i="1"/>
  <c r="AC26" i="1"/>
  <c r="AA26" i="1"/>
  <c r="U26" i="1"/>
  <c r="S26" i="1"/>
  <c r="AC25" i="1"/>
  <c r="AA25" i="1"/>
  <c r="U25" i="1"/>
  <c r="S25" i="1"/>
  <c r="AC24" i="1"/>
  <c r="AA24" i="1"/>
  <c r="U24" i="1"/>
  <c r="S24" i="1"/>
  <c r="AC23" i="1"/>
  <c r="AA23" i="1"/>
  <c r="U23" i="1"/>
  <c r="S23" i="1"/>
  <c r="AC22" i="1"/>
  <c r="AA22" i="1"/>
  <c r="U22" i="1"/>
  <c r="S22" i="1"/>
  <c r="AC21" i="1"/>
  <c r="AA21" i="1"/>
  <c r="U21" i="1"/>
  <c r="S21" i="1"/>
  <c r="AC20" i="1"/>
  <c r="AA20" i="1"/>
  <c r="U20" i="1"/>
  <c r="S20" i="1"/>
  <c r="AC19" i="1"/>
  <c r="AA19" i="1"/>
  <c r="U19" i="1"/>
  <c r="S19" i="1"/>
  <c r="AC18" i="1"/>
  <c r="AA18" i="1"/>
  <c r="U18" i="1"/>
  <c r="S18" i="1"/>
  <c r="U17" i="1"/>
  <c r="S17" i="1"/>
  <c r="AC16" i="1"/>
  <c r="AA16" i="1"/>
  <c r="U16" i="1"/>
  <c r="S16" i="1"/>
  <c r="AC15" i="1"/>
  <c r="AA15" i="1"/>
  <c r="U15" i="1"/>
  <c r="S15" i="1"/>
  <c r="AC14" i="1"/>
  <c r="AA14" i="1"/>
  <c r="U14" i="1"/>
  <c r="S14" i="1"/>
  <c r="AC13" i="1"/>
  <c r="AA13" i="1"/>
  <c r="U13" i="1"/>
  <c r="S13" i="1"/>
  <c r="AC12" i="1"/>
  <c r="AA12" i="1"/>
  <c r="U12" i="1"/>
  <c r="S12" i="1"/>
  <c r="AC11" i="1"/>
  <c r="AA11" i="1"/>
  <c r="U11" i="1"/>
  <c r="S11" i="1"/>
  <c r="AC10" i="1"/>
  <c r="AA10" i="1"/>
  <c r="U10" i="1"/>
  <c r="S10" i="1"/>
  <c r="AC9" i="1"/>
  <c r="AA9" i="1"/>
  <c r="U9" i="1"/>
  <c r="S9" i="1"/>
  <c r="AC8" i="1"/>
  <c r="AA8" i="1"/>
  <c r="S8" i="1"/>
  <c r="U8" i="1" s="1"/>
  <c r="AC7" i="1"/>
  <c r="AA7" i="1"/>
  <c r="S7" i="1"/>
  <c r="U7" i="1" s="1"/>
  <c r="AC6" i="1"/>
  <c r="AA6" i="1"/>
  <c r="S6" i="1"/>
  <c r="U6" i="1" s="1"/>
  <c r="AC5" i="1"/>
  <c r="AA5" i="1"/>
  <c r="U5" i="1"/>
  <c r="S5" i="1"/>
  <c r="AC4" i="1"/>
  <c r="AA4" i="1"/>
  <c r="U4" i="1"/>
  <c r="S4" i="1"/>
  <c r="AA3" i="1"/>
  <c r="S3" i="1"/>
  <c r="U3" i="1" s="1"/>
  <c r="AA2" i="1"/>
  <c r="S2" i="1"/>
  <c r="I4" i="2" l="1"/>
  <c r="J4" i="2"/>
  <c r="K4" i="2"/>
  <c r="I5" i="2"/>
  <c r="J5" i="2"/>
  <c r="K5" i="2"/>
  <c r="J6" i="2"/>
  <c r="J8" i="2"/>
  <c r="J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3000000}">
      <text>
        <r>
          <rPr>
            <sz val="10"/>
            <color rgb="FF000000"/>
            <rFont val="Arial"/>
            <scheme val="minor"/>
          </rPr>
          <t>======
ID#AAABkPjGoEw
Magdaline Ladeira    (2025-05-28 17:19:11)
emendas: linha cor rosa</t>
        </r>
      </text>
    </comment>
    <comment ref="F1" authorId="0" shapeId="0" xr:uid="{00000000-0006-0000-0000-000007000000}">
      <text>
        <r>
          <rPr>
            <sz val="10"/>
            <color rgb="FF000000"/>
            <rFont val="Arial"/>
            <scheme val="minor"/>
          </rPr>
          <t>======
ID#AAABNu9hBvw
Magdaline Ladeira    (2024-05-17 13:40:40)
DATA QUE O MEMORANDO FOI CRIADO E ASSINADO PELO RESPONSAVEL PELA TRAMITAÇÃO NO SEI
------
ID#AAABTTK55jg
chu.pesquisa    (2024-08-06 14:48:49)
DATA DA CRIAÇÃO E ASS MEMORANDO PELO RESP PESQUISA</t>
        </r>
      </text>
    </comment>
    <comment ref="M1" authorId="0" shapeId="0" xr:uid="{00000000-0006-0000-0000-000005000000}">
      <text>
        <r>
          <rPr>
            <sz val="10"/>
            <color rgb="FF000000"/>
            <rFont val="Arial"/>
            <scheme val="minor"/>
          </rPr>
          <t>======
ID#AAABX5VwPTw
Magdaline Ladeira    (2024-10-30 15:19:38)
INSERIR SETOR (UTI/EMER.../UTQ) OU SERVIÇO(TOXICO/BUCO)</t>
        </r>
      </text>
    </comment>
    <comment ref="Q1" authorId="0" shapeId="0" xr:uid="{00000000-0006-0000-0000-000006000000}">
      <text>
        <r>
          <rPr>
            <sz val="10"/>
            <color rgb="FF000000"/>
            <rFont val="Arial"/>
            <scheme val="minor"/>
          </rPr>
          <t>======
ID#AAABX5VwPTs
Magdaline Ladeira    (2024-10-30 15:18:04)
DATA QUE O DIRETOR ASSINOU</t>
        </r>
      </text>
    </comment>
    <comment ref="R1" authorId="0" shapeId="0" xr:uid="{00000000-0006-0000-0000-000002000000}">
      <text>
        <r>
          <rPr>
            <sz val="10"/>
            <color rgb="FF000000"/>
            <rFont val="Arial"/>
            <scheme val="minor"/>
          </rPr>
          <t>======
ID#AAABpU5r5Tw
Magdaline Ladeira    (2025-08-14 12:39:51)
inserir dos projetos a data de encaminhamento para CIP na planilha de todos os projetos
------
ID#AAABqlTyE4g
Magdaline Ladeira    (2025-09-04 18:00:40)
CONSULTAR ANDAMENTO E VER A DATA QUE O PROJETO FOI REMETIDO PELO NEP PARA CIP</t>
        </r>
      </text>
    </comment>
    <comment ref="D16" authorId="0" shapeId="0" xr:uid="{00000000-0006-0000-0000-000004000000}">
      <text>
        <r>
          <rPr>
            <sz val="10"/>
            <color rgb="FF000000"/>
            <rFont val="Arial"/>
            <scheme val="minor"/>
          </rPr>
          <t>======
ID#AAABetuq76o
Magdaline Ladeira    (2025-02-25 14:43:37)
PROJ TRAMITADO COM FHEMIG PROPON AGORA SOLICICOTADO FHEMIG COMO COPARTICIPANTE</t>
        </r>
      </text>
    </comment>
    <comment ref="R109" authorId="0" shapeId="0" xr:uid="{00000000-0006-0000-0000-000001000000}">
      <text>
        <r>
          <rPr>
            <sz val="10"/>
            <color rgb="FF000000"/>
            <rFont val="Arial"/>
            <scheme val="minor"/>
          </rPr>
          <t>======
ID#AAABulChTKQ
Magdaline Ladeira    (2025-10-31 14:51:15)
demora para enviar para a cip pq  a frosto estava errada, recebido FR 31/10 e enviamos CIP</t>
        </r>
      </text>
    </comment>
  </commentList>
  <extLst>
    <ext xmlns:r="http://schemas.openxmlformats.org/officeDocument/2006/relationships" uri="GoogleSheetsCustomDataVersion2">
      <go:sheetsCustomData xmlns:go="http://customooxmlschemas.google.com/" r:id="rId1" roundtripDataSignature="AMtx7mjFCCZlorVrF9hTZcahgkijc1nJeQ=="/>
    </ext>
  </extLst>
</comments>
</file>

<file path=xl/sharedStrings.xml><?xml version="1.0" encoding="utf-8"?>
<sst xmlns="http://schemas.openxmlformats.org/spreadsheetml/2006/main" count="4153" uniqueCount="1490">
  <si>
    <t>FASE DO PROJETO</t>
  </si>
  <si>
    <t>NÚMERO  BLOCO INTERNO''</t>
  </si>
  <si>
    <t>LINHA DE PESQUISA/GRUPO DE PESQUISA</t>
  </si>
  <si>
    <t>Título projetode</t>
  </si>
  <si>
    <t xml:space="preserve"> NÚMERO DO PROCSSO NO SEI</t>
  </si>
  <si>
    <t xml:space="preserve">DATA DA CRIAÇÃO E ASSINATURA DO MEMORANDO PELO RESPON PESQUISA NEP </t>
  </si>
  <si>
    <t>PESQUISADORES</t>
  </si>
  <si>
    <t>Classificação do Pesquisador Principal NA PLATAFORMA  BRASIL(FHEMIG)</t>
  </si>
  <si>
    <t>Unidade de entrada</t>
  </si>
  <si>
    <t xml:space="preserve"> Instituição Propenente</t>
  </si>
  <si>
    <t>Finalidade da pesquisa</t>
  </si>
  <si>
    <t>Desenho de pesquisa</t>
  </si>
  <si>
    <t>AMOSTRA</t>
  </si>
  <si>
    <t>PERÍODO QUE OS DADOS SERÃO COLETADOS e ANALISADOS</t>
  </si>
  <si>
    <t>E-mail do pesquisador principal</t>
  </si>
  <si>
    <t>Pesquisador referência da instituição (caso seja o pesquisador principal, escrever NA ( NÃO SE APLICA)</t>
  </si>
  <si>
    <r>
      <rPr>
        <b/>
        <sz val="10"/>
        <color theme="1"/>
        <rFont val="Calibri"/>
      </rPr>
      <t xml:space="preserve">Data da assinatura do memorando pela </t>
    </r>
    <r>
      <rPr>
        <b/>
        <sz val="10"/>
        <color rgb="FFFF0000"/>
        <rFont val="Calibri"/>
      </rPr>
      <t>DIRETORIA CHU</t>
    </r>
  </si>
  <si>
    <t>Data que o projeto foi enviado para a CIP</t>
  </si>
  <si>
    <t xml:space="preserve">Tempo de assisnatura do memorando DGE e envio CIP ( coluna Q-P) +1 </t>
  </si>
  <si>
    <r>
      <rPr>
        <b/>
        <sz val="10"/>
        <color theme="1"/>
        <rFont val="Calibri"/>
      </rPr>
      <t>D</t>
    </r>
    <r>
      <rPr>
        <b/>
        <sz val="13"/>
        <color theme="1"/>
        <rFont val="Calibri"/>
      </rPr>
      <t xml:space="preserve">ata da </t>
    </r>
    <r>
      <rPr>
        <b/>
        <sz val="13"/>
        <color rgb="FF0000FF"/>
        <rFont val="Calibri"/>
      </rPr>
      <t>emissão do Parecer Técnico de APROVAÇÃO</t>
    </r>
    <r>
      <rPr>
        <b/>
        <sz val="13"/>
        <color rgb="FF1155CC"/>
        <rFont val="Calibri"/>
      </rPr>
      <t xml:space="preserve"> </t>
    </r>
    <r>
      <rPr>
        <b/>
        <sz val="13"/>
        <color theme="1"/>
        <rFont val="Calibri"/>
      </rPr>
      <t xml:space="preserve"> pela CIP </t>
    </r>
  </si>
  <si>
    <t xml:space="preserve">Tempo de tramitação CIP </t>
  </si>
  <si>
    <t>Parecer da CIP</t>
  </si>
  <si>
    <r>
      <rPr>
        <b/>
        <sz val="10"/>
        <color theme="1"/>
        <rFont val="Calibri"/>
      </rPr>
      <t xml:space="preserve">Data da </t>
    </r>
    <r>
      <rPr>
        <b/>
        <sz val="10"/>
        <color rgb="FFFF0000"/>
        <rFont val="Calibri"/>
      </rPr>
      <t>assinatura</t>
    </r>
    <r>
      <rPr>
        <b/>
        <sz val="10"/>
        <color theme="1"/>
        <rFont val="Calibri"/>
      </rPr>
      <t xml:space="preserve"> da </t>
    </r>
    <r>
      <rPr>
        <b/>
        <sz val="10"/>
        <color rgb="FF0000FF"/>
        <rFont val="Calibri"/>
      </rPr>
      <t>FOLHA ROSTO</t>
    </r>
    <r>
      <rPr>
        <b/>
        <sz val="10"/>
        <color theme="1"/>
        <rFont val="Calibri"/>
      </rPr>
      <t xml:space="preserve">  OU do </t>
    </r>
    <r>
      <rPr>
        <b/>
        <sz val="10"/>
        <color rgb="FF38761D"/>
        <rFont val="Calibri"/>
      </rPr>
      <t xml:space="preserve"> </t>
    </r>
    <r>
      <rPr>
        <b/>
        <sz val="10"/>
        <color rgb="FF9900FF"/>
        <rFont val="Calibri"/>
      </rPr>
      <t>TERMO DE ANUENCIA</t>
    </r>
  </si>
  <si>
    <r>
      <rPr>
        <b/>
        <sz val="10"/>
        <color theme="1"/>
        <rFont val="Calibri"/>
      </rPr>
      <t xml:space="preserve">Data de envio da </t>
    </r>
    <r>
      <rPr>
        <b/>
        <sz val="10"/>
        <color rgb="FFFF0000"/>
        <rFont val="Calibri"/>
      </rPr>
      <t>FOLHA ROSTO</t>
    </r>
    <r>
      <rPr>
        <b/>
        <sz val="10"/>
        <color theme="1"/>
        <rFont val="Calibri"/>
      </rPr>
      <t>,</t>
    </r>
    <r>
      <rPr>
        <b/>
        <sz val="10"/>
        <color rgb="FF1155CC"/>
        <rFont val="Calibri"/>
      </rPr>
      <t xml:space="preserve"> PTECNICO</t>
    </r>
    <r>
      <rPr>
        <b/>
        <sz val="10"/>
        <color theme="1"/>
        <rFont val="Calibri"/>
      </rPr>
      <t xml:space="preserve"> ou </t>
    </r>
    <r>
      <rPr>
        <b/>
        <sz val="10"/>
        <color rgb="FF9900FF"/>
        <rFont val="Calibri"/>
      </rPr>
      <t>TERMO ANUN</t>
    </r>
    <r>
      <rPr>
        <b/>
        <sz val="10"/>
        <color theme="1"/>
        <rFont val="Calibri"/>
      </rPr>
      <t xml:space="preserve"> p/ pesquisador</t>
    </r>
  </si>
  <si>
    <r>
      <rPr>
        <b/>
        <sz val="10"/>
        <color theme="1"/>
        <rFont val="Calibri"/>
      </rPr>
      <t xml:space="preserve"> </t>
    </r>
    <r>
      <rPr>
        <b/>
        <sz val="10"/>
        <color rgb="FF9900FF"/>
        <rFont val="Calibri"/>
      </rPr>
      <t>PROJETOS EXTERNOS</t>
    </r>
    <r>
      <rPr>
        <b/>
        <sz val="10"/>
        <color theme="1"/>
        <rFont val="Calibri"/>
      </rPr>
      <t xml:space="preserve"> </t>
    </r>
    <r>
      <rPr>
        <b/>
        <sz val="10"/>
        <color rgb="FFFF0000"/>
        <rFont val="Calibri"/>
      </rPr>
      <t>DATA  reenvio Parecer CEP Proponente e FR assinada para CIP</t>
    </r>
  </si>
  <si>
    <r>
      <rPr>
        <b/>
        <sz val="10"/>
        <color rgb="FF9900FF"/>
        <rFont val="Calibri"/>
      </rPr>
      <t xml:space="preserve">PROJETOS EXTERNOS  </t>
    </r>
    <r>
      <rPr>
        <b/>
        <sz val="10"/>
        <color rgb="FFFF00FF"/>
        <rFont val="Calibri"/>
      </rPr>
      <t xml:space="preserve"> </t>
    </r>
    <r>
      <rPr>
        <b/>
        <sz val="10"/>
        <color theme="1"/>
        <rFont val="Calibri"/>
      </rPr>
      <t xml:space="preserve">  Inserir a data do envio do </t>
    </r>
    <r>
      <rPr>
        <b/>
        <sz val="10"/>
        <color rgb="FF9900FF"/>
        <rFont val="Calibri"/>
      </rPr>
      <t xml:space="preserve">PTECNICO FINAL </t>
    </r>
    <r>
      <rPr>
        <b/>
        <sz val="10"/>
        <color theme="1"/>
        <rFont val="Calibri"/>
      </rPr>
      <t>para o pesquisadores externos</t>
    </r>
  </si>
  <si>
    <t>Tempo de tramitação CEP APÓS ENVIO PT PARA PESQ</t>
  </si>
  <si>
    <t xml:space="preserve"> DATA DE aprovação do CEP FHEMIG</t>
  </si>
  <si>
    <r>
      <rPr>
        <b/>
        <sz val="10"/>
        <color rgb="FFFF0000"/>
        <rFont val="Calibri"/>
      </rPr>
      <t>Tempo TOTAL DE TRAMITAÇÃO DATA DE APROVAÇÃO PELO CEP FHEMIG</t>
    </r>
    <r>
      <rPr>
        <b/>
        <sz val="10"/>
        <color theme="1"/>
        <rFont val="Calibri"/>
      </rPr>
      <t xml:space="preserve"> após criação e assinatura do memorando</t>
    </r>
  </si>
  <si>
    <r>
      <rPr>
        <b/>
        <sz val="10"/>
        <color theme="1"/>
        <rFont val="Calibri"/>
      </rPr>
      <t>Há necesidade de liberação de acesso aos dados internos  (</t>
    </r>
    <r>
      <rPr>
        <b/>
        <sz val="10"/>
        <color rgb="FFFF0000"/>
        <rFont val="Calibri"/>
      </rPr>
      <t>SAME)</t>
    </r>
    <r>
      <rPr>
        <b/>
        <sz val="10"/>
        <color theme="1"/>
        <rFont val="Calibri"/>
      </rPr>
      <t xml:space="preserve"> ou </t>
    </r>
    <r>
      <rPr>
        <b/>
        <sz val="10"/>
        <color rgb="FFFF0000"/>
        <rFont val="Calibri"/>
      </rPr>
      <t>ACESSO AO HOSPITAL?</t>
    </r>
  </si>
  <si>
    <t>O ESTUDO FOI PUBLICADO?</t>
  </si>
  <si>
    <t>INSERIR DADOS DA PUBLICAÇÃO E LINK DO ARTIGO</t>
  </si>
  <si>
    <t>BUSCA RAPIDA PALAVRAS CHAVE</t>
  </si>
  <si>
    <t>EMENDA</t>
  </si>
  <si>
    <t>2025/39</t>
  </si>
  <si>
    <r>
      <rPr>
        <sz val="9"/>
        <color theme="1"/>
        <rFont val="Calibri"/>
      </rPr>
      <t xml:space="preserve">PROJ COM TRAMIT SUSPENSA EM 2017 E APROVADO CEP 2025 </t>
    </r>
    <r>
      <rPr>
        <sz val="9"/>
        <color rgb="FFFF0000"/>
        <rFont val="Calibri"/>
      </rPr>
      <t>por meio d emenda</t>
    </r>
  </si>
  <si>
    <t xml:space="preserve">QUEDAS ENTRE CRIANÇAS INTERNADAS EM UM HOSPITAL PEDIÁTRICO: INCIDÊNCIA E FATORES RELACIONADOS </t>
  </si>
  <si>
    <t>2270.01.0033347/2025-95</t>
  </si>
  <si>
    <t>Gisele de Lacerda Chaves Vieira</t>
  </si>
  <si>
    <t>SERVIDOR</t>
  </si>
  <si>
    <t>HIJPII</t>
  </si>
  <si>
    <t>FHEMIG</t>
  </si>
  <si>
    <t>CONGRESSO/DIVULGAÇÃO/PUBLICAÇÃO</t>
  </si>
  <si>
    <t>Observacional retrospectivo</t>
  </si>
  <si>
    <t>Crianças, com idade entre 1 mês e 16 anos  internadas no HIJPII Paulo II na unidade de internação e na urgência</t>
  </si>
  <si>
    <t>Junho a dezembro de 2025</t>
  </si>
  <si>
    <t xml:space="preserve">
                                                   gisele.fhemig@gmail.com</t>
  </si>
  <si>
    <t>NA</t>
  </si>
  <si>
    <t>EMENDA/NÃO SE APLICA</t>
  </si>
  <si>
    <t>SIM</t>
  </si>
  <si>
    <t>NÃO PROJ COM TRAMIT SUSPENSA EM 2017 E APROVADO CEP 2025 por meio d emenda</t>
  </si>
  <si>
    <t>QUEDAS EM CRIANÇAS</t>
  </si>
  <si>
    <t>PROJETO DE 2020 COM Emenda APROV CEP 2024</t>
  </si>
  <si>
    <t>OS DEFECHOS DO USO DE ALTEPLASE EM PACIENTES PEDIÁTRICOS COM DERRAME PLEURAL PARAPNEUMÔNICO</t>
  </si>
  <si>
    <t>2270.01.0033347/2025-96</t>
  </si>
  <si>
    <t>LUDIMILA HOUARA/WILSON ROCHA</t>
  </si>
  <si>
    <t>PESQ EXTERNO</t>
  </si>
  <si>
    <t>MESTRADO</t>
  </si>
  <si>
    <t>Pacientes com derrame pleural parapneumônico, internados no Hospital Infantil João Paulo II dos anos
de 2010 a 2024</t>
  </si>
  <si>
    <t>anos
de 2010 a 2024</t>
  </si>
  <si>
    <t>ludhcmachado@gmail.com</t>
  </si>
  <si>
    <t>DERRAME PLEURAL</t>
  </si>
  <si>
    <t>EM COLETA DE DADOS</t>
  </si>
  <si>
    <t>NT</t>
  </si>
  <si>
    <t xml:space="preserve">REGISTRO BRASILEIRO SOBRE A PÚRPURA TROMBOCITOPÊNCIA HEREDITÁRIA  </t>
  </si>
  <si>
    <t>2270.01.0033347/2025-97</t>
  </si>
  <si>
    <t>Tarcísio Silva Borborema</t>
  </si>
  <si>
    <t>INSTITUTO DO CANCER INFANTIL E PEDITARIA ESPECIALIZADA (ICIPE)</t>
  </si>
  <si>
    <t>Observacional prospectivo</t>
  </si>
  <si>
    <t>Pacientes com púrpura trombocitopênica hereditária tratados em centros brasileiros</t>
  </si>
  <si>
    <t>2025-2029</t>
  </si>
  <si>
    <t>tarcisio.silva@fhemig.mg.gov.br</t>
  </si>
  <si>
    <t>Aprovado no 1 PT</t>
  </si>
  <si>
    <t>NÃO</t>
  </si>
  <si>
    <t xml:space="preserve">PURPURA TROMBOCITOPÊNICA </t>
  </si>
  <si>
    <t>2025/27</t>
  </si>
  <si>
    <t>AVALIAÇÃO DE COMPLICAÇÕES APÓS A ALTA HOSPITALAR EM PACIENTES
DIAGNOSTICADOS COM MENINGITE BACTERIANA ATENDIDOS EM UM
HOSPITAL PEDIÁTRICO DE REFERÊNCIA NA CIDADE DE BELO HORIZONTE - MG</t>
  </si>
  <si>
    <t>2270.01.0033347/2025-98</t>
  </si>
  <si>
    <r>
      <rPr>
        <sz val="9"/>
        <color theme="1"/>
        <rFont val="Calibri"/>
      </rPr>
      <t xml:space="preserve">RAFAELA DRUMOND ARAÚJO/ </t>
    </r>
    <r>
      <rPr>
        <sz val="9"/>
        <color theme="1"/>
        <rFont val="Calibri"/>
      </rPr>
      <t>Lilian Martins</t>
    </r>
  </si>
  <si>
    <t>UFMG</t>
  </si>
  <si>
    <t>TCR</t>
  </si>
  <si>
    <t>Pacientes pediátricos que tiveram meningite bacteriana entre 2010 a 2025</t>
  </si>
  <si>
    <t>outubro de 2024 a dezembro de 2026.</t>
  </si>
  <si>
    <t xml:space="preserve">  rafaeladaraujo@gmail.com
</t>
  </si>
  <si>
    <t>N/A</t>
  </si>
  <si>
    <t>MENINGITE  BACTERIANA</t>
  </si>
  <si>
    <t>PARECER CEP FHEMIG??</t>
  </si>
  <si>
    <t>2025/34</t>
  </si>
  <si>
    <t>PERCEPÇÕES E EXPERIÊNCIAS SOBRE ATIVIDADES PROFISSIONAIS CONFIÁVEIS (APCS) EM UMA RESIDÊNCIA MÉDICA DE PEDIATRIA: UMA ABORDAGEM QUALITATIVA.</t>
  </si>
  <si>
    <t>2270.01.0033347/2025-99</t>
  </si>
  <si>
    <r>
      <rPr>
        <sz val="9"/>
        <color theme="1"/>
        <rFont val="Calibri"/>
      </rPr>
      <t xml:space="preserve">MARINA MILAGRES MENDES MACHADO/ </t>
    </r>
    <r>
      <rPr>
        <sz val="9"/>
        <color rgb="FF0000EE"/>
        <rFont val="Calibri"/>
      </rPr>
      <t>Aline Bruna M. Vaz
Denise Lemos Giunchetti</t>
    </r>
  </si>
  <si>
    <t>UNIFENAS</t>
  </si>
  <si>
    <t>Transversal prospectivo</t>
  </si>
  <si>
    <t>Médicos preceptores e médicos residentes de pediatria do HIJPII</t>
  </si>
  <si>
    <t>Maio e Junho/ 2025</t>
  </si>
  <si>
    <t xml:space="preserve"> aline.vaz@unifenas.br</t>
  </si>
  <si>
    <t>Marina Milagres</t>
  </si>
  <si>
    <t>Aprovado no 2 PT</t>
  </si>
  <si>
    <t>RESIDENCIA  MÉDICA</t>
  </si>
  <si>
    <t>REPROVADO</t>
  </si>
  <si>
    <t>EASPCE</t>
  </si>
  <si>
    <t>EFICÁCIA E SEGURANÇA DA HEMOSTASIA DA DERME PROFUNDA COM
FIBRINA RICA EM PLAQUETAS EM FERIDAS CAUSADAS POR
DESBRIDAMENTO TANGENCIAL DE QUEIMADURAS DE 2º GRAU PROFUNDO</t>
  </si>
  <si>
    <t>2270.01.0033347/2025-100</t>
  </si>
  <si>
    <t>Natália Santiago Cerqueira Lima/Rodrigo Pimenta Sizenando</t>
  </si>
  <si>
    <t>HJXXIII</t>
  </si>
  <si>
    <t>UTQ</t>
  </si>
  <si>
    <t>nataliacerqueira.enf@gmail.com</t>
  </si>
  <si>
    <t xml:space="preserve">Pendência </t>
  </si>
  <si>
    <t>QUEIMADURAS SEGUNDO GARU PROFUNDO</t>
  </si>
  <si>
    <t>CLORETO DE DIALQUILCARBAMOÍLA COMO ALTERNATIVA TERAPÊUTICA EM QUEIMADURAS: UM ESTUDO DE CASO</t>
  </si>
  <si>
    <t>2270.01.0033347/2025-101</t>
  </si>
  <si>
    <r>
      <rPr>
        <sz val="9"/>
        <color theme="1"/>
        <rFont val="Calibri"/>
      </rPr>
      <t xml:space="preserve"> Isadora de Freitas Marcatto/"</t>
    </r>
    <r>
      <rPr>
        <sz val="9"/>
        <color rgb="FF0000EE"/>
        <rFont val="Calibri"/>
      </rPr>
      <t>Natália Santiago Cerqueira Lima</t>
    </r>
  </si>
  <si>
    <t>Relato de caso</t>
  </si>
  <si>
    <t>DADOS COLETADOS</t>
  </si>
  <si>
    <t xml:space="preserve"> imarcatto@estudante.ufscar.br</t>
  </si>
  <si>
    <t>CLORQTO DIALQUILCARBAMOÍLA</t>
  </si>
  <si>
    <t xml:space="preserve"> AVALIAÇÃO QUALIDADE DE VIDA DO PACIENTE VÍTIMA DE QUEIMADURA </t>
  </si>
  <si>
    <t>2270.01.0033347/2025-102</t>
  </si>
  <si>
    <t xml:space="preserve"> Letícia de Jesus Soares</t>
  </si>
  <si>
    <t>RESIDENTE MULTI</t>
  </si>
  <si>
    <t>QUALIDADE DE VIDA PCTE UTQ</t>
  </si>
  <si>
    <t>leticiasoaresjn@gmail.com</t>
  </si>
  <si>
    <t>QUALIDADE VIDA QUEIMADURA</t>
  </si>
  <si>
    <t>CHECAR CEP FHEMIG</t>
  </si>
  <si>
    <t xml:space="preserve"> CONTINUIDADE DE CUIDADOS DO PACIENTE VÍTIMA DE TRAUMA E O DESAFIO DA TRANSFERÊNCIA PARA REABILITAÇÃO: RELATO DE CASO</t>
  </si>
  <si>
    <t>2270.01.0033347/2025-103</t>
  </si>
  <si>
    <t>Izabela Resende e Costa / Gabriela Casanova Martins dos Santos</t>
  </si>
  <si>
    <t xml:space="preserve">paciente
masculino, 55 anos, admitido em hospital de trauma após dois episódios de crise
convulsiva e trauma cranioencefálico. </t>
  </si>
  <si>
    <t>gabi.casanova10@gmail.com
 iza_0811@hotmail.com</t>
  </si>
  <si>
    <t xml:space="preserve"> LEAN NAS EMERGÊNCIAS: RESULTADOS DA IMPLEMENTAÇÃO DO FLUXO DE BAIXO RISCO EM UM HOSPITAL PÚBLICO</t>
  </si>
  <si>
    <t>2270.01.0033347/2025-104</t>
  </si>
  <si>
    <t>Milena Batista de Oliveira/ ALANA E CINTIA</t>
  </si>
  <si>
    <t>Transversal retrospectivo</t>
  </si>
  <si>
    <t>atendimentos aos pacientes classificados como verde segundo o STM e
encaminhados ao fluxo de baixo risco segundo a metodologia Lean</t>
  </si>
  <si>
    <t xml:space="preserve"> PCTES ADMIITIDOS DE 01/04/2024 a 30/04/2025</t>
  </si>
  <si>
    <t xml:space="preserve">    milenabatista.mbo@gmail.com                            allanareiscorrea@gmail.com
</t>
  </si>
  <si>
    <t>LEAN NAS EMERGÊNCIAS</t>
  </si>
  <si>
    <t>2025/35</t>
  </si>
  <si>
    <t>FARMACOVIGILÂNCIA EM UM HOSPITAL PÚBLICO DE URGÊNCIA E EMERGÊNCIA NO ESTADO DE MINAS GERAIS</t>
  </si>
  <si>
    <t>2270.01.0033347/2025-105</t>
  </si>
  <si>
    <r>
      <rPr>
        <sz val="9"/>
        <color rgb="FF000000"/>
        <rFont val="Calibri"/>
      </rPr>
      <t xml:space="preserve">Michelle Rodrigues de Oliveira// </t>
    </r>
    <r>
      <rPr>
        <sz val="9"/>
        <color rgb="FF0000FF"/>
        <rFont val="Calibri"/>
      </rPr>
      <t xml:space="preserve">Valéria Furtado de Miranda
 Rodrigo </t>
    </r>
    <r>
      <rPr>
        <sz val="9"/>
        <color rgb="FF000000"/>
        <rFont val="Calibri"/>
      </rPr>
      <t xml:space="preserve">Luiz Marques
Leocádio
</t>
    </r>
  </si>
  <si>
    <t xml:space="preserve"> michelleoliveira663@msn.com 
    mi.rodriguesd@gmail.com</t>
  </si>
  <si>
    <t>FARMACOVIGILANCIA</t>
  </si>
  <si>
    <t>IDENTIFICAÇÃO DE BIOMARCADORES PARA DIAGNÓSTICO DE FEBRE REUMÁTICA AGUDA</t>
  </si>
  <si>
    <t>2270.01.0033347/2025-106</t>
  </si>
  <si>
    <t>RESPONS Maria do Carmo Pereira Nunes/SERVI HIJPII CLARISSE ANGELIM SOARES CARDOSO</t>
  </si>
  <si>
    <t xml:space="preserve">Crianças entre 3 a 18 anos, sem distinção de sexo ou cor, com suspeita de FRA e
encaminhadas ao Ambulatório de Cardiopediatria ou ao Hospital das Clinicas serão
5
elegíveis para o estudo. </t>
  </si>
  <si>
    <t>APOS APROV CEP  ATÉ  OUT DE 2027</t>
  </si>
  <si>
    <t>arielamota@hotmail.com
    clarisseangelim@gmail.com</t>
  </si>
  <si>
    <t>Aprovado no 4 PT</t>
  </si>
  <si>
    <t>07/072025</t>
  </si>
  <si>
    <t>RELAÇÃO ENTRE A CAPACIDADE VITAL E A FUNÇÃO DOS MEMBROS SUPERIORES AVALIADOS PELO SCORE DE BROOKE EM PACIENTES COM DISTROFIA MUSCULAR DE DUCHENNE</t>
  </si>
  <si>
    <t>2270.01.0033347/2025-107</t>
  </si>
  <si>
    <t xml:space="preserve">ANNY EDUARDA PINTO DE MORAIS </t>
  </si>
  <si>
    <t>crianças e adolescentes (de 7 a 18 anos) com diagnóstico de
Distrofia Muscular de Duchenne descrito em prontuário, acompanhadas pela equipe do
Programa VentLar do HIJPII</t>
  </si>
  <si>
    <t>Serão analisados os prontuários dos pacientes entre novembro de 2024 a setembro de
2025</t>
  </si>
  <si>
    <t>annymoorais20@gmail.com</t>
  </si>
  <si>
    <t>SCORE BROOKE PCT DIST DUCHENNE</t>
  </si>
  <si>
    <t xml:space="preserve"> PERFIL EPIDEMIOLÓGICO DOS PACIENTES PEDIÁTRICOS ACOMETIDOS POR TRAUMA CRANIOENCEFÁLICO, SUBMETIDOS A TRATAMENTO NEUROCIRÚRGICO EM UM HOSPITAL DE REFERÊNCIA EM TRAUMATOLOGIA</t>
  </si>
  <si>
    <t>2270.01.0033347/2025-108</t>
  </si>
  <si>
    <t>Cintia Horta Rezende /Gabriela Teodora</t>
  </si>
  <si>
    <t xml:space="preserve"> prontuários médicos
de pacientes pediátricos vítimas de trauma cranioencefálico e submetidos a procedimentos
neurocirúrgicos,atendidos no Hospital João XXIII entre 2020 e 2024</t>
  </si>
  <si>
    <t>Janeiro de 2020 a dezembro de 2024</t>
  </si>
  <si>
    <t>cintiahorta27@gmail.com</t>
  </si>
  <si>
    <t xml:space="preserve">NA </t>
  </si>
  <si>
    <t>TCE   PEDIATRIA</t>
  </si>
  <si>
    <t>CRANIOTOMIA DESCOMPRESSIVA EM PACIENTES PEDIÁTRICOS VÍTIMAS DE TRUAMA CRANIOENCEFÁLICO: ANÁLISE DO PROGNÓSTICO E COMPILAÇÕES CIRÚRGICAS</t>
  </si>
  <si>
    <t>2270.01.0033347/2025-109</t>
  </si>
  <si>
    <t>Cintia Horta Rezende</t>
  </si>
  <si>
    <t>Pacientes pediátricos com diagnóstico de hipertensão
intracraniana tratados com craniotomia descompressiva,</t>
  </si>
  <si>
    <t>INTERNADOS DE JAN -DEZ 2024</t>
  </si>
  <si>
    <t>CRANIOT DESCOMP EM PCTES PEDIATRICOS COM TCE</t>
  </si>
  <si>
    <t>O ENSINO DE ULTRASSOM À BEIRA LEITO (POCUS) PULMONAR PEDIÁTRICO EM LABORATÓRIO DE SIMULAÇÃO DE BAIXA FIDELIDADE COMPARADO COM O ENSINO EM CAMPO DE PRÁTICA COM PACIENTES REAIS</t>
  </si>
  <si>
    <t>2270.01.0033347/2025-110</t>
  </si>
  <si>
    <t>Gabriel Haddad Diniz Ribeiro/ Cássio da Cunha Ibiapina</t>
  </si>
  <si>
    <t>RESIDENTE MÉDIC</t>
  </si>
  <si>
    <t xml:space="preserve"> ser residente de pediatria do primeiro ano cursando estágio no HIJPII</t>
  </si>
  <si>
    <t>dois meses de 2025  OU 2026</t>
  </si>
  <si>
    <t>gabrielhaddad09@gmail.com</t>
  </si>
  <si>
    <t>ENSINO DO ULTRASOM PULMONAR BEIRA LEITO MEDICO</t>
  </si>
  <si>
    <t>PEND CIP/NOVA VERSÃO</t>
  </si>
  <si>
    <t>PADRONIZAÇÃO DA TÉCNICA MEEK NO TRATAMENTO DE GRANDES QUEIMADOS: JUSTIFICATIVA CLÍNICA, LOGÍSTICA E ECONÔMICA</t>
  </si>
  <si>
    <t>2270.01.0033347/2025-111</t>
  </si>
  <si>
    <t>Kelly Danielle de Araujo</t>
  </si>
  <si>
    <t>Relato de experiência</t>
  </si>
  <si>
    <t>Implantação do MEEK na UTQ</t>
  </si>
  <si>
    <t>kelly.araujosilva@gmail.com</t>
  </si>
  <si>
    <t>TRAQUEOSTOMIA PRECOCE VERSUS TARDIA EM PACIENTES COM TRAUMA NEUROLÓGICO: IMPACTO SOBRE TEMPO DE VENTILAÇÃO MECÂNCIA E INTERNAÇÃO: ESTUDO DE CORTE PROSPECTIVA - HJXXIII</t>
  </si>
  <si>
    <t>2270.01.0033347/2025-112</t>
  </si>
  <si>
    <r>
      <rPr>
        <sz val="8"/>
        <color rgb="FF0000EE"/>
        <rFont val="Arial"/>
      </rPr>
      <t>Carla Bastos da Costa Almeida</t>
    </r>
    <r>
      <rPr>
        <sz val="8"/>
        <color theme="1"/>
        <rFont val="Arial"/>
      </rPr>
      <t xml:space="preserve">/ Romulo Andrade Souki e Gabriela Souza Fernandes.
 </t>
    </r>
  </si>
  <si>
    <t>Pacientes que serão
internados no Hospital João XXIII entre os meses de maio e novembro de 2025
e que serão submetidos a traqueostomia.</t>
  </si>
  <si>
    <t xml:space="preserve"> maio e novembro de 2025</t>
  </si>
  <si>
    <t>romulo.souki@fhemig.mg.gov.br</t>
  </si>
  <si>
    <t>Romulo Souki</t>
  </si>
  <si>
    <t>TQT PRECOCE X TARDIA TRAUMA NEUROL COORTE PROSPEC</t>
  </si>
  <si>
    <t>O QUE SE FAZ DA FALA DIANTE DE UM TRAUMA NO CORPO: UM RELATO DE CASO DE ORIENTAÇÃO PSICANALÍTICA</t>
  </si>
  <si>
    <t>2270.01.0033347/2025-113</t>
  </si>
  <si>
    <t>Raíssa Emmerich Santana? Joana Beatriz Costa Lara Rocha</t>
  </si>
  <si>
    <t>PSICOLOGIA</t>
  </si>
  <si>
    <t>Joana Beatriz Costa Lara Rocha</t>
  </si>
  <si>
    <t>TRAUMA EM CORPO ORIENT PSCIICANALITCA</t>
  </si>
  <si>
    <t>CHECAR PUBLICAÇÃO</t>
  </si>
  <si>
    <t xml:space="preserve"> NEFRITE INTERSTICIAL AGUDA INDUZIDA POR ESOMEPRAZOL:RELATO DE CASO</t>
  </si>
  <si>
    <t>2270.01.0033347/2025-114</t>
  </si>
  <si>
    <t>DANIEL SANTOS MARTINS// Lucas Muller Fonseca</t>
  </si>
  <si>
    <t>Clínica médica</t>
  </si>
  <si>
    <t>dsmartins.13@hotmail.com     lucmufonse@gmail.com</t>
  </si>
  <si>
    <t>NEFRITE</t>
  </si>
  <si>
    <t xml:space="preserve"> EQUIPE DE CÓDIGO AZUL: PERFIL CLÍNICO, INTERVENÇÕES E DESFECHOS DURANTE O PRIMEIRO ANO DE ATENDIMENTO EM UM HOSPITAL REFERÊNCIA EM TRAUMA</t>
  </si>
  <si>
    <t>2270.01.0033347/2025-115</t>
  </si>
  <si>
    <t>Isadora de Freitas Marcatto</t>
  </si>
  <si>
    <t>PCTES CÓDIGO AZUL</t>
  </si>
  <si>
    <t>De 01/03/2024 à 28/02/2025.</t>
  </si>
  <si>
    <t>imarcatto@estudante.ufscar.br</t>
  </si>
  <si>
    <t>CÓDIGO AZUL/ PERFIL CLIN</t>
  </si>
  <si>
    <t>COLANGITE OBSTRUTIVA SECUNDÁRIA À PÓLIPO DUODENAL EM PACIENTE COM POLIPOSE ADENOMATSA FAMILIAR - UM RELATO DE CASO</t>
  </si>
  <si>
    <t>2270.01.0033347/2025-116</t>
  </si>
  <si>
    <t>Julia Cheik Andrade-/  GUILHEREME DONINI</t>
  </si>
  <si>
    <t>Clinica médica</t>
  </si>
  <si>
    <t>guilherme.armiato@fhemig.mg.gov.br</t>
  </si>
  <si>
    <t>COLANGITE OBSTRUTIVA</t>
  </si>
  <si>
    <t>PRECISA DE ACESSO AO HOSPITAL</t>
  </si>
  <si>
    <t xml:space="preserve"> PERFIL EPIDEMIOLÓGICO DO TRAUMA RAQUIMEDULAR EM UM HOSPITAL DE REFERÊNCIA DE BELO HORIZONTE</t>
  </si>
  <si>
    <t>2270.01.0033347/2025-117</t>
  </si>
  <si>
    <r>
      <rPr>
        <sz val="9"/>
        <color rgb="FF0000FF"/>
        <rFont val="Calibri"/>
      </rPr>
      <t>MARCEO VIANA</t>
    </r>
    <r>
      <rPr>
        <sz val="9"/>
        <color rgb="FF000000"/>
        <rFont val="Calibri"/>
      </rPr>
      <t xml:space="preserve"> Maria Eduarda Teixeira de Oliveira Paula e Nicole Lai Liu</t>
    </r>
  </si>
  <si>
    <t>PUC-MG</t>
  </si>
  <si>
    <t>TRM</t>
  </si>
  <si>
    <t xml:space="preserve"> TRM atendidos pelo Hospital João XXIII no
período entre Outubro de 2023 e Outubro de 2024,</t>
  </si>
  <si>
    <t xml:space="preserve">maria.eduarda.txrp@gmail.com
</t>
  </si>
  <si>
    <t>PROJ JÁ APROVADO PELA PROPONENTE</t>
  </si>
  <si>
    <t xml:space="preserve">RETALHO MICROCIRÚRGICO DE FÍBULA COM IMPLANTE IMEDIATO X SEM IMPLANTE IMEDIATO PARA RECONSTRUÇÃO MANDIBULAR </t>
  </si>
  <si>
    <t>2270.01.0033347/2025-118</t>
  </si>
  <si>
    <t>Júlia Arrighi Silva/ MARCIO BRUNO A</t>
  </si>
  <si>
    <t>RESIDENTE BUCO</t>
  </si>
  <si>
    <t>A taxa de sucesso do retalho microcirúrgico de fíbula com implante
imediato e sem implante imediato na reconstrução mandibula</t>
  </si>
  <si>
    <t>JAN 2018- DEZ 2025</t>
  </si>
  <si>
    <t>marciobrunoamaral@gmail.com</t>
  </si>
  <si>
    <t>RETALHO MICROCIR FIBULA  RECONSTRU</t>
  </si>
  <si>
    <t>ASSINAT DIRETOR?</t>
  </si>
  <si>
    <t xml:space="preserve"> APLICAÇÃO DE CHECKLIST PRÉ-INTUBAÇÃO OROTRAQUEAL EM UM HOSPITAL DE PRONTO-SOCORRO </t>
  </si>
  <si>
    <t>2270.01.0033347/2025-119</t>
  </si>
  <si>
    <r>
      <rPr>
        <sz val="9"/>
        <color theme="1"/>
        <rFont val="Calibri"/>
      </rPr>
      <t xml:space="preserve">Angelo de Souza Ramos Filho/ </t>
    </r>
    <r>
      <rPr>
        <sz val="9"/>
        <color rgb="FF0000FF"/>
        <rFont val="Calibri"/>
      </rPr>
      <t xml:space="preserve">Armando </t>
    </r>
  </si>
  <si>
    <t>Pctes intubados  1 - Sala 1 (Politrauma); 2 - Sala 2 (Emergência clínicas); 3 - CTI; 4 - Semi-intensivo (3° andar); 5 - Enfermaria.</t>
  </si>
  <si>
    <t>março de 2025 a março de 2026</t>
  </si>
  <si>
    <t xml:space="preserve">monteiro.armando@gmail.com    angelosrf00@gmail.com         </t>
  </si>
  <si>
    <t>CHECKLIST PRE -INTUBAÇÃO</t>
  </si>
  <si>
    <t>APROVADO CEP FHEMIG</t>
  </si>
  <si>
    <t>2025/25</t>
  </si>
  <si>
    <t>CUIDADO EM QUEIMADURAS/EASPCE</t>
  </si>
  <si>
    <t>ANÁLISE DE INDICADORES DE QUALIDADE NA TERAPIA NUTRICIONAL E DESFECHOS CLÍNICOS DE PACIENTES QUEIMADOS INTERNADOS EM UM HOSPITAL DE REFERÊNCIA DE MINAS GERIAS</t>
  </si>
  <si>
    <t>2270.01.0033347/2025-120</t>
  </si>
  <si>
    <r>
      <rPr>
        <sz val="9"/>
        <color rgb="FF000000"/>
        <rFont val="Calibri"/>
      </rPr>
      <t xml:space="preserve"> AYLA MAGALHAES PORTO/ </t>
    </r>
    <r>
      <rPr>
        <sz val="9"/>
        <color rgb="FF000000"/>
        <rFont val="Calibri"/>
      </rPr>
      <t>Raphaela Pena e Carvalho/Débora Crystina Reis</t>
    </r>
  </si>
  <si>
    <t>Pacientes internados na Unidade
de Tratamento de Queimados graves</t>
  </si>
  <si>
    <t>Março, abril e maio de
2025.</t>
  </si>
  <si>
    <t xml:space="preserve"> aylamagalhaes@gmail.com    aylamagalhaes@gmail.com</t>
  </si>
  <si>
    <t>QUALIDADE TERAPIA NUTRICIONAL PCTE QUEIMADOS</t>
  </si>
  <si>
    <t xml:space="preserve"> O MANEJO DA TRANSFERÊNCIA NO TRATAMENTO DA ANGÚSTIA: A INTERVENÇÃO PSICANALÍTICA NO CONTEXTO DE UM HOSPITAL DE PRONTO-SOCORRO</t>
  </si>
  <si>
    <t>2270.01.0033347/2025-121</t>
  </si>
  <si>
    <t xml:space="preserve"> Ana Lindomar</t>
  </si>
  <si>
    <t>De maio e outubro de 2024.</t>
  </si>
  <si>
    <t>analindomarmaranhao@gmail.com sandra.dsouza@fhemig.mg.gov.br</t>
  </si>
  <si>
    <t>ANGUSTIA  INTERV PSICANALITICA</t>
  </si>
  <si>
    <t>O IMPACTO DO BANHO NA TEMPERATURA CORPORAL E NOS PARÂMETROS HEMODINÂMICOS DO PACIENTE ADULTO GRANDE QUEIMADO</t>
  </si>
  <si>
    <t>2270.01.0033347/2025-122</t>
  </si>
  <si>
    <t>Aline Patrícia Rodrigues da Silva</t>
  </si>
  <si>
    <t>Quase experimental</t>
  </si>
  <si>
    <t>Pacientes internados na UTQ - 9º andar, com idade maior ou igual a 18
anos, classificados como grande queimados, e com um tempo de trauma
superior a 72 h com indicação de banho completo e que não apresentem alterações
na temperatura corporal no momento do início do banho</t>
  </si>
  <si>
    <t>01/05/2027 A 01/07/2025</t>
  </si>
  <si>
    <t>ALINE</t>
  </si>
  <si>
    <t>TRANSPORTE AEROMÉDICO: DESFECHO DOS PACIENTES ATENDIDOS NO HOSPITAL DE ALTA COMPLEXIDADE EM URGÊNCIA E EMERGÊNCIA</t>
  </si>
  <si>
    <t>2270.01.0033347/2025-123</t>
  </si>
  <si>
    <t>Karen Helen Martins Canazar/ Natasha</t>
  </si>
  <si>
    <t>PCTES ADMITIDOS POR TRANPORTE AEROMEDICO</t>
  </si>
  <si>
    <t>Amostra dos pctes admitidos entre janeiro a julho de 2024,</t>
  </si>
  <si>
    <t xml:space="preserve">  karencanazart@gmail.com   natashapreis@gmail.com</t>
  </si>
  <si>
    <t>TRANSPORTE AEROMEDICO</t>
  </si>
  <si>
    <t>2025/33</t>
  </si>
  <si>
    <t>TELETUTORIA PARA FISIOTERAPEUTAS QUE REABILITAM PACIENTES VÍTIMAS DE QUEIMADURAS</t>
  </si>
  <si>
    <t>2270.01.0033347/2025-124</t>
  </si>
  <si>
    <r>
      <rPr>
        <sz val="9"/>
        <color theme="1"/>
        <rFont val="Calibri"/>
      </rPr>
      <t xml:space="preserve"> Iara Cristine Jardim Loyola /</t>
    </r>
    <r>
      <rPr>
        <sz val="9"/>
        <color rgb="FF0000FF"/>
        <rFont val="Calibri"/>
      </rPr>
      <t xml:space="preserve"> LUDMILLA DINIZ OLIVEIRA ANDRADE</t>
    </r>
  </si>
  <si>
    <t xml:space="preserve">Fisioterapeutas servidores da rede FHEMIG que atuam nos Centros de
reabilitação Casa de Saúde Santa Isabel, Casa de Saúde Santa Fé, Casa de Saúde
São Damião, Casa de Saúde São Francisco de Assis, com demanda de
atendimento aos pacientes vítimas de queimaduras. </t>
  </si>
  <si>
    <t xml:space="preserve">O estudo será realizado entre os meses de fevereiro a maio de 2025. </t>
  </si>
  <si>
    <t>ludmilladiniz82@gmail.com</t>
  </si>
  <si>
    <t>TELETUTORIA QUEIMADURAS</t>
  </si>
  <si>
    <t>CONHECIMENTO SOBRE HIPODERMÓCLISE: UM ESTUDO COM MÉDICOS E ENFERMEIROS EM UM HOSPITAL DE TRAUMA</t>
  </si>
  <si>
    <t>2270.01.0033347/2025-125</t>
  </si>
  <si>
    <r>
      <rPr>
        <sz val="9"/>
        <color theme="1"/>
        <rFont val="Calibri"/>
      </rPr>
      <t>BÁRBARA HELEN DOMINGOS
/</t>
    </r>
    <r>
      <rPr>
        <sz val="9"/>
        <color rgb="FF0000FF"/>
        <rFont val="Calibri"/>
      </rPr>
      <t>Gabriela Casanova Martins
 Tatiana de Abreu Coelho</t>
    </r>
  </si>
  <si>
    <t xml:space="preserve"> 13 médicos e 31 enfermeiros
que atuam nas unidades de internação do hospital, incluindo 3°, 5° e 6° andar.
</t>
  </si>
  <si>
    <t xml:space="preserve">Os dados serão coletados por três meses, entre março de 2025 e
junho de 2025. </t>
  </si>
  <si>
    <t>barbara_hdomingos@hotmail.com</t>
  </si>
  <si>
    <t>HIPODERMÓCLISE</t>
  </si>
  <si>
    <t>IMPACTO DO PREENCHIMENTO DE UMA LISTA DE CHECAGEM PRÉ EXTUBAÇÃO COMO INSTRUMENTO DE APOIO NO DESFECHO DE PACIENTES INTUBADOS EM UM CENTRO DE TERAPIA INTENSIVA ADULTO</t>
  </si>
  <si>
    <t>2270.01.0033347/2025-126</t>
  </si>
  <si>
    <t>Amanda Kelly Florentino / MONICA E LEONARDO FOGAÇA</t>
  </si>
  <si>
    <t xml:space="preserve"> Pacientes intubados que se encontram internados no CTI Adulto e no
CTI/CTQ</t>
  </si>
  <si>
    <t>será realizada entre os meses de fevereiro e abril de 2025.</t>
  </si>
  <si>
    <t>amandakellyflorentino2001@gmail.com              monicamiranda@yahoo.com.br     leonardoaftavares@gmail.com</t>
  </si>
  <si>
    <t xml:space="preserve">LISTA DE CHECAGEM PRE EXTUBAÇÃO </t>
  </si>
  <si>
    <t>PERFIL NUTRICIONAL DAS CRIANÇAS COM FIBROSE CÍSTICA PRÉ E PÓS USO DO MODULADOR DO CFTR</t>
  </si>
  <si>
    <t>2270.01.0033347/2025-127</t>
  </si>
  <si>
    <r>
      <rPr>
        <sz val="9"/>
        <color theme="1"/>
        <rFont val="Calibri"/>
      </rPr>
      <t xml:space="preserve">Ediane Ramos Magalhães/ </t>
    </r>
    <r>
      <rPr>
        <sz val="9"/>
        <color rgb="FF0000FF"/>
        <rFont val="Calibri"/>
      </rPr>
      <t>Marcelo Coelho Nogueira</t>
    </r>
    <r>
      <rPr>
        <sz val="9"/>
        <color theme="1"/>
        <rFont val="Calibri"/>
      </rPr>
      <t xml:space="preserve">
Cintia Cristiane Passos</t>
    </r>
  </si>
  <si>
    <t>aproxu// 70
crianças e adolescentes, entre 6 a 18 anos , com diagnóstico de fibrose
cística, elegíveis para o uso do modulador de CFTR (possuir variante F508del)</t>
  </si>
  <si>
    <t>casos atendidos no período de junho de 2024 a junho de 2025</t>
  </si>
  <si>
    <t>cintiacpassos@gmail.com
    edianeramos35@gmail.com
    mcoelhonogueira@gmail.com</t>
  </si>
  <si>
    <t>Aprovado no 3 PT</t>
  </si>
  <si>
    <t>PERFIL NUTRICIONAL FIBROSE CISTICA</t>
  </si>
  <si>
    <t>ATENDIMENTO A FAMILIARES DE CRIANÇAS E ADOLESCENTES
HOSPITALIZADOS EM UM PRONTO-SOCORRO APÓS TENTATIVA DE
SUICÍDIO</t>
  </si>
  <si>
    <t>2270.01.0033347/2025-128</t>
  </si>
  <si>
    <r>
      <rPr>
        <sz val="9"/>
        <color theme="1"/>
        <rFont val="Calibri"/>
      </rPr>
      <t xml:space="preserve">RENATA LAVINA ALVES DE ARAUJO/                </t>
    </r>
    <r>
      <rPr>
        <sz val="9"/>
        <color rgb="FF0000FF"/>
        <rFont val="Calibri"/>
      </rPr>
      <t xml:space="preserve">Luciene Oliveira Rocha
Lopes                                                                                         </t>
    </r>
    <r>
      <rPr>
        <sz val="9"/>
        <color theme="1"/>
        <rFont val="Calibri"/>
      </rPr>
      <t xml:space="preserve">                               </t>
    </r>
  </si>
  <si>
    <t xml:space="preserve">Crianças e adolescentes que tentaram suicídio e foram </t>
  </si>
  <si>
    <t>atendidas no Hospital de Pronto Socorro no periodo de 2020 a 2023</t>
  </si>
  <si>
    <t xml:space="preserve">   araujo.lavina@gmail.com lucieneoliveirarochalopes@gmail.com</t>
  </si>
  <si>
    <t>FAMILIARES DE CRIANÇAS E ADOLESCA TENTATIVO SUICIDIO</t>
  </si>
  <si>
    <t>2025/37</t>
  </si>
  <si>
    <t xml:space="preserve"> SÍNDROME DE PICKERING: UM RELATO DE CASO EM UM HOSPITAL TERCIÁRIO DE BELO HORIZONTE.</t>
  </si>
  <si>
    <t>2270.01.0033347/2025-129</t>
  </si>
  <si>
    <t xml:space="preserve">JOÃO OTÁVIO OLIVEIRA SILVA </t>
  </si>
  <si>
    <t>Emergência hipertensiva</t>
  </si>
  <si>
    <t>jotavioos.med@gmail.com</t>
  </si>
  <si>
    <t>SÍNDROME DE PICKERING</t>
  </si>
  <si>
    <t>REPROVADO CIP</t>
  </si>
  <si>
    <t>17/2025</t>
  </si>
  <si>
    <t>ABORDAGEM INICIAL AO PACIENTE QUEIMADO NO DEPARTAMENTO DE EMERGÊNCIA</t>
  </si>
  <si>
    <t>2270.01.0033347/2025-130</t>
  </si>
  <si>
    <t>Bruno Wilson Ferrufino Peredo / Armando Pinto Monteiro Neto</t>
  </si>
  <si>
    <t>Paciente queimado</t>
  </si>
  <si>
    <t>bruneits@gmail.com</t>
  </si>
  <si>
    <t>Armando Pinto</t>
  </si>
  <si>
    <t>Reprovado</t>
  </si>
  <si>
    <t xml:space="preserve">PCTE QUEIMADO NA EMERG </t>
  </si>
  <si>
    <t>2025/26</t>
  </si>
  <si>
    <t>CAAE: 86302725.3.0000.5119 PARECER 7.399.279</t>
  </si>
  <si>
    <t>FEBRE OROPOUCHE EM MINAS GERAIS EM 2024: UM MAPEAMENTO DA DISPERSÃO DO VÍRUS E SUAS IMPLICAÇÕES CLÍNICAS</t>
  </si>
  <si>
    <t>2270.01.0033347/2025-131</t>
  </si>
  <si>
    <t xml:space="preserve"> Daniela Caldas Teixeira</t>
  </si>
  <si>
    <t>Pacientes diagnosticados com FO no estado de Minas Gerais</t>
  </si>
  <si>
    <t>Maio de 2024 a dezembro de 2024</t>
  </si>
  <si>
    <t>caldas.dani@gmail.com</t>
  </si>
  <si>
    <t>FEBRE OROPUCHE</t>
  </si>
  <si>
    <t xml:space="preserve"> QUESTIONÁRIO EXPLORATÓRIO SOBRE A PRÁTICA BRASILEIRA DE USO DE MEDICAMENTOS ENTERAIS DURANTE O DESMAME DA ANALGOSEDAÇÃO ENDOVENOSA-</t>
  </si>
  <si>
    <t>2270.01.0033347/2025-132</t>
  </si>
  <si>
    <r>
      <rPr>
        <sz val="9"/>
        <color theme="1"/>
        <rFont val="Calibri"/>
      </rPr>
      <t>Maira Martins Prates Matos /</t>
    </r>
    <r>
      <rPr>
        <sz val="9"/>
        <color rgb="FF0000FF"/>
        <rFont val="Calibri"/>
      </rPr>
      <t>FREDERICO BRUZZI</t>
    </r>
  </si>
  <si>
    <t>Survey</t>
  </si>
  <si>
    <t>Médicos especialistas em medicina intensiva ou que possuem experiência no atendimento a pacientes graves</t>
  </si>
  <si>
    <t xml:space="preserve">A coleta de dados será realizada através de um questionário online,
que ficará disponível por 60 dias, entre Fevereiro  OU após aprovação pelo CEP) e Abril
de 2025. </t>
  </si>
  <si>
    <t>fredbruzcarv@gmail.com</t>
  </si>
  <si>
    <t>PRATICA MEDICAMENTO ENTERAIS DESMAME ANALGOSEDAÇÃO</t>
  </si>
  <si>
    <t>20/2025</t>
  </si>
  <si>
    <t>MUDARAM O TÍTULO NA FOLHA DE ROSTO</t>
  </si>
  <si>
    <t>ANÁLISE COMPARATIVA DA CAPACIDADE AO EXERCÍCIO EM INDIVÍDUOS ELEGÍVEIS E NÃO ELEGÍVEIS A TERAPIA TRIPLA</t>
  </si>
  <si>
    <t>2270.01.0033347/2025-133</t>
  </si>
  <si>
    <r>
      <rPr>
        <sz val="9"/>
        <color theme="1"/>
        <rFont val="Calibri"/>
      </rPr>
      <t>MARIA OLIVIA FERREIRA DE SOUSA/</t>
    </r>
    <r>
      <rPr>
        <sz val="9"/>
        <color rgb="FF0000FF"/>
        <rFont val="Calibri"/>
      </rPr>
      <t xml:space="preserve"> EVANIRSO AQUINO</t>
    </r>
  </si>
  <si>
    <t>Crianças e adolescentes com FC, de ambos os sexos, com idade entre seis e dezessete
anos que realizam tratamento para Fibrose Cística Ambulatorio de FIBROSE CISTICA</t>
  </si>
  <si>
    <t>A coleta dos dados será realizada em um período de 12 meses.  APOS APROV PELO CEP FHEMIG</t>
  </si>
  <si>
    <t xml:space="preserve"> 
mariaolivia1604@gmail.com             evanirso-aquino@uol.com.br
 </t>
  </si>
  <si>
    <t xml:space="preserve">CAPACIDADE EXERC  TERAPIA TRIPLA </t>
  </si>
  <si>
    <t>RELAÇÃO ENTRE A QUALIDADE DO TREINAMENTO DE CUIDADORES DE CRIANÇAS TRAQUEOSTOMIZADAS E READMISSÃO HOSPITALAR EM UM HOSPITAL PEDIÁTRICO</t>
  </si>
  <si>
    <t>2270.01.0033347/2025-134</t>
  </si>
  <si>
    <r>
      <rPr>
        <sz val="9"/>
        <color rgb="FF0000FF"/>
        <rFont val="Calibri"/>
      </rPr>
      <t>LARISSA F. CAMPOLINA SANTOS</t>
    </r>
    <r>
      <rPr>
        <sz val="9"/>
        <color theme="1"/>
        <rFont val="Calibri"/>
      </rPr>
      <t>/ Luanna Rodrigues Leite</t>
    </r>
  </si>
  <si>
    <t>Cuidadores de crianças TQT do  ambulatório do hospital infantil João Paulo II</t>
  </si>
  <si>
    <t xml:space="preserve"> Janeiro de
2025 a agosto de 2025. </t>
  </si>
  <si>
    <t>larissacampolina1@gmail.com     lrl.luanna@gmail.com  sarahfisio2000@gmail.com</t>
  </si>
  <si>
    <t>TREINAMENTO CUIDADORES PCTES FIB CISTICA / READMISSAO</t>
  </si>
  <si>
    <t>PERFIL DOS PACIENTES PEDIÁTRICOS COM FIBROSE CÍSTICA DE UM CENTRO DE REFERÊNCIA NO ESTADO DE MINAS GERAIS</t>
  </si>
  <si>
    <t>2270.01.0033347/2025-135</t>
  </si>
  <si>
    <r>
      <rPr>
        <sz val="9"/>
        <color theme="1"/>
        <rFont val="Calibri"/>
      </rPr>
      <t xml:space="preserve"> DÉBORA RIBEIRO VIEIRA/</t>
    </r>
    <r>
      <rPr>
        <sz val="9"/>
        <color rgb="FF0000FF"/>
        <rFont val="Calibri"/>
      </rPr>
      <t xml:space="preserve"> ALBERTO VERGARA</t>
    </r>
    <r>
      <rPr>
        <sz val="9"/>
        <color theme="1"/>
        <rFont val="Calibri"/>
      </rPr>
      <t xml:space="preserve"> </t>
    </r>
  </si>
  <si>
    <t xml:space="preserve">Observacional descritivo </t>
  </si>
  <si>
    <t>Banco de Dados do Hospital Infantil JoãoPauloII noRegistro Brasileiro de Fibrose Cística.</t>
  </si>
  <si>
    <t>BANCO DE DADOS DE 2009-2024</t>
  </si>
  <si>
    <t xml:space="preserve"> albertovergara1967@gmail.com
    vieiradeboraribeiro@gmail.com</t>
  </si>
  <si>
    <t>PERFIL FIBROSE CISTICA</t>
  </si>
  <si>
    <t>DESAFIOS NA APLICAÇÃO DO PROTOCOLO DE MANCHESTER NO HOSPITAL JOÃO XXIII NA PERCEPÇÃO DOS ENFERMEIROS</t>
  </si>
  <si>
    <t>2270.01.0033347/2025-136</t>
  </si>
  <si>
    <t xml:space="preserve">Romulo Breno Batista Soares </t>
  </si>
  <si>
    <t xml:space="preserve">Qualitativa </t>
  </si>
  <si>
    <t xml:space="preserve">  Enfermeiros do Hospital João XXIII atuantes no
acolhimento com classificação de risco, utilizando o Protocolo de Manchester. 
</t>
  </si>
  <si>
    <t>Os participantes com mais de 1 mês de experiencia no protocolo  serão entrevistados de Fevereiro a maio de 2025,</t>
  </si>
  <si>
    <t xml:space="preserve"> romulosocrates@gmail.com</t>
  </si>
  <si>
    <t>PROTOCOLO MANCHESTER</t>
  </si>
  <si>
    <t>PERCEPÇÃO DE FISIOTERAPEUTAS SOBRE O PAPEL DA ESPIRITUALIDADE NA REABILITAÇÃO DO PACIENTE VÍTIMA DE TRAUMATISMO RAQUIMEDULAR</t>
  </si>
  <si>
    <t>2270.01.0033347/2025-137</t>
  </si>
  <si>
    <r>
      <rPr>
        <sz val="9"/>
        <color theme="1"/>
        <rFont val="Calibri"/>
      </rPr>
      <t xml:space="preserve"> Lucas Magalhães de Freitas/ </t>
    </r>
    <r>
      <rPr>
        <sz val="9"/>
        <color rgb="FF0000FF"/>
        <rFont val="Calibri"/>
      </rPr>
      <t>Ludmilla</t>
    </r>
  </si>
  <si>
    <t xml:space="preserve">Fisioterapeutas efetivos ou contratados pertencentes a equipe de Fisioterapia do
HJXXIII. </t>
  </si>
  <si>
    <t>Os profissionais serão entrevistados no período de março a agosto de 2025</t>
  </si>
  <si>
    <t>lucasmagalhaes1999@gmail.com</t>
  </si>
  <si>
    <t xml:space="preserve">FISIOTERAPEUTAS/ESPIRITUALIDADE </t>
  </si>
  <si>
    <t>QUALIDADE DO SONO EM PESSOAS COM FIBROSE CÍSTICA PRÉ E PÓS TERAPIA TRIPLA: UM ESTUDO LONGITUDINAL</t>
  </si>
  <si>
    <t>2270.01.0033347/2025-138</t>
  </si>
  <si>
    <r>
      <rPr>
        <sz val="9"/>
        <color rgb="FF000000"/>
        <rFont val="Calibri"/>
      </rPr>
      <t xml:space="preserve">CRISTIANE GERALDA DE OLIVEIRA LIMA / </t>
    </r>
    <r>
      <rPr>
        <sz val="9"/>
        <color rgb="FF0000EE"/>
        <rFont val="Calibri"/>
      </rPr>
      <t>Evanirso da Silva Aquino e Luanna Rodrigues Leite</t>
    </r>
  </si>
  <si>
    <t>Crianças e adolescentes com fibrose cística</t>
  </si>
  <si>
    <t>evanirso-aquino@uol.com.br
    cristianeglima50@gmail.com
    lrl.luanna@gmail.com</t>
  </si>
  <si>
    <t>SONO FIBROSE CISTICA             TERAPIA TRIPLA</t>
  </si>
  <si>
    <t>APREC CEP PROPON</t>
  </si>
  <si>
    <t>PERFIL EPIDEMIOLÓGICO DAS VÍTIMAS DE TRAUMATISMO CRANIOENCEFÁLICO ATENDIDOS EM UM HOSPITAL PÚBLICO DE REFERÊNCIA EM TRAUMATOLOGIA DE MINAS GERAIS.</t>
  </si>
  <si>
    <t>2270.01.0033347/2025-139</t>
  </si>
  <si>
    <r>
      <rPr>
        <sz val="9"/>
        <color theme="1"/>
        <rFont val="Calibri"/>
      </rPr>
      <t xml:space="preserve">LAURA RODRIGUES FONSECA e HUGO NACIF / </t>
    </r>
    <r>
      <rPr>
        <sz val="9"/>
        <color rgb="FF0000EE"/>
        <rFont val="Calibri"/>
      </rPr>
      <t>Cíntia Horta Rezende e Luciana Reis da Silveira</t>
    </r>
  </si>
  <si>
    <t>CIENCIAS MÉDICAS</t>
  </si>
  <si>
    <t>PERFIL EPIDEMIOLÓGICO TCE</t>
  </si>
  <si>
    <t>AGOSTO A SETEMBRO 2025</t>
  </si>
  <si>
    <t>cintiahorta27@gmail.com
    laurarfn7@gmail.com</t>
  </si>
  <si>
    <t>2025/36</t>
  </si>
  <si>
    <t>MORTALIDADE E SOBREVIVÊNCIA APÓS TRAUMATISMO RAQUIMEDULAR: UMA ABORDAGEM RETROSPECTIVA DE FATORES DETERMINANTES</t>
  </si>
  <si>
    <t>2270.01.0033347/2025-140</t>
  </si>
  <si>
    <r>
      <rPr>
        <sz val="9"/>
        <color theme="1"/>
        <rFont val="Calibri"/>
      </rPr>
      <t xml:space="preserve">HIGOR LUIZ DUARTE VIEIRA / </t>
    </r>
    <r>
      <rPr>
        <sz val="9"/>
        <color rgb="FF0000EE"/>
        <rFont val="Calibri"/>
      </rPr>
      <t>Leonardo Augusto Fogaça Tavares e Mônica Miranda de Freitas</t>
    </r>
  </si>
  <si>
    <t>MORTALIDADE E SOBREVIVÊNCIA TRM (UTI, USI e enfermarias)</t>
  </si>
  <si>
    <t>ABRIL A SETEMBRO 2025</t>
  </si>
  <si>
    <t xml:space="preserve"> higorluiz90@yahoo.com.br
    leonardoaftavares@gmail.com
    monicamirandaf@yahoo.com.br</t>
  </si>
  <si>
    <t>MORTALIDADE TRM</t>
  </si>
  <si>
    <t>ANÁLISE DA INDICAÇÃO DE CATETERISMO CARDÍACO EM PACIENTES COM SÍNDROME CORONARIANA AGUDA EM UMA UNIDADE DE EMERGÊNCIA DE BELO HORIZONTE DE MG</t>
  </si>
  <si>
    <t>2270.01.0033347/2025-141</t>
  </si>
  <si>
    <r>
      <rPr>
        <sz val="9"/>
        <color theme="1"/>
        <rFont val="Calibri"/>
      </rPr>
      <t>GABRIEL SANTOS/GABRIEL ESTEVES/</t>
    </r>
    <r>
      <rPr>
        <sz val="9"/>
        <color rgb="FF0000FF"/>
        <rFont val="Calibri"/>
      </rPr>
      <t xml:space="preserve"> FRED AMANCIO</t>
    </r>
  </si>
  <si>
    <t>Pacientes internados no hospital João XXIII, que
tiveram diagnóstico de síndrome coronariana aguda e foram encaminhados para
hospitais cardiológicos para realização de cateterismo cardíaco</t>
  </si>
  <si>
    <t xml:space="preserve">Tds os pctes internados HJXXIII, incluindo os s/internação prévia tanto qto os sujeitos já internados
entre julho 2023 a dezembro 2024. 
</t>
  </si>
  <si>
    <t xml:space="preserve">gabrielbarbosafigueira@gmail.com
</t>
  </si>
  <si>
    <t xml:space="preserve">CATETERISMO CARDIACO SIND CORONARIANA </t>
  </si>
  <si>
    <t>15/2025</t>
  </si>
  <si>
    <t>EPIDEMIOLOGIA DO TRAUMA OCULAR EM HOSPITAL DE REFERÊNCIA EM TRAUMA DE BELO HORIZONTE, BRASIL- HJXXIII</t>
  </si>
  <si>
    <t>2270.01.0033347/2025-142</t>
  </si>
  <si>
    <t>Bernardo Fontoura Castro Carvalho/</t>
  </si>
  <si>
    <t>levantamento epidemiológico dos pacientes vítimas de trauma ocular atendidos
no Hospital João XXIII</t>
  </si>
  <si>
    <t>PACIENTES ATENDIDOS de fevereiro de 2015 a junho de 2024.</t>
  </si>
  <si>
    <r>
      <rPr>
        <sz val="9"/>
        <color rgb="FF000000"/>
        <rFont val="Arial"/>
      </rPr>
      <t xml:space="preserve">  drcarv</t>
    </r>
    <r>
      <rPr>
        <b/>
        <sz val="9"/>
        <color rgb="FF000000"/>
        <rFont val="Arial"/>
      </rPr>
      <t>alhobernardo@gmail.com</t>
    </r>
  </si>
  <si>
    <t>TRAUMA OCULAR</t>
  </si>
  <si>
    <t>72/2025 ESTÁ NO BLOCO INTERNO DE 2026 (PROCESSO 21)</t>
  </si>
  <si>
    <t>PARECER 8.176.366
CAAE 91828325.7.3001.5119</t>
  </si>
  <si>
    <t>DIAGNOSIS RELATED GROUPS: ANÁLISE DOS DADOS CLÍNICOS E LABORATORIAIS DE PACIENTES COM QUEIMADURAS DO HOSPITAL JOÃO XXIII - FHEMIG</t>
  </si>
  <si>
    <t>2270.01.0033347/2025-143</t>
  </si>
  <si>
    <t>CINTIA CARVALHO/Dr. ALFREDO GRAGNANI</t>
  </si>
  <si>
    <t>UNIFESP</t>
  </si>
  <si>
    <t>pacientes com queimaduras internados no HJXXIII</t>
  </si>
  <si>
    <t xml:space="preserve"> DE julho de 2023 a julho de 2025.</t>
  </si>
  <si>
    <t>carvalho.cintiaa@gmail.com</t>
  </si>
  <si>
    <t>CINTIA GODINHO</t>
  </si>
  <si>
    <t xml:space="preserve">QUEIMADURAS </t>
  </si>
  <si>
    <t>ANÁLISE DOS FATORES LIMITANTES RELATADOS PELAS VÍTIMAS DE QUEIMADURA DURANTE O PROCESSO DE REABILITAÇÃO FISIOTERAPÊUTICA AMBULATORIAL</t>
  </si>
  <si>
    <t>2270.01.0033347/2025-144</t>
  </si>
  <si>
    <r>
      <rPr>
        <sz val="9"/>
        <color theme="1"/>
        <rFont val="Calibri"/>
      </rPr>
      <t>Fernanda Honório Figueiredo /</t>
    </r>
    <r>
      <rPr>
        <sz val="9"/>
        <color rgb="FF0000EE"/>
        <rFont val="Calibri"/>
      </rPr>
      <t xml:space="preserve"> Ludmilla Andrade</t>
    </r>
  </si>
  <si>
    <t>pacientes vítimas de queimadura em
acompanhamento no ambulatório de retorno adulto do HJXXIII</t>
  </si>
  <si>
    <t xml:space="preserve">Entrevista semi estruturada, será realizada entre os meses
de Abril a Junho de 2025.
</t>
  </si>
  <si>
    <t>FATORES LIMITANTES QUEIMADURAS REABILITAÇÃO</t>
  </si>
  <si>
    <t>2025/30</t>
  </si>
  <si>
    <t>TRATAMENTO DA PNEUMONIA ADQUIRIDA NA COMUNIDADE EM UM HOSPITAL PEDIATRICO DE MINAS GERAIS</t>
  </si>
  <si>
    <t>2270.01.0033347/2025-145</t>
  </si>
  <si>
    <r>
      <rPr>
        <sz val="9"/>
        <color rgb="FF000000"/>
        <rFont val="Calibri"/>
      </rPr>
      <t xml:space="preserve">JULIA DONADONI e MABELLE FRAGOSO / </t>
    </r>
    <r>
      <rPr>
        <sz val="9"/>
        <color rgb="FF000000"/>
        <rFont val="Calibri"/>
      </rPr>
      <t>Lívia Isabela Oliveira</t>
    </r>
  </si>
  <si>
    <t>Crianças (0 -14 anos) com pneumonia bacteriana</t>
  </si>
  <si>
    <t>1o. semestre / 2026</t>
  </si>
  <si>
    <t xml:space="preserve">  juliadc10@hotmail.com</t>
  </si>
  <si>
    <t>Livia Isabela Oliveira (orientadora)</t>
  </si>
  <si>
    <t>PNM  COMUNIDADE PEDIATRIA</t>
  </si>
  <si>
    <t>2025/28</t>
  </si>
  <si>
    <t>USO DA REALIDADE VIRTUAL COMO MÉTODO NÃO FARMACOLÓGICO NO TRATAMENTO DA DISPNEIA NA PEDIATRIA</t>
  </si>
  <si>
    <t>2270.01.0033347/2025-146</t>
  </si>
  <si>
    <r>
      <rPr>
        <sz val="9"/>
        <color rgb="FF000000"/>
        <rFont val="Calibri"/>
      </rPr>
      <t xml:space="preserve">MARIANA PEREIRA DRUMOND / </t>
    </r>
    <r>
      <rPr>
        <sz val="9"/>
        <color rgb="FF000000"/>
        <rFont val="Calibri"/>
      </rPr>
      <t>Sarah Costa Drumond de Oliveira Moura e Rita de Cassia Guedes</t>
    </r>
  </si>
  <si>
    <t>Expermental pareado</t>
  </si>
  <si>
    <t>Crianças (04 a 18 anos) com dispneia.</t>
  </si>
  <si>
    <t>no período de junho de 2024 a junho de 2025</t>
  </si>
  <si>
    <t>marianadrumond45@gmail.com
    scdom0111@gmail.com
    fisioritaguedes@hotmail.com</t>
  </si>
  <si>
    <t>Sarah Costa Drumond de Oliveira Moura e Rita de Cassia Guedes (orientadoras)</t>
  </si>
  <si>
    <t>REALIDADE VIRTUAL   DISPNEIA PEDIATRIA</t>
  </si>
  <si>
    <t>2025/29</t>
  </si>
  <si>
    <t>CARACTERÍSTICAS CLÍNICAS E EPIDEMIOLÓGICAS DA HIPERTENSÃO PULMONAR EM UM CENTRO DE REFERÊNCIA EM PNEUMOLOGIA PEDIÁTRICA DE BELO HORIZONTE/MG</t>
  </si>
  <si>
    <t>2270.01.0033347/2025-147</t>
  </si>
  <si>
    <r>
      <rPr>
        <sz val="8"/>
        <color rgb="FF000000"/>
        <rFont val="Arial"/>
      </rPr>
      <t xml:space="preserve">ALICE DE PAULA MACHADO / </t>
    </r>
    <r>
      <rPr>
        <sz val="8"/>
        <color rgb="FF000000"/>
        <rFont val="Arial"/>
      </rPr>
      <t>Fernanda Tormin Tanos Lopes</t>
    </r>
  </si>
  <si>
    <t>Pacientes de 0 -19 anos com hipertensão arterial pulmonar</t>
  </si>
  <si>
    <t>Outubro e novembro / 2025</t>
  </si>
  <si>
    <t xml:space="preserve">alicepmachado@yahoo.com.br  fernandatormin@gmail.com  </t>
  </si>
  <si>
    <t xml:space="preserve"> Fernanda Tormin Tanos Lopes (orientadora)</t>
  </si>
  <si>
    <t xml:space="preserve">HIPERTE PULMONAR PEDIATRIA </t>
  </si>
  <si>
    <t>PERFIL DE PRESCRIÇÃO DE TRATAMENTO SINTOMÁTICO PARA PACIENTES EM CUIDADOS PALIATIVOS NO FINAL DE VIDA</t>
  </si>
  <si>
    <t>2270.01.0033347/2025-148</t>
  </si>
  <si>
    <t>Maria Paula Oliveira Trindade Faustino</t>
  </si>
  <si>
    <t xml:space="preserve"> Todos os setores do Hospital João XXIII que receberam pacientes atendidos pela Equipe de
Cuidados Paliativos</t>
  </si>
  <si>
    <t>Setembro de 2024 a
julho de 2025</t>
  </si>
  <si>
    <t>mpaulaffaustino@gmail.com</t>
  </si>
  <si>
    <t>TRATAMENT SINTOM CUIDADOS PALIATIVOS</t>
  </si>
  <si>
    <t xml:space="preserve">AVALIAÇÃO DA ADESÃO AO TRATAMENTO EM PESSOAS COM FIBROSE
CÍSTICA, APÓS USO DA TERAPIA TRIPLA
</t>
  </si>
  <si>
    <t>2270.01.0015005/2025-47</t>
  </si>
  <si>
    <r>
      <rPr>
        <sz val="9"/>
        <color theme="1"/>
        <rFont val="Calibri"/>
      </rPr>
      <t>Nyellen Raynanda Serra Pereira/</t>
    </r>
    <r>
      <rPr>
        <sz val="9"/>
        <color rgb="FF0000FF"/>
        <rFont val="Calibri"/>
      </rPr>
      <t>Evanirso da Silva Aquino</t>
    </r>
  </si>
  <si>
    <t>Pacientes atendidos no ambulatório de fibrose cística</t>
  </si>
  <si>
    <t>Serão analisados os prontuários dos  entre setembro de 2024 e
julho de 2025.</t>
  </si>
  <si>
    <t xml:space="preserve">nyellenraynanda@gmail.com
    evanirso-aquino@uol.com.br
</t>
  </si>
  <si>
    <t>FIBROSE CISTICA             TERAPIA TRIPLA</t>
  </si>
  <si>
    <t xml:space="preserve"> NECESSIDADES CLÍNICAS E PSICOSSOCIAIS DE PACIENTES GRANDES QUEIMADOS: UMA ANÁLISE PÓS ALTA HOSPITALAR - HJXXIII</t>
  </si>
  <si>
    <t>2270.01.0015632/2025-93</t>
  </si>
  <si>
    <t xml:space="preserve"> Daniela Carreiro de Mello</t>
  </si>
  <si>
    <t xml:space="preserve">Pacientes classificados como grandes queimados
em acompanhamento ambulatorial, maiores de 18 anos, dispostos a
compartilhar suas experiências.
</t>
  </si>
  <si>
    <t>Entre os meses de
agosto a dezembro de 2025</t>
  </si>
  <si>
    <t>danielacmello@gmail.com</t>
  </si>
  <si>
    <t>UTILIZAÇÃO DE TERMOPLÁSTICO BICOMPATÍVEL IMPREGANDO COM VANCOMICINA</t>
  </si>
  <si>
    <t>2270.01.0020720/2025-69</t>
  </si>
  <si>
    <r>
      <rPr>
        <sz val="9"/>
        <color theme="1"/>
        <rFont val="Calibri"/>
      </rPr>
      <t>Rodrigo Moreira Faleiro/</t>
    </r>
    <r>
      <rPr>
        <sz val="9"/>
        <color rgb="FF0000FF"/>
        <rFont val="Calibri"/>
      </rPr>
      <t>Felipe Francisco Bondan Tuon</t>
    </r>
  </si>
  <si>
    <t>PUCPR -PARANA</t>
  </si>
  <si>
    <t>Estudo clínico fase 1</t>
  </si>
  <si>
    <t>Pacientes com mais de 18 anos, qualquer gênero, indicação de cranioplastia, ter assinado o TCLE.</t>
  </si>
  <si>
    <t>rodrigo.faleiro@fhemig.mg.gov.br</t>
  </si>
  <si>
    <t>Rodrigo Faleiro</t>
  </si>
  <si>
    <t xml:space="preserve"> REPROVADO</t>
  </si>
  <si>
    <t>Pendência</t>
  </si>
  <si>
    <t>24/2025</t>
  </si>
  <si>
    <t>IMPLANTAÇÃO E AVALIAÇÃO DA SALA HÍBRIDA DE TRAUMA NO HOSPITAL JOÃO XXIII: UM ESTUDO PROSPECTIVO E RETROSPECTIVO</t>
  </si>
  <si>
    <t>2270.01.0021278/2025-38</t>
  </si>
  <si>
    <t>MARIA CLARA BATISTA ANDRADE/ Rodrigo Muzzi de Oliveira Safe</t>
  </si>
  <si>
    <t>Pacientes atendidos na Sala de Trauma</t>
  </si>
  <si>
    <t>Janeiro e fevereiro de 2026</t>
  </si>
  <si>
    <t xml:space="preserve">  rmsafe@gmail.com
    mariaclarabatistaic@gmail.com
    jordana.caixeta@sga.pucminas.br</t>
  </si>
  <si>
    <t>Rodrigo Muzzi</t>
  </si>
  <si>
    <t xml:space="preserve">SALADA HIBRIDA DE TRAUMA </t>
  </si>
  <si>
    <t>2025/31</t>
  </si>
  <si>
    <t>USO DE HEMOCOMPONENTES POR ANESTESIOLOGISTAS DO HOSPITAL JOÃO XXIII</t>
  </si>
  <si>
    <t>2270.01.0021293/2025-21</t>
  </si>
  <si>
    <t>CÉSAR PAIVA ARAÚJO  / Luciana Cota</t>
  </si>
  <si>
    <t>Anestesiologistas do HJXXIII</t>
  </si>
  <si>
    <t>Julho de 2025</t>
  </si>
  <si>
    <t>cesarpaivamg@gmail.com</t>
  </si>
  <si>
    <t>Luciana Cota</t>
  </si>
  <si>
    <t>HEMOCOMPONENTES BOLOC CIRURG</t>
  </si>
  <si>
    <t>23/2025</t>
  </si>
  <si>
    <t>ESTUDO DESCRITIVO DOS PACIENTES PORTADORES DE LESÃO DO PLEXO BRAQUIAL NO MAIOR HOSPITAL DE TRAUMA DA AMPERICA LATINA</t>
  </si>
  <si>
    <t>2270.01.0024717/2025-14</t>
  </si>
  <si>
    <t xml:space="preserve">Leonardo Barnsley Araújo </t>
  </si>
  <si>
    <t>EMENDA PROJ INTERNO</t>
  </si>
  <si>
    <t>Paciente com lesão Plexo braquial</t>
  </si>
  <si>
    <t>lleobarnsley993@hotmail.comlleobarnsley993@hotmail.com</t>
  </si>
  <si>
    <t>Não ainda.</t>
  </si>
  <si>
    <t xml:space="preserve"> IMPACTO DE INTERVENÇÃO EDUCATIVA NO CONHECIMENTO SOBRE PREVENÇÃO DE INFECÇÃO DO TRATO URINÁRIO ASSOCIADA A CATETER VESICAL DE DEMORA: ESTUDO QUASE-EXPERIMENTAL</t>
  </si>
  <si>
    <t>2270.01.0025857/2025-80</t>
  </si>
  <si>
    <r>
      <rPr>
        <sz val="10"/>
        <color rgb="FF0000FF"/>
        <rFont val="Arial"/>
      </rPr>
      <t>João Victor Fonseca de Carvalho</t>
    </r>
    <r>
      <rPr>
        <sz val="10"/>
        <color theme="1"/>
        <rFont val="Arial"/>
      </rPr>
      <t xml:space="preserve">/André Luiz Silva Alvim
Mª. Luzia Maria dos
Santos
</t>
    </r>
  </si>
  <si>
    <t>Serão incluídos na amostra do estudo
profissionais de enfermagem do nível técnico e superior do turno das 07h às 19h que aceitarem
participar da intervenção, com assinatura do TCLE, e que atuem regularmente na área da Terapia
Intensiva</t>
  </si>
  <si>
    <t>joaovictorfonsecarvalho@gmail.com</t>
  </si>
  <si>
    <t>Enf. Luzia Maria dos Santos</t>
  </si>
  <si>
    <t>PREVENÇAO INFECÇÃO TRATO URINARIO</t>
  </si>
  <si>
    <t>COMPARAÇÃO ENTRE DOIS PROTOCOLOS DE DIETA HIPERAQUECIDA NO TRATAMENTO DA ALERGIA ALIMENTAR: tempo médio para aquisição de tolerância</t>
  </si>
  <si>
    <t>Sarah Mahler Calil / Chalene Guimaraes Soares Mezencio</t>
  </si>
  <si>
    <t>Coorte Prospectivo</t>
  </si>
  <si>
    <t>Crianças com diagnóstico de alergia alimentar</t>
  </si>
  <si>
    <t>1o. semestre/2025 a 1o. semestre/2026 (1 ano e meio de coleta)</t>
  </si>
  <si>
    <t xml:space="preserve"> sarah_smc@hotmail.com
</t>
  </si>
  <si>
    <t>Chalene Guimaraes Soares Mezencio</t>
  </si>
  <si>
    <t>DIETA PREAQUECIDA</t>
  </si>
  <si>
    <t>FENICE 2 - DESAFIO DE FLUIDOTERAPIA EM CUIDADOS INTENSIVOS: UM ESTUDO DE CORTE PROSPECTIVO MULTICÊNTRICO</t>
  </si>
  <si>
    <t>2270.01.0063976/2024-40</t>
  </si>
  <si>
    <t>Frederico Bruzzi/Dra. Flávia Ribeiro Machado</t>
  </si>
  <si>
    <t>Todos os pacientes adultos consecutivos (≥18 anos) admitidos na UTI e com
expectativa de permanência de pelo menos 48 horas</t>
  </si>
  <si>
    <t>projeto aprovado pelo CEP até julho de 2025</t>
  </si>
  <si>
    <t xml:space="preserve"> fredbruzcarv@gmail.com</t>
  </si>
  <si>
    <t>Frederico Bruzzi</t>
  </si>
  <si>
    <t>EM APRECIACAO CIP</t>
  </si>
  <si>
    <t xml:space="preserve">CIÊNCIA E INOVAÇÃO PARA ENFRENTAMENTO DA PANDEMIA DE COVID-19, POR MEIO DE AÇÕES VINCULADAS AO DIAGNÓSTICO DE SARS-CoV2 </t>
  </si>
  <si>
    <t>2270.01.0067400/2023-36</t>
  </si>
  <si>
    <r>
      <rPr>
        <sz val="9"/>
        <color theme="1"/>
        <rFont val="Calibri"/>
      </rPr>
      <t>ANA PAULA SALLES MOURA FERNANDES/</t>
    </r>
    <r>
      <rPr>
        <sz val="9"/>
        <color rgb="FF0000FF"/>
        <rFont val="Calibri"/>
      </rPr>
      <t xml:space="preserve"> Livia Isabela de Oliveira</t>
    </r>
  </si>
  <si>
    <t>As amostras de swab nasal e de orofaringe serão coletadas nas unidades de saúde
Após a coleta, os swabs serão
acondicionados em 3,0mL de meio de transporte (vide manual do Ministério da
Saúde</t>
  </si>
  <si>
    <t>2025- Set 2026</t>
  </si>
  <si>
    <t xml:space="preserve">liviaoliveirahijpii@gmail.com
</t>
  </si>
  <si>
    <t>Livia Isabela de Oliveira</t>
  </si>
  <si>
    <t>SARS -COV</t>
  </si>
  <si>
    <t>EFEITO DE UMA INTERVENÇÃO COM SIMULAÇÃO NO CONHECIMENTO DE ENFERMEIROS DE UMA UNIDADE DE TERAPIA INTENSIVA ADULTA SOBRE O TRATAMENTO DE LESÕES POR PRESSÃO</t>
  </si>
  <si>
    <t>2270.01.0075448/2024-17</t>
  </si>
  <si>
    <r>
      <rPr>
        <sz val="9"/>
        <color theme="1"/>
        <rFont val="Calibri"/>
      </rPr>
      <t xml:space="preserve">Michelle Souza Nascimento/Allana dos Reis Corrêa/ </t>
    </r>
    <r>
      <rPr>
        <sz val="9"/>
        <color rgb="FF0000FF"/>
        <rFont val="Calibri"/>
      </rPr>
      <t>Diana de Andrade Rezende</t>
    </r>
  </si>
  <si>
    <t>A coleta de dados será realizada no período de julho a agosto de 2025</t>
  </si>
  <si>
    <t>michelle_souza@outlook.commi</t>
  </si>
  <si>
    <t>TRATAMENTO       ULCERAS PRESSAO</t>
  </si>
  <si>
    <t>DESVIO À ESQUERDA COMO ACHADO DE PACIENTES COM DENGUE E SUA CORRELAÇÃO COM A GRAVIDADE DO QUADRO'</t>
  </si>
  <si>
    <t xml:space="preserve">2270.01.0031741/2025-98
</t>
  </si>
  <si>
    <r>
      <rPr>
        <sz val="9"/>
        <color rgb="FF0000EE"/>
        <rFont val="Calibri"/>
      </rPr>
      <t>Jonathan Júnio de Souza Oliveira</t>
    </r>
    <r>
      <rPr>
        <sz val="9"/>
        <color theme="1"/>
        <rFont val="Calibri"/>
      </rPr>
      <t>/Juliana Mattos Tavares</t>
    </r>
  </si>
  <si>
    <t xml:space="preserve">Serão analisados os prontuários e exames laboratoriais </t>
  </si>
  <si>
    <t>pctes atendidos durante o
período de janeiro a abril de 2024.</t>
  </si>
  <si>
    <t>ojuniojonathan@gmail.com
    jumattostavares@gmail.com</t>
  </si>
  <si>
    <t>Juliana Mattos Tavares</t>
  </si>
  <si>
    <t xml:space="preserve">DENGUE </t>
  </si>
  <si>
    <r>
      <rPr>
        <sz val="8"/>
        <color theme="1"/>
        <rFont val="Calibri"/>
      </rPr>
      <t xml:space="preserve">PRÁTICA ATUAL DE ESTRATÉGIAS DE VENTILAÇÃO EM CRIANÇAS SUBMETIDAS À ANESTESIA GERAL E ASSOCIAÇÕES COM COMPLICAÇÕES PULMONARES PÓS-OPERATÓRIAS - UM ESTUDO MULTICÊNTRICO DE CORTE PROSPECTIVO
</t>
    </r>
    <r>
      <rPr>
        <sz val="8"/>
        <color theme="1"/>
        <rFont val="Calibri"/>
      </rPr>
      <t>Os investigadores do BIG APPLE</t>
    </r>
  </si>
  <si>
    <t xml:space="preserve"> 2270.01.0027449/2025-67</t>
  </si>
  <si>
    <r>
      <rPr>
        <sz val="9"/>
        <color theme="1"/>
        <rFont val="Calibri"/>
      </rPr>
      <t xml:space="preserve">Vinícius Caldeira Quintão/   </t>
    </r>
    <r>
      <rPr>
        <sz val="9"/>
        <color rgb="FF0000EE"/>
        <rFont val="Calibri"/>
      </rPr>
      <t xml:space="preserve">  Luciana Cota</t>
    </r>
  </si>
  <si>
    <t>HCFMUSP</t>
  </si>
  <si>
    <t xml:space="preserve">Internacional prospec observ multicent  </t>
  </si>
  <si>
    <t xml:space="preserve"> pacientes de até 16 anos de idade submetidos à ventilação invasiva para anestesia geral em sala cirúrgica</t>
  </si>
  <si>
    <t>JUNHO a JULHO de 2025</t>
  </si>
  <si>
    <t>anestesia.fhemig@gmail.com</t>
  </si>
  <si>
    <t>2025/41</t>
  </si>
  <si>
    <r>
      <rPr>
        <sz val="8"/>
        <color theme="1"/>
        <rFont val="Calibri"/>
      </rPr>
      <t>ANÁLISE DESCRITIVA DA ATUAÇÃO DE UMA EQUIPE DE CUIDADOS PALIATIVOS NO TEMPODEINTERNAÇÃO E NÚMERO DE ÓBITOS DE PACIENTES EM UM HOSPITAL DE ALTA COMPLEXIDADE DE MINAS GERAIS. (</t>
    </r>
    <r>
      <rPr>
        <sz val="8"/>
        <color rgb="FFFF0000"/>
        <rFont val="Calibri"/>
      </rPr>
      <t>O TÍTULO MUDOU</t>
    </r>
    <r>
      <rPr>
        <sz val="8"/>
        <color theme="1"/>
        <rFont val="Calibri"/>
      </rPr>
      <t>)</t>
    </r>
  </si>
  <si>
    <t>2270.01.0032352/2025-91</t>
  </si>
  <si>
    <t xml:space="preserve"> Iandra de Freitas Oliveira ///Luisa Cinque de Melo( servidora HJXXIII)</t>
  </si>
  <si>
    <t xml:space="preserve"> pacientes que estiveraminternados no Hospital João XXIII, independente do setor, entre os mesesdejaneiro de 2023 e abril de 2025, com condições de saúde elegíveisaassistência pela equipe de cuidados paliativos, com seguimentoclínicoauxiliado por esta especialidade.</t>
  </si>
  <si>
    <t xml:space="preserve"> Janeiro de 2023 e abril de 2025</t>
  </si>
  <si>
    <t>paliativosjoaoxxiii@gmail.com           iandra_eva@hotmail.com</t>
  </si>
  <si>
    <t xml:space="preserve">Luzia </t>
  </si>
  <si>
    <t>CUIDADOS PALIATIVOS</t>
  </si>
  <si>
    <t>2025/42</t>
  </si>
  <si>
    <t>CRANITOMIA DESCOMPRESSIVA EM PACIENTES COM HIPERTENSÃO INTRACRANIANA: ANÁLISE RETROSPECTIVA DE DESFECHOS NEUROLÓGICOS EM UM HOSPITAL BRASILEIRO DE REFERÊNCIA EM TRAUMA</t>
  </si>
  <si>
    <t>2270.01.0032945/2025-85</t>
  </si>
  <si>
    <t>Cintia Horta/ Alexandre/ Márcia Cristina da Silva</t>
  </si>
  <si>
    <t>todos os pacientes atendidos no
Hospital João XXIII, da rede FHEMIG, que foram submetidos à craniotomia
descompressiva</t>
  </si>
  <si>
    <t>NO período de 2015 a 2024.</t>
  </si>
  <si>
    <t>marcris@uai.com.br           cintiahorta27@gmail.com</t>
  </si>
  <si>
    <t>2025/40</t>
  </si>
  <si>
    <t xml:space="preserve">MANEJO DA TERAPIA NUTRICIONAL EM CRIANÇA COM SÍNDROME DO
INTESTINO CURTO APÓS DESOSPITALIZAÇÃO - RELATO DE CASO 
</t>
  </si>
  <si>
    <t xml:space="preserve"> 2270.01.0032968/2025-46</t>
  </si>
  <si>
    <t>Indrig Werncek/ Ryani Antonio</t>
  </si>
  <si>
    <t>CRIANÇA COM SÍNDROME DO INTESTINO
CURTO</t>
  </si>
  <si>
    <t xml:space="preserve"> novembro de 2023 a novembro de
2024, APÓS a desospitalização. 
</t>
  </si>
  <si>
    <t>ingridwerneck@gmail.com</t>
  </si>
  <si>
    <t>TERAPIA NUTRICIONAL INTESTINO CURTO</t>
  </si>
  <si>
    <t>2025/43</t>
  </si>
  <si>
    <t>CORRELAÇÃO ENTRE SISTEMA MANCHESTER DE CLASSIFICAÇÃO DE RISCO E OS DEFECHOS CLÍNICOS DE PACIENTES TRAZIDOS PELA POLÍCIA: UM ESTUDO SOBRE GRAVIDADE E MORTALIDADE</t>
  </si>
  <si>
    <t>2270.01.0033305/2025-65</t>
  </si>
  <si>
    <r>
      <rPr>
        <sz val="9"/>
        <color rgb="FF1155CC"/>
        <rFont val="Calibri"/>
      </rPr>
      <t xml:space="preserve"> </t>
    </r>
    <r>
      <rPr>
        <sz val="9"/>
        <color rgb="FF0000EE"/>
        <rFont val="Calibri"/>
      </rPr>
      <t>Isadora de Freitas Marcatto</t>
    </r>
    <r>
      <rPr>
        <sz val="9"/>
        <color theme="1"/>
        <rFont val="Calibri"/>
      </rPr>
      <t>/Milena Batista de Oliveira</t>
    </r>
  </si>
  <si>
    <t xml:space="preserve">Descrever o perfil clínico, gravidade e os desfechos de pacientes vítimas
de causas externas trazidos por agentes policiais
</t>
  </si>
  <si>
    <t>A amostragem será por conveniência e serão analisados todos os
atendimentos de julho de 2024 até junho de 2025</t>
  </si>
  <si>
    <t xml:space="preserve"> dora.marcatto@gmail.com
    milenabatista.mbo@gmail.com
    nataliacerqueira.enf@gmail.com</t>
  </si>
  <si>
    <t>RESIDENTE</t>
  </si>
  <si>
    <t>SISTEMA MANCHESTER</t>
  </si>
  <si>
    <t>ANÁLISE DO SERVIÇO DE TELESSAÚDE DO CIATOX-MG COM BASE NO DADOS DO DATATOX: CONTRIBUIÇÕES PARA A ASSISTÊNCIA TOXIOLÓGICA NO SUS - HJXXIII</t>
  </si>
  <si>
    <t>2270.01.0036434/2025-69</t>
  </si>
  <si>
    <t>Juliana Sartorelo/ Adebal</t>
  </si>
  <si>
    <t>Todos os atendimentos registrados na plataforma CiaTOX de 2018 a 2025</t>
  </si>
  <si>
    <t>Todos os atendimentos registrados na plataforma digital de 2018 a 2025</t>
  </si>
  <si>
    <t>jsartorelo@gmail.com</t>
  </si>
  <si>
    <t>ÍNDICE DE COMPLICAÇÕES DA PAREDE ABDOMINAL APÓS LAPAROTOMIAS DE URGÊNCIA NO HOSPITAL JOÃO XXIII</t>
  </si>
  <si>
    <t>2270.01.0037887/2025-26</t>
  </si>
  <si>
    <t xml:space="preserve">HEROS SOUZA COUTO JUNIOR - </t>
  </si>
  <si>
    <t>pacientes vítimas de
trauma (penetrante ou contuso) submetidos após laparatomia</t>
  </si>
  <si>
    <t>admitidos no Hospital João XXIII, entre maio e
dezembro de 2025</t>
  </si>
  <si>
    <t>herosjr@gmail.com</t>
  </si>
  <si>
    <t xml:space="preserve"> NA</t>
  </si>
  <si>
    <t>COMPLICAÇÕES ABDOMINAIS APOS LAPARATOMIAS DE URGENCIA</t>
  </si>
  <si>
    <t>ANÁLISE DE FRATURAS DE FÊMUR DISTAL QUE EVOLUÍRAM COM PSEUDOARTROSE</t>
  </si>
  <si>
    <t>2270.01.0038399/2025-73</t>
  </si>
  <si>
    <t>Larissa Roque Monteiro de Castro / Pedro Lazaroni</t>
  </si>
  <si>
    <t>HMAL</t>
  </si>
  <si>
    <t>Paciente com fratura do fêmur</t>
  </si>
  <si>
    <t>larissarmcastro@gmail.com</t>
  </si>
  <si>
    <t>FRATURAS FEMUR  PSEUDOARTROSE</t>
  </si>
  <si>
    <t>AVALIAÇÃO DA SEPSE NA SALA DE EMERGÊNCIAS CLÍNICAS E NAS UNIDADES DE TERAPIA INTENSIVA DO HOSPITAL JOÃO XXIII: UMA ANÁLISE DE QUALIDADE</t>
  </si>
  <si>
    <t>2270.01.0041270/2025-59</t>
  </si>
  <si>
    <t>Beatriz Dias Pinheiro / Frederico Amâncio</t>
  </si>
  <si>
    <t>Paciente com diagnóstico de sepse</t>
  </si>
  <si>
    <t>janeiro de 2023 a dezembro de
2025</t>
  </si>
  <si>
    <t>beatrizdias1208@gmail.com</t>
  </si>
  <si>
    <t>SEPSE  SALA DE EMERGENCIA</t>
  </si>
  <si>
    <t>DESISTIU DA PESQUISA</t>
  </si>
  <si>
    <t>PROCESSO PARADO / VERIFICAR COM A PESQUISADORA</t>
  </si>
  <si>
    <t>IMPACTO DE UMA INTERVENÇÃO BASEADA EM MINDFULNESS NA PREVALÊNCIA DE SINTOMAS DE BURNOUT EM UMA POPULAÇÃO DE MÉDICOS RESIDENTES EM PEDIATRIA E SUBESPECIALIDADES PEDIÁTRICAS</t>
  </si>
  <si>
    <t>2270.01.0041298/2025-79</t>
  </si>
  <si>
    <t>Juliana Goulart</t>
  </si>
  <si>
    <t>DOUTORADO</t>
  </si>
  <si>
    <t xml:space="preserve">Ensaio Clínico </t>
  </si>
  <si>
    <t>Residentes de pediatria do HIJPII</t>
  </si>
  <si>
    <t>maio de 2026, com a primeira
etapa da intervenção sendo concluída em junho do mesmo ano. A segunda etapa da
intervenção se dará entre janeiro e fevereiro de 2027.</t>
  </si>
  <si>
    <t xml:space="preserve"> juliana.costa@fhemig.mg.gov.br</t>
  </si>
  <si>
    <t>AVALIAÇÃO ULTRASSONOGRÁFICA DA ESPESSURA DA PELE PARA RECRUTAMENTO PARCIAL COM DERMÁTOMO, UTILIZAÇÃO COMO ENXERTO SOBRE FERIDAS CUTÂNEAS CAUSADAS POR QUEIMADURAS E GARANTIA DA REEPITELIZAÇÃO ESPONTÂNEA PREVISÍVEL DA REGIÃO DOADORA-</t>
  </si>
  <si>
    <t>2270.01.0043244/2025-14</t>
  </si>
  <si>
    <t xml:space="preserve">Rodrigo Pimenta Sizenando - </t>
  </si>
  <si>
    <t xml:space="preserve"> Pacientes vítimas de queimaduras internados na UTQ</t>
  </si>
  <si>
    <t>Agosto de 2025-e agosto de 2026</t>
  </si>
  <si>
    <t>rodrigosizenando@hotmail.com</t>
  </si>
  <si>
    <t>ULTRASSONOGRAFIA ESPESSURA DA PELE ENXERTIA REPITELIZAÇÃO</t>
  </si>
  <si>
    <t>DESENVOLVIMENTO E VALIDAÇÃO DE UMA TECNOLOGIA CUIDATIVO EDUACIONAL (TCE) EM SAÚDE SOBRE CUIDADOS DERMAFUNCIONAIS DIRIGIDA A CUIDADORES FAMILIARES DE PACIENTES VÍTIMAS DE QUEIMADURAS: UM ESTUDO METODOLÓGICO</t>
  </si>
  <si>
    <t>2270.01.0044476/2025-21</t>
  </si>
  <si>
    <t xml:space="preserve">PRISCILA PIERAZOLI DE A. BATISTA(SERVIDORA)Karla Rona da Silva </t>
  </si>
  <si>
    <r>
      <rPr>
        <sz val="10"/>
        <color rgb="FF0000FF"/>
        <rFont val="Arial"/>
      </rPr>
      <t xml:space="preserve">Fisioterapeutas </t>
    </r>
    <r>
      <rPr>
        <sz val="10"/>
        <color theme="1"/>
        <rFont val="Arial"/>
      </rPr>
      <t xml:space="preserve">especialistas na área dermatofuncional, e  </t>
    </r>
    <r>
      <rPr>
        <sz val="10"/>
        <color rgb="FF0000FF"/>
        <rFont val="Arial"/>
      </rPr>
      <t xml:space="preserve">cuidadores familiares </t>
    </r>
    <r>
      <rPr>
        <sz val="10"/>
        <color theme="1"/>
        <rFont val="Arial"/>
      </rPr>
      <t>de vítimas de queimaduras.</t>
    </r>
  </si>
  <si>
    <t>4° BIMESTRE 2025 à 1° BIMESTRE DE 2026</t>
  </si>
  <si>
    <t>priscila.pierazoli@fhemig.mg.gov.br</t>
  </si>
  <si>
    <t>PRISCILA PIERAZOLI DE A. BATISTA</t>
  </si>
  <si>
    <t>EDUCAÇÃO  EM SAUDE VITIMAS DE QUEIMADURAS</t>
  </si>
  <si>
    <t>Parecer 7.834.000    CAAE 91108825.9.0000.5119</t>
  </si>
  <si>
    <t>PERFIL CLÍNICO E RESPIRATÓRIO DE PACIENTES PEDIÁTRICOS COM DOENÇAS NEUROMUSCULARES EM ACOMPANAHMENTO EM UM SERVIÇO ESPECIALIZADO</t>
  </si>
  <si>
    <t>2270.01.0043634/2025-57</t>
  </si>
  <si>
    <t>Pedro Campolina Nahass / Lívia Isabela de Oliveira</t>
  </si>
  <si>
    <t>PACIENTES ATENDIDOS NO AMBULATÓRIO VENTILAR</t>
  </si>
  <si>
    <t>2. SEMESTRE/2026</t>
  </si>
  <si>
    <t>pedrocampolina0502@gmail.com</t>
  </si>
  <si>
    <t>LÍVIA ISABELA DE OLIVEIRA</t>
  </si>
  <si>
    <t xml:space="preserve">DOENÇAS CLINICO RESPIRAT NEUROMUSCULARES </t>
  </si>
  <si>
    <t>ENXERTIA CUTÂNEA PELA TÉCNICA DE MEEK MODIFICADA EM PACIENTES
QUEIMADOS: SÉRIE DE CASOS</t>
  </si>
  <si>
    <t>2270.01.0043153/2025-46</t>
  </si>
  <si>
    <t xml:space="preserve"> Samuel de Paula Pinheiro da Silva / Natália Santiago Cerqueira Lima</t>
  </si>
  <si>
    <t xml:space="preserve">Série de casos </t>
  </si>
  <si>
    <t>PACIENTES QUEIMADOS</t>
  </si>
  <si>
    <t>samuelpinheiro1215@gmail.com nataliacerqueira.enf@gmail.com</t>
  </si>
  <si>
    <t>CUSTO-EFETIVIDADE DE TERAPIAS ANTIMICROBIANAS TÓPICAS À BASE DE
PRATA PARA QUEIMADURAS PROFUNDAS: ESTUDO DE CASO ÚNICO</t>
  </si>
  <si>
    <t>2270.01.0043123/2025-80</t>
  </si>
  <si>
    <t>DOCS PENDENTES RECEBIDOS EM 09/09/25</t>
  </si>
  <si>
    <t>INFLUÊNCIA DA LIGADURA DA VEIA FEMORAL E POPLÍTEA NA TAXA DE AMPUTAÇÃO APÓS RECONSTRUÇÃO ARTERIAL EM TRAUMAS VASCULARES DO MEMBRO INFERIOR</t>
  </si>
  <si>
    <t>2270.01.0045907/2025-87</t>
  </si>
  <si>
    <r>
      <rPr>
        <sz val="9"/>
        <color theme="1"/>
        <rFont val="Calibri"/>
      </rPr>
      <t xml:space="preserve">Jad Oliveira/ </t>
    </r>
    <r>
      <rPr>
        <sz val="9"/>
        <color rgb="FF0000EE"/>
        <rFont val="Calibri"/>
      </rPr>
      <t>GUSTAVO KLEINSJORGE</t>
    </r>
  </si>
  <si>
    <t>PCTES COM LESÃO DA  VEIA  FEMORAL</t>
  </si>
  <si>
    <t>janeiro de 2013 a janeiro de 2024</t>
  </si>
  <si>
    <t>jadboliveira@gmail.com   gustavo.henrique@fhemig.mg.gov.br</t>
  </si>
  <si>
    <t>LIGADURA VEIA FEMORAL E POPLITEA</t>
  </si>
  <si>
    <t xml:space="preserve">EASPCE/ QUEIMADOS </t>
  </si>
  <si>
    <t>PERFIL MICROBIOLÓGICO E DE RESISTÊNCIA ANTIMICROBIANA DOS
PACIENTES INTERNADOS NA UNIDADE DE TERAPIA INTENSIVA DO CENTRO
DE TRATAMENTO DE QUEIMADOS DO HOSPITAL JOÃO XXIII</t>
  </si>
  <si>
    <t>2270.01.0045954/2025-79</t>
  </si>
  <si>
    <r>
      <rPr>
        <sz val="9"/>
        <color theme="1"/>
        <rFont val="Calibri"/>
      </rPr>
      <t>Nathan Rodrigues/</t>
    </r>
    <r>
      <rPr>
        <sz val="9"/>
        <color rgb="FF1155CC"/>
        <rFont val="Calibri"/>
      </rPr>
      <t xml:space="preserve"> </t>
    </r>
    <r>
      <rPr>
        <sz val="9"/>
        <color rgb="FF0000EE"/>
        <rFont val="Calibri"/>
      </rPr>
      <t>Frederico Bruzzi</t>
    </r>
  </si>
  <si>
    <t xml:space="preserve">pacientes admitidos na UTI do CTQ entre janeiro
de 2024 e dezembro de 2024.
</t>
  </si>
  <si>
    <t>pacientes admitidos entre janeiro
de 2024 e dezembro de 2024.</t>
  </si>
  <si>
    <t>nathanhdm13@gmail.com</t>
  </si>
  <si>
    <t>PERFIL MICROBIOLOGICO E RESIST       UTQ</t>
  </si>
  <si>
    <t>DIARREIA NOSOCOMIAL ASSOCIADA A CLOSTRIDIOSE DIFFICILE EM COMPLEXO DE URGÊNCIA HOSPITALAR DE MINAS GERAIS NOS ANOS DE 2022 A 2024: INCIDENCIA E FATORES ASSOCIADOS</t>
  </si>
  <si>
    <t>2270.01.0049433/2025-42</t>
  </si>
  <si>
    <t>Ana Karoline Gomides de Oliveira Lisboa</t>
  </si>
  <si>
    <t>Pacientes internados no HJXXIII  de 2022 a 2024</t>
  </si>
  <si>
    <t>2022 a 2024</t>
  </si>
  <si>
    <t>anakgomids1@gmail.com  giovanni.hslima@gmail.com  taissilvamed322@gmail.com</t>
  </si>
  <si>
    <t>Frederico Figueiredo Amâncio</t>
  </si>
  <si>
    <t>CLOSTRIDIOSE DIFFICILE</t>
  </si>
  <si>
    <t>DESISITU DA PESQUISA</t>
  </si>
  <si>
    <t>"ANÁLISE TERMOGRÁFICA COMO FERRAMENTA COMPLEMENTAR NA AVALIAÇÃO INICIAL DE PACIENTES COM LESÕES TRAUMÁTICAS EM MEMBROS INFERIORES"</t>
  </si>
  <si>
    <t>2270.01.0050431/2025-62</t>
  </si>
  <si>
    <t>Marcelo Henrique Mamede Lewer</t>
  </si>
  <si>
    <t xml:space="preserve">
mamede.mm@gmail.com</t>
  </si>
  <si>
    <t>TERMOGRÁFICA LESOES TRAUMÁTICAS MMII</t>
  </si>
  <si>
    <t>AGUARDANDO TA ASS</t>
  </si>
  <si>
    <t>VALIDADE, CONFIABILIDADE E ACURÁCIA DE UM FLUXOGRAMA DE DECISÃO PARA RESTRIÇÃO DO MOVIMENTO DA COLUNA (RMC) VERTEBRAL</t>
  </si>
  <si>
    <t>2270.01.0051227/2025-07</t>
  </si>
  <si>
    <t>Paula Caroline Gonçalves-</t>
  </si>
  <si>
    <t>Coorte retrospectivo</t>
  </si>
  <si>
    <t>paulacgoncalesdoutorado@gmail.com</t>
  </si>
  <si>
    <t>FLUXOGRAMA RESTRIÇÃO MOV COLUNA</t>
  </si>
  <si>
    <t>COMPARAÇÃO DA EFICÁCIA DE TRÊS MÉTODOS DE DESINFECÇÃO DE ESPAÇADORES EM UM SERVIÇO DE ATENDIMENTO DE URGÊNCIA E EMERGÊNCIA PEDIÁTRICA</t>
  </si>
  <si>
    <t>2270.01.0053218/2025-85</t>
  </si>
  <si>
    <t>Wilson Rocha</t>
  </si>
  <si>
    <t>DESINFECÇÃO DE ESPAÇADORES</t>
  </si>
  <si>
    <t>wrocha2227@gmail.com</t>
  </si>
  <si>
    <t>WILSON ROCHA</t>
  </si>
  <si>
    <t>DESISTIRAM DA PESQUISA</t>
  </si>
  <si>
    <t xml:space="preserve"> Estudo comparativo do uso do curativo de biocelulose hidratada e do curativo de hidrogel placa</t>
  </si>
  <si>
    <t>2270.01.0054168/2025-43</t>
  </si>
  <si>
    <t>Kelly Danielle de Araújo</t>
  </si>
  <si>
    <t xml:space="preserve">ECCR </t>
  </si>
  <si>
    <t xml:space="preserve">
kelly
.araujosilva@gmail.com</t>
  </si>
  <si>
    <t xml:space="preserve"> PERCEPÇÃO DA EQUIPE DE ENFERMAGEM E EQUIPE DE CIRURGIA PLÁSTICA DO TTO NÃO CIRÚRGICO DAS ÚLCERAS SACRAIS EM PACIENTES COM POSSIBILIDADE DE FALECIMENTO NOS PRÓXIMOS SEIS MESES DEVIDO SEQUELAS IRREVERSÍVEIS EM UM HOSPITAL DE TRAUMA</t>
  </si>
  <si>
    <t>2270.01.0054921/2025-82</t>
  </si>
  <si>
    <t>Clara Marques Santana/ ATHOS</t>
  </si>
  <si>
    <t>Profissionais de enfermag do nível superior e técnico dos andares responsáveis por suporte ao paciente neuroclínico de enfermaria e semi-intensiva ( 3, 5 e 6 andares e  equipe de cirurgia plástica do Hospital XXIII</t>
  </si>
  <si>
    <t>entre setembro de 2025 a janeiro de 2026</t>
  </si>
  <si>
    <t xml:space="preserve"> caymarques@gmail.com</t>
  </si>
  <si>
    <t>CLARA MARQUES SANTANA</t>
  </si>
  <si>
    <t>PESQUISA CANCELADA??</t>
  </si>
  <si>
    <t>Intoxicação fatal por Metotrexato: a urgência da educação em saúde para o uso seguro de medicamentos</t>
  </si>
  <si>
    <t>2270.01.0055262/2025-90</t>
  </si>
  <si>
    <t>Milena Batista de Oliveira / Hudson</t>
  </si>
  <si>
    <t xml:space="preserve">Pcte </t>
  </si>
  <si>
    <t>milenabatista.mbo@gmail.com</t>
  </si>
  <si>
    <t>Milena Batista de Oliveira</t>
  </si>
  <si>
    <t>Principais Desfechos Clínicos Dos Pacientes TRM no HJXXIII</t>
  </si>
  <si>
    <t>2270.01.0055259/2025-74</t>
  </si>
  <si>
    <t xml:space="preserve"> Joao Paulo Almeida Oliveira Fortunato  / Frederico Bruzzi de Carvalho </t>
  </si>
  <si>
    <t>Pacientes admitidos na Unidade de Terapia Intensiva</t>
  </si>
  <si>
    <t>NOV/25 A JAN/26</t>
  </si>
  <si>
    <t>joaopfurtunato@gmail.com fredbruzcarv@gmail.com</t>
  </si>
  <si>
    <t>DISCINESIA CILIAR PRIMÁRIA: PERFIL CLÍNICO DE PACIENTES PEDIÁTRICOS DE MINAS GERAIS</t>
  </si>
  <si>
    <t>2270.01.0055250/2025-26</t>
  </si>
  <si>
    <t>Livia Isabela de Oliveira / Ana Luiza Nunes Martins / Cláudia Ribeiro de Andrade</t>
  </si>
  <si>
    <t xml:space="preserve">crianças e adolescentes com Discinesia Ciliar Primária acompanhados nos serviços de Pneumologia Pediátrica </t>
  </si>
  <si>
    <t>2007 e 2025.</t>
  </si>
  <si>
    <t>livia_isabela@yahoo.com.br analununesm@gmail.com</t>
  </si>
  <si>
    <t>DISCINESIA CILIAR PRIMÁRIA</t>
  </si>
  <si>
    <t xml:space="preserve"> Desenvolvimento de Banco de Dados e Avaliação da Linha de Cuidado ao Trauma Raquimedular: Estudo Piloto com Acompanhamento de 2Anos na Rede FHEMIG/SES-MG</t>
  </si>
  <si>
    <t>2270.01.0044193/2025-96</t>
  </si>
  <si>
    <t>Guilherme Zanini Rocha -</t>
  </si>
  <si>
    <t xml:space="preserve">PACIENTES COM TRM </t>
  </si>
  <si>
    <t>2026-2029</t>
  </si>
  <si>
    <t>guizanini@yahoo.com.br sylfreitas1@hotmail.com</t>
  </si>
  <si>
    <t>TTRM COORTE DE 2 ANOS</t>
  </si>
  <si>
    <t>ESPOROTRICOSE MULTISSISTÊMICA COM GRAVE ACOMETIMENTO OSTEOARTICULAR: UM RELATO DE CASO</t>
  </si>
  <si>
    <t>2270.01.0056243/2025-84</t>
  </si>
  <si>
    <t>Ana Laura Mundim Borges - CLINICA MEDICA</t>
  </si>
  <si>
    <t>Paciente masc com esporotricose</t>
  </si>
  <si>
    <t xml:space="preserve"> analauramborges2@gmail.com luanadias_med@yahoo.com.br arturdepaula@gmail.com</t>
  </si>
  <si>
    <t>ESPOROTRICOSE</t>
  </si>
  <si>
    <t>Concordância entre Relatos Subjetivos, Questionários Validados e Teste de Caminhada/corrida de Shuttle na Avaliação da Atividade Física em Crianças e Adolescentes-</t>
  </si>
  <si>
    <t>2270.01.0057840/2025-33</t>
  </si>
  <si>
    <t>Evanirso da Silva Aquino</t>
  </si>
  <si>
    <t>TCC</t>
  </si>
  <si>
    <t>CRIANÇÃS E ADOLESCENTES COM FIBROSE CÍSTICA</t>
  </si>
  <si>
    <t>JAN 2026-JAN 2027</t>
  </si>
  <si>
    <t>evanirso-aquino@uol.com.br</t>
  </si>
  <si>
    <t xml:space="preserve"> TaLibEMed® Tabela de Libras para Emergências Médicas - O design gráfico como instrumento para tornar o ambiente de atendimento à saúde mais humanizado </t>
  </si>
  <si>
    <t>2270.01.0057918/2025-61</t>
  </si>
  <si>
    <t>Jacqueline Constância de Faria Monteiro -</t>
  </si>
  <si>
    <t>UEMG</t>
  </si>
  <si>
    <t xml:space="preserve"> médicos, enfermeiros, funcionários, surdos e seus
acompanhantes</t>
  </si>
  <si>
    <t>SEGUNDO SEMENSTRE 2025</t>
  </si>
  <si>
    <t>jmdesign.mg.br@gmail.com</t>
  </si>
  <si>
    <t>NAO TEM</t>
  </si>
  <si>
    <t>PERFIL EPIDEMIOLÓGICO DAS HOSPITALIZAÇÕES POR CAUSAS CLÍNICAS NA UTI PEDIÁTRICA DO HOSPITAL DE TRAUMA JOÃO XXIII</t>
  </si>
  <si>
    <t>2270.01.0058718/2025-92</t>
  </si>
  <si>
    <t>Gabriella C. Vespasiano Rocha/ LUCIANA GALDINO</t>
  </si>
  <si>
    <t>Crianças de 0-6 anos INTERNADAS NA UTI pediátrica HJXXIII</t>
  </si>
  <si>
    <t>pacientes internados
entre os meses de janeiro e dezembro de 2024.</t>
  </si>
  <si>
    <t>ufmg.gabirocha@gmail.com  luciana.matos@fhemig.mg.gov.br</t>
  </si>
  <si>
    <t>LUCIANA GALDINO</t>
  </si>
  <si>
    <t>HOSPITALIZAÇÃO CAUSAS CLINICAS UTI PEDIATRICA</t>
  </si>
  <si>
    <t>2025/71</t>
  </si>
  <si>
    <t>Registro Brasileiro de Fibrose Cística – Nova Era</t>
  </si>
  <si>
    <t xml:space="preserve"> 2270.01.0058728/2025-16</t>
  </si>
  <si>
    <t>Alberto Andrade Vergara et al</t>
  </si>
  <si>
    <t>FIBROSE CÍSTICA</t>
  </si>
  <si>
    <t>PROSPECTIVO 10 ANOS</t>
  </si>
  <si>
    <t>albertovergara1967@gmail.com</t>
  </si>
  <si>
    <t>Alberto Andrade Vergara</t>
  </si>
  <si>
    <t>FIBROSE CISTICA - NOVA ERA MULTICENTRICO BRASILEIRO</t>
  </si>
  <si>
    <t>CANALOPATIA DE POTÁSSIO KCNA2 E TRATAMENTO DE PRECISÃO</t>
  </si>
  <si>
    <t>2270.01.0058772/2025-89</t>
  </si>
  <si>
    <t>Júlia Teixeira Neves Binda</t>
  </si>
  <si>
    <t>EPILEPSIA</t>
  </si>
  <si>
    <t xml:space="preserve">
jtnbinda@hotmail.com   
karinaloutfi@hotmail.com</t>
  </si>
  <si>
    <t>Karina Soares Loutfi</t>
  </si>
  <si>
    <t xml:space="preserve">CANALOPATIA DE POTÁSSIO KCNA2 </t>
  </si>
  <si>
    <t>ASSOCIAÇÃO ENTRE PARÃMETROS POLISSONOGRÁFICOS E VARIÁVEIS
CLÍNICAS EM CRIANÇAS COM DISTROFIA MUSCULAR DE DUCHENNE
DEAMBULADORAS</t>
  </si>
  <si>
    <t>2270.01.0058800/2025-12</t>
  </si>
  <si>
    <t>Débora/ Evanirso/"Bruno Almeida Rezende</t>
  </si>
  <si>
    <t xml:space="preserve"> crianças em acompanhamento
clínico no Ambulatório de Doenças Raras com distrofia muscular de
Duchenne qua demabulam</t>
  </si>
  <si>
    <t>nov/2025 a Maio 2026</t>
  </si>
  <si>
    <t xml:space="preserve"> vieiradeboraribeiro@gmail.com</t>
  </si>
  <si>
    <t>PEND DOCUMENTAL MOTIVO DO ATRASO NO ENVIO P/CIP</t>
  </si>
  <si>
    <t>Leveduras causadoras de micoses sistêmicas oportunistas em Belo Horizonte, Minas Gerais, Brasil: identificação molecular e perfil de susceptibilidade a antifúngicos comerciais</t>
  </si>
  <si>
    <t>2270.01.0059117/2025-86</t>
  </si>
  <si>
    <t>Caroline Miranda de Lima</t>
  </si>
  <si>
    <t xml:space="preserve">pacientes com suspeita de infecção sistêmica oportunista
por leveduras e que terão suas amostras clínicas coletadas e processadas pelos
laboratórios dos hospitais colaboradores </t>
  </si>
  <si>
    <t>por 2 anos após aprovação pelo CEP</t>
  </si>
  <si>
    <t>carolinemiranda.bio@gmail.com</t>
  </si>
  <si>
    <t>LEVEDURAS</t>
  </si>
  <si>
    <t>PARECER 8.070.791 CAAE 94133325.8.0000.5119</t>
  </si>
  <si>
    <t>AVALIAÇÃO DO CONHECIMENTO E DAS PRÁTICAS DE HEMOTERAPIA E GERENCIAMENTO DO SANGUE POR PROFISSIONAIS MÉDICOS DO HOSPITAL JOÃO XXIII</t>
  </si>
  <si>
    <t>2270.01.0067877/2025-52</t>
  </si>
  <si>
    <t>Tales José Correa de Almeida/ Luciana Cota</t>
  </si>
  <si>
    <t>Todos os médicos e residentes médicos do Hospital João XXIII.</t>
  </si>
  <si>
    <t>30 dias após aprovação CEP</t>
  </si>
  <si>
    <t>lulucota@gmail.com
    anestesia.fhemig@gmail.com
    talesdealmeida@outlook.com</t>
  </si>
  <si>
    <t xml:space="preserve">HEMOTERAPIA </t>
  </si>
  <si>
    <t>Bloqueio analgésico em cirurgias ortopédicas de membros inferiores: percepção dos ortopedistas de um hospital de referência</t>
  </si>
  <si>
    <t>2270.01.0060069/2025-87</t>
  </si>
  <si>
    <t xml:space="preserve"> Maike Cunha Corgosinho</t>
  </si>
  <si>
    <t>ortopedistas e residentes que atuam no HJXXIII</t>
  </si>
  <si>
    <t>Outubro - novembro de 2025</t>
  </si>
  <si>
    <t>lulucota@gmail.com
    maikecorgosinho@gmail.com</t>
  </si>
  <si>
    <t>BLOQUEIO ANALGESICO CIRURGIA  ORTOPED/ entrevistas</t>
  </si>
  <si>
    <t>SÍNDROME DE KINSBOURNE – PERFIL EPIDEMIOLÓGICO EM UM HOSPITAL PEDIÁTRICO TERCIÁRIO -HIJPII</t>
  </si>
  <si>
    <t>2270.01.0061941/2025-80</t>
  </si>
  <si>
    <t>Leonardo Novo Borges</t>
  </si>
  <si>
    <t>Pacientes com menos de 18 anos, em acompanhamento regular no ambulatóriode neuroimunologia</t>
  </si>
  <si>
    <t>Março de 2024 e outubro de 2025</t>
  </si>
  <si>
    <t>dinizaccd@gmail.com
    leonardonovoborges@gmail.com</t>
  </si>
  <si>
    <t>Ana Carolina Cardoso Diniz</t>
  </si>
  <si>
    <t>SÍNDROME DE KINSBOURNE</t>
  </si>
  <si>
    <t xml:space="preserve">Análise epidemiológica e caracterização das intoxicações exógenas em crianças de 0 a 6 anos
atendidas em um hospital de trauma
</t>
  </si>
  <si>
    <t>2270.01.0061991/2025-88</t>
  </si>
  <si>
    <t>Isabela Rodrigues Pego de Almeida</t>
  </si>
  <si>
    <t xml:space="preserve"> caracterização das intoxicações exógenas em
crianças de 0 a 6 anos atendidas</t>
  </si>
  <si>
    <t xml:space="preserve">  1º de
janeiro a 31 de dezembro de 2023</t>
  </si>
  <si>
    <t xml:space="preserve">  luciana.matos@fhemig.mg.gov.br
    rodrigueisabela218@gmai.com</t>
  </si>
  <si>
    <t>Enf Luciana Galdina de
Matos Rodrigues</t>
  </si>
  <si>
    <t xml:space="preserve"> intoxicações exógenas crianças </t>
  </si>
  <si>
    <t xml:space="preserve"> Surto de “Candida auris” em um hospital de trauma: investigação epidemiológica, medidas de contenção e lições aprendidas</t>
  </si>
  <si>
    <t xml:space="preserve"> 2270.01.0063177/2025-76</t>
  </si>
  <si>
    <t>Ledna Bettcher</t>
  </si>
  <si>
    <t>PCTES COM Candida auris</t>
  </si>
  <si>
    <t>Ledna Bettcher/ JULIANA</t>
  </si>
  <si>
    <t>CANDIDA AURIS</t>
  </si>
  <si>
    <t>Surto de Candida auris e a Importância da Higienização Ambiental’</t>
  </si>
  <si>
    <t>2270.01.0063164/2025-39</t>
  </si>
  <si>
    <t>AMBIENTE COM  Candida auris</t>
  </si>
  <si>
    <t>?</t>
  </si>
  <si>
    <t>CANDIDA AURIS E HIGIENIZAÇÃO AMBIENTAL</t>
  </si>
  <si>
    <t>AUDITORIA DE ENFERMAGEM NA MUDANÇA DE DECÚBITO: ADESÃO PROFISSIONAL E REDUÇÃO DE LESÃO POR PRESSÃO</t>
  </si>
  <si>
    <t xml:space="preserve"> 2270.01.0063607/2025-09</t>
  </si>
  <si>
    <t>Izabela Figueiredo de Sousa Honorato</t>
  </si>
  <si>
    <t>equipe de enfermagem à mudança de decúbito</t>
  </si>
  <si>
    <t>03/02/2025 até 31/08/2025</t>
  </si>
  <si>
    <t xml:space="preserve">belafigues85@gmail.com
    anamaria.caetano@yahoo.com.br
</t>
  </si>
  <si>
    <t>AUDITORIA  ENFERMAGEM           LESÃO DE PRESSÃO</t>
  </si>
  <si>
    <t xml:space="preserve"> INTERNAÇÕES PROLONGADAS EM UM HOSPITAL TERCIÁRIO: EPIDEMIOLOGIA, COMPLICAÇÕES CLÍNICAS E DESAFIOS PARA VIABILIZAR A ALTA HOSPITALAR</t>
  </si>
  <si>
    <t>2270.01.0065169/2025-30</t>
  </si>
  <si>
    <t>HECTOR GABRIEL NUNES DOS SANTOS</t>
  </si>
  <si>
    <t>perfil da população de pacientes que
permaneceram internados por período superior a 30 dias em um mesmo leito de
enfermaria</t>
  </si>
  <si>
    <t>internações finalizadas entre 1º
de janeiro de 2024 e 30 de junho de 2025</t>
  </si>
  <si>
    <t>Ghilherme Donini</t>
  </si>
  <si>
    <t>INTERCAÇÕES PROLONGADAS</t>
  </si>
  <si>
    <t>AGUARDANDO FR ASS</t>
  </si>
  <si>
    <t>IMPACTO DO ESCORE CURB-65 SOBRE O DESFECHO DE PACIENTES ADMITIDOS POR PNEUMONIA NO HOSPITAL JOÃO XXII: ESTUDO RETROSPECTIVO</t>
  </si>
  <si>
    <t>2270.01.0065377/2025-40</t>
  </si>
  <si>
    <t>FERNANDO FREITAS COUTINHO</t>
  </si>
  <si>
    <t>pacientes de todas as idades admitidos com diagnóstico
principal de pneumonia adquirida na comunidade</t>
  </si>
  <si>
    <t xml:space="preserve">de pacientes admitidos no HJXXIII com diagnóstico de
pneumonia entre 01/01/2025 e 31/05/2025.
</t>
  </si>
  <si>
    <t>fernando227c@gmail.com  roberta.paschoalin@gmail.com</t>
  </si>
  <si>
    <t>Dr. Lucas Muller /Dra Roberta Paschoalin</t>
  </si>
  <si>
    <t>ESCORE CURB-65</t>
  </si>
  <si>
    <t>Estudo Observacional sobre a Pressão de Reaproximação Fascial em Pacientes com Abdome Aberto por Trauma- HJXXIII</t>
  </si>
  <si>
    <t xml:space="preserve"> 2270.01.0065704/2025-38</t>
  </si>
  <si>
    <t>Marcos Paulo Ferreira Corrêa Alves Reis</t>
  </si>
  <si>
    <t>APROVADO CEP PROP</t>
  </si>
  <si>
    <t>Parecer 8.029.498    CAAE 94127225.7.0000.5119</t>
  </si>
  <si>
    <t xml:space="preserve">DIARREIA CONGÊNITA: ANÁLISE DE SÉRIE DE CASOS EM
HOSPITAL PEDIÁTRICO DE MINAS GERAIS
</t>
  </si>
  <si>
    <t>2270.01.0069534/2025-30</t>
  </si>
  <si>
    <t>Beatriz Campos Garcia e Marina Melo Moreira Caxito</t>
  </si>
  <si>
    <t>crianças com diarréia congênita</t>
  </si>
  <si>
    <t>marimelomed@gmail.com
    biacamposgarcia@yahoo.com
    anacarolinamst290@gmail.com</t>
  </si>
  <si>
    <t>NÃO SE APLICA( RELATOS DE CASO PRONTOS)</t>
  </si>
  <si>
    <t>DIÁRREIA CONGENITA</t>
  </si>
  <si>
    <t>TERAPIA TRANSFUSIONAL EM HOSPITAL DE REFERÊNCIA EM TRAUMA: EFEITOS ADVERSOS E IMPLEMENTAÇÃO DO PATIENT BLOOD MANAGEMENT</t>
  </si>
  <si>
    <t>2270.01.0070572/2025-37</t>
  </si>
  <si>
    <t>Caio Lívio Kador e Silva / Roberta Campos Paschoalin</t>
  </si>
  <si>
    <t>terapia transfusional</t>
  </si>
  <si>
    <t>out/2025 a jan/2026</t>
  </si>
  <si>
    <t>Roberta Campos Paschoalin</t>
  </si>
  <si>
    <t>TERAPIA TRANSFUSIONAL</t>
  </si>
  <si>
    <t>Desfechos cardiovasculares em intoxicações por antidepressivos e perfil dos atendimentos em um hospital de referência</t>
  </si>
  <si>
    <t>2270.01.0071263/2025-04</t>
  </si>
  <si>
    <t>João Carlos Lourenço Júnior</t>
  </si>
  <si>
    <t>Intoxicação por antidepressivos</t>
  </si>
  <si>
    <t>dezembro/25 a maio/26</t>
  </si>
  <si>
    <t>joaocljr@outlook.com</t>
  </si>
  <si>
    <t>Juliana Sartorelo Almeida e Adebal de Andrade Filho</t>
  </si>
  <si>
    <t xml:space="preserve">intoxicações por antidepressivos </t>
  </si>
  <si>
    <t>PERFIL DE MORTALIDADE DE PACIENTES PEDIÁTRICOS COM BRONQUIOLITE VIRAL AGUDA EM UNIDADE DE TERAPIA INTENSIVA TERCIÁRIA EM BELO HORIZONTE: ESTUDO RETROSPECTIVO DE FATORES DE RISCO</t>
  </si>
  <si>
    <t>2270.01.0072116/2025-59</t>
  </si>
  <si>
    <t>Gabriel Chagas Brandão de Morais</t>
  </si>
  <si>
    <t>Mortalidade infantil</t>
  </si>
  <si>
    <t>novembro a dezembro/2025</t>
  </si>
  <si>
    <t>gabrielcbm7@gmail.com</t>
  </si>
  <si>
    <t>Heraldo Rocha Valladão
e Juliana Goulart Dias da
Costa</t>
  </si>
  <si>
    <t xml:space="preserve">BRONQUIOLITE VIRAL AGUDA MORTALIDADE </t>
  </si>
  <si>
    <t>PEND DOCUMENTAL</t>
  </si>
  <si>
    <t>AGUARDANDO QUALIFICAÇÃO</t>
  </si>
  <si>
    <t>ANÁLISE DO PERFIL SOCIODEMOGRÁFICO E CLÍNICO EM CASOS DE TENTATIVA DE SUICIDIO: AVALIAÇÃO DO PAPEL DO CLASSIFICADOR DE RISCO EM UM HOSPITAL DE REFERÊNCIA.</t>
  </si>
  <si>
    <t>2270.01.0073017/2025-79</t>
  </si>
  <si>
    <t>Julia Stefane da Silva Pereira</t>
  </si>
  <si>
    <t>Suicídio</t>
  </si>
  <si>
    <t>junho a julho / 2026</t>
  </si>
  <si>
    <t>juliasilva.enf24@gmail.com</t>
  </si>
  <si>
    <t>Natasha Preis</t>
  </si>
  <si>
    <t>TENTATIVA DE SUICIDIO</t>
  </si>
  <si>
    <t>ABORDAGEM DAS MIOPATIAS INFLAMATÓRIAS NA MEDICINA INTERNA: UM RELATO DE CASO</t>
  </si>
  <si>
    <t>2270.01.0072995/2025-91</t>
  </si>
  <si>
    <t>Paula Gouvêa Abrantes</t>
  </si>
  <si>
    <t>Miopatias inflamatórias</t>
  </si>
  <si>
    <t>paulaabrantes98@gmail.com  
    cavalcanti.paulo@uol.com.br</t>
  </si>
  <si>
    <t xml:space="preserve">Paulo Sérgio de Oliveira Cavalcanti e Artur de Paula Santos
</t>
  </si>
  <si>
    <t>MIOPATIAS INFLAMATORIAS</t>
  </si>
  <si>
    <t>USO COMBINADO DE TÉCNICAS DE ENXERTIA AUTÓLOGA EXPANDIDA E MATRIZ TLC NO TRATAMENTO DE QUEIMADURAS EXTENSAS: SÉRIE DE CASOS</t>
  </si>
  <si>
    <t>2270.01.0074208/2025-29</t>
  </si>
  <si>
    <t>Natália Santiago Cerqueira Lima</t>
  </si>
  <si>
    <t xml:space="preserve">TÉCNICAS DE ENXERTIA AUTÓLOGA EXPANDIDA E MATRIZ TLC </t>
  </si>
  <si>
    <t xml:space="preserve"> Logbook na Residência de Medicina Intensiva</t>
  </si>
  <si>
    <t xml:space="preserve"> 2270.01.0074864/2025-68</t>
  </si>
  <si>
    <t>Pedro Luiz Maciel Caetano/ Frederico Bruzzi de Carvalho-</t>
  </si>
  <si>
    <t xml:space="preserve"> Dados de procedimentos informados por 16 residentes de Medicina
Intensiva</t>
  </si>
  <si>
    <t>16 de maio de 2024 até a data da aprovação do estudo pelo CEP</t>
  </si>
  <si>
    <t xml:space="preserve"> fredbruzcarv@gmail.com
    pedrolmc152@gmail.com</t>
  </si>
  <si>
    <t>LOGBOOK RESIDENCIA MEDICA</t>
  </si>
  <si>
    <t>Trajetórias e percursos de crianças e adolescentes em processo de transição de gênero a partir da experiência do Ambulatório de Diversidades do Hospital Infantil João Paulo II.</t>
  </si>
  <si>
    <t>2270.01.0075516/2025-21</t>
  </si>
  <si>
    <t>Roberta Vanessa Ramos/ Cristiane de Freitas C.Grillo</t>
  </si>
  <si>
    <t xml:space="preserve"> Profissionais da equipe multiprofissional 
(assistentes sociais, psicólogos, médicos, enfermeiros, residentes e outros
trabalhadores envolvidos no cuidado);
• Familiares ou responsáveis 
• Adolescentes trans atendidos no ambulatório de 12 a 17 anos.</t>
  </si>
  <si>
    <t xml:space="preserve"> março a junho 2026</t>
  </si>
  <si>
    <t>robertavanramos@hotmail.com</t>
  </si>
  <si>
    <t xml:space="preserve"> Cristiane de Freitas Cunha Grillo</t>
  </si>
  <si>
    <t xml:space="preserve">TRAJETORIA  E PESCURSO CÇAS / ADOLSC   TRANSIÇÃO GENERO  AMB HIJPII  </t>
  </si>
  <si>
    <t xml:space="preserve"> Psicoeducação como estratégia de enfrentamento: elaboração de um guia para crianças hospitalizadas em um hospital de trauma'</t>
  </si>
  <si>
    <t xml:space="preserve">
2270.01.0079430/2025-73</t>
  </si>
  <si>
    <t xml:space="preserve">Sandra das Dores de
Souza/ REBECCA DIAS
</t>
  </si>
  <si>
    <t xml:space="preserve"> Crianças hospitalizadas comunicativas e com faixa etária de até 12 anos,
como seus familiares ou responsáveis legais </t>
  </si>
  <si>
    <t>3 meses fevereiro à abril de 2026</t>
  </si>
  <si>
    <t>sandra.dsouza@fhemig.mg.gov.br  rebeccaddias@gmail.com</t>
  </si>
  <si>
    <t>Sandra das Dores de
Souza</t>
  </si>
  <si>
    <t>PsicoeducaçãO          CRIANAS HOSPITALIZADAS</t>
  </si>
  <si>
    <t xml:space="preserve"> A CARTILHA PSICOEDUCATIVA COMO FERRAMENTA DE SUPORTE PSICOLÓGICO: CONTRIBUIÇÕES DA TERAPIA COGNITIVO-COMPORTAMENTAL PARA PACIENTES COM TRM EM UM HOSPITAL GERAL DE URGÊNCIAS E EMERGÊNCIAS</t>
  </si>
  <si>
    <t>2270.01.0080286/2025-47</t>
  </si>
  <si>
    <t>Raíssa Moreira Santos Araújo/Sandra das Dores de
Souza</t>
  </si>
  <si>
    <t>pacientes
maiores de 18 anos, internados com lesão raquimedular em um hospital geral de
pronto-socorro</t>
  </si>
  <si>
    <t xml:space="preserve"> de abril a setembro de 2026</t>
  </si>
  <si>
    <t>rraissamsantos@gmail.com sandra.dsouza@fhemig.mg.gov.br</t>
  </si>
  <si>
    <t>TERAPIA COGNITIVO COMPORTAMENTAL    TRM</t>
  </si>
  <si>
    <t xml:space="preserve">SUICÍDIO E ESCRITA DE SI: O tempo de compreender </t>
  </si>
  <si>
    <t>2270.01.0080347/2025-49</t>
  </si>
  <si>
    <t xml:space="preserve"> Júlia Somberg Alves / LUCIANA ALMEIDA</t>
  </si>
  <si>
    <t>PACIENTES NA ENFERMARIA CAPAZES DE ESCREVER CARTAS, VITIMAS DE TENTATIVA DE AUTOEXTERMINIO, QUE ACEITAREM PARTICIPAR DO ESTUDO</t>
  </si>
  <si>
    <t>20/01/2026 -30/05/2026</t>
  </si>
  <si>
    <t xml:space="preserve"> LUCIANA ALMEIDA</t>
  </si>
  <si>
    <t xml:space="preserve">PERFIL SOCIODEMOGRÁFICO, CLÍNICO E ASSISTENCIAL DE PACIENTES EM
TENTATIVA DE SUICÍDIO E SUA INFLUÊNCIA NA ORGANIZAÇÃO DOS FLUXOS
INTERNOS
</t>
  </si>
  <si>
    <t>2270.01.0080510/2025-13</t>
  </si>
  <si>
    <t xml:space="preserve">Julia Stefane da Silva Pereira/ Grazyelle Ferreira de Souza
/ Natasha </t>
  </si>
  <si>
    <t>prontuários eletrônicos dos pacientes
admitidos na instituição e classificados nos fluxogramas de autoagressão ou
overdose/envenenamento</t>
  </si>
  <si>
    <t xml:space="preserve"> janeiro e dezembro de 2024</t>
  </si>
  <si>
    <t>Grazyelle / Natasha</t>
  </si>
  <si>
    <t xml:space="preserve">
PERFIL EPIDEMIOLÓGICO DOS PACIENTES COM TCE MODERADO
ATENDIDOS EM UM HOSPITAL DE TRAUMA E A ASSISTÊNCIA DA
FISIOTERAPIA</t>
  </si>
  <si>
    <t>2270.01.0080551/2025-70</t>
  </si>
  <si>
    <t xml:space="preserve">Valdean Gomes do Nascimento/ LUCIANA GALDINO E Ludmilla Diniz Oliveira Andrade
</t>
  </si>
  <si>
    <t xml:space="preserve">Pcte com TCE moderado </t>
  </si>
  <si>
    <t>admitidos em 2024</t>
  </si>
  <si>
    <t>Valdean Gomes do Nascimento</t>
  </si>
  <si>
    <t>Nº do processo no SEI</t>
  </si>
  <si>
    <t>Instituição Proponente</t>
  </si>
  <si>
    <t>Data de entrada no SEI</t>
  </si>
  <si>
    <t>Data de envio  CIP</t>
  </si>
  <si>
    <t>Data de recebimento do Parecer Técnico do NAP  APROVADO( DATA DA ASSINATURA DO PT)</t>
  </si>
  <si>
    <t>Data de recebimento da FR assinada no SEI  OU Termo de Anuência</t>
  </si>
  <si>
    <t>Data de envio da FR ou Termo de anuência para pesquisador</t>
  </si>
  <si>
    <t>Data de aprovação CEP FHEMIG (DATA DO PARECER CEP)</t>
  </si>
  <si>
    <t>Tempo entre entrada SEI e envio CIP</t>
  </si>
  <si>
    <t>Tempo entre PT e Assin da FR</t>
  </si>
  <si>
    <t>Tempo total de tramitação ATÉ APROVAÇÃO CEP</t>
  </si>
  <si>
    <t>NÃO SE APLICA</t>
  </si>
  <si>
    <t>PT/PENDENCIA</t>
  </si>
  <si>
    <t>SEM RESPOSTA</t>
  </si>
  <si>
    <t>DESISTENCIA</t>
  </si>
  <si>
    <t>2270.01.0064223/2025-61</t>
  </si>
  <si>
    <t>MASP (se houver)</t>
  </si>
  <si>
    <t>NÚMERO DO PROCESSO SEI</t>
  </si>
  <si>
    <t>Nome Completo</t>
  </si>
  <si>
    <t>E-mail</t>
  </si>
  <si>
    <t>Telefone de contato</t>
  </si>
  <si>
    <t>SERVIDOR/PROJETO DESENVOLVIDO NO  HOSPITAL</t>
  </si>
  <si>
    <t>Vínculo com outra instituição relacionada a ensino e pesquisa? Qual?</t>
  </si>
  <si>
    <t>Setor de atuação na FHEMIG</t>
  </si>
  <si>
    <t>Linha de pesquisa (temática)</t>
  </si>
  <si>
    <t>Participa de grupo de pesquisa? Qual?</t>
  </si>
  <si>
    <t>Maior titulação</t>
  </si>
  <si>
    <t>Link do lattes</t>
  </si>
  <si>
    <t>Wilson Rocha Filho</t>
  </si>
  <si>
    <t>Servidor efetivo</t>
  </si>
  <si>
    <t>PEDIATRIA</t>
  </si>
  <si>
    <t>Pneumologia e Alergia Pediátrica</t>
  </si>
  <si>
    <t>Especialista</t>
  </si>
  <si>
    <t>https://wwws.cnpq.br/cvlattesweb/PKG_MENU.menu?f_cod=1A51295B93EB8E3ECF79838FA522991C#</t>
  </si>
  <si>
    <t xml:space="preserve">Guilherme Zanini Rocha </t>
  </si>
  <si>
    <t xml:space="preserve">guizanini@yahoo.com.br </t>
  </si>
  <si>
    <t>ORTOPEDIA</t>
  </si>
  <si>
    <t>Trauma Raquimedular e Inovação</t>
  </si>
  <si>
    <t>http://lattes.cnpq.br/8075055712234496</t>
  </si>
  <si>
    <r>
      <rPr>
        <sz val="10"/>
        <color theme="1"/>
        <rFont val="Calibri"/>
      </rPr>
      <t>Sandra das Dores de
Souza</t>
    </r>
    <r>
      <rPr>
        <sz val="10"/>
        <color theme="1"/>
        <rFont val="Calibri"/>
      </rPr>
      <t xml:space="preserve">
</t>
    </r>
  </si>
  <si>
    <t xml:space="preserve">sandra.dsouza@fhemig.mg.gov.br </t>
  </si>
  <si>
    <t>FIOCRUZ</t>
  </si>
  <si>
    <t xml:space="preserve">
Estudos Avançados em Saúde Pública, Cuidado e Emergência
Promoção de Saúde, Violência e Condições de Trabalho</t>
  </si>
  <si>
    <t>Mestrado</t>
  </si>
  <si>
    <t>http://lattes.cnpq.br/5902736500163511</t>
  </si>
  <si>
    <t xml:space="preserve"> Ludmilla Diniz Oliveira Andrade
</t>
  </si>
  <si>
    <t>ludmilla.andrade@fhemig.mg.gov.br</t>
  </si>
  <si>
    <t>FISIOTERAPIA</t>
  </si>
  <si>
    <t xml:space="preserve">Saúde do trabalhador e Reabilitação </t>
  </si>
  <si>
    <t>http://lattes.cnpq.br/7118943028097010</t>
  </si>
  <si>
    <t>2270.01.0000169/2026-06</t>
  </si>
  <si>
    <t>Adebal de Andrade Filho</t>
  </si>
  <si>
    <t xml:space="preserve">  adebal.andrade@gmail.com</t>
  </si>
  <si>
    <t>(31) 3239-9224</t>
  </si>
  <si>
    <t>TOXICOLOGIA</t>
  </si>
  <si>
    <t>Acidentes com animais peçonhentos e intoxicações agudas</t>
  </si>
  <si>
    <t>http://lattes.cnpq.br/0771658542547616</t>
  </si>
  <si>
    <t>2270.01.0000663/2026-54</t>
  </si>
  <si>
    <t>Magdaline Trindade Ladeira</t>
  </si>
  <si>
    <t>magdalineladeira@gmail.com</t>
  </si>
  <si>
    <t xml:space="preserve">Nep/CHU/Pesquisa </t>
  </si>
  <si>
    <t>Estudos avançados em saúde pública, cuidado e emergência.</t>
  </si>
  <si>
    <t>Doudorado</t>
  </si>
  <si>
    <t>http://lattes.cnpq.br/9679290985844998</t>
  </si>
  <si>
    <t>2270.01.0002576/2026-07</t>
  </si>
  <si>
    <t>Edilson Misael Guimarães</t>
  </si>
  <si>
    <t>edilson.guimaraes@fhemig.mg.gov.br edilsonenf@gmail.com</t>
  </si>
  <si>
    <t>31 991373334</t>
  </si>
  <si>
    <t>Universidade Salgado de Oliveira</t>
  </si>
  <si>
    <t>ENFERMAGEM</t>
  </si>
  <si>
    <t>Estudos Avançados em Saúde Pública, Cuidado e Emergência, do(a) Fundação Hospitalar do Estado de Minas Gerais.</t>
  </si>
  <si>
    <t>http://lattes.cnpq.br/8583803379959894</t>
  </si>
  <si>
    <t>2270.01.0001807/2026-12</t>
  </si>
  <si>
    <t xml:space="preserve"> Éricka Viana Machado Carellos</t>
  </si>
  <si>
    <t xml:space="preserve"> ericka.carellos@gmail.com</t>
  </si>
  <si>
    <t>2270.01.0001823/2026-65</t>
  </si>
  <si>
    <t xml:space="preserve">Maria Luzia Maria dos Santos </t>
  </si>
  <si>
    <t xml:space="preserve">luziasantos1316@gmail.com </t>
  </si>
  <si>
    <t>HC UFMG</t>
  </si>
  <si>
    <t xml:space="preserve">Saúde coletiva. Promoção da saúde. Urgência e Emergência </t>
  </si>
  <si>
    <t>http://lattes.cnpq.br/4204856095410840</t>
  </si>
  <si>
    <t>2270.01.0003542/2026-18</t>
  </si>
  <si>
    <t xml:space="preserve"> Juliana Sartorelo</t>
  </si>
  <si>
    <t xml:space="preserve">   jsartorelo@gmail.com</t>
  </si>
  <si>
    <t xml:space="preserve">UFMG </t>
  </si>
  <si>
    <t>Toxicologia</t>
  </si>
  <si>
    <t>Mestrado (Doutorado em curso)</t>
  </si>
  <si>
    <t>http://lattes.cnpq.br/4325017627925801</t>
  </si>
  <si>
    <t>2270.01.0005667/2026-67</t>
  </si>
  <si>
    <t xml:space="preserve">Frederico Bruzzi de Carvalho </t>
  </si>
  <si>
    <t xml:space="preserve">fredbruzcarv@gmail.com
   </t>
  </si>
  <si>
    <t xml:space="preserve">Hospital Luxemburgo </t>
  </si>
  <si>
    <t xml:space="preserve">UTQ, CTIHJXXIII </t>
  </si>
  <si>
    <t>NI</t>
  </si>
  <si>
    <t>http://lattes.cnpq.br/2316235665062380</t>
  </si>
  <si>
    <t>2270.01.0005156/2026-90</t>
  </si>
  <si>
    <t>Márcio Bruno Figueiredo Amaral</t>
  </si>
  <si>
    <t>31 991789845</t>
  </si>
  <si>
    <t xml:space="preserve">Cirurgia Bucomaxilofacial </t>
  </si>
  <si>
    <t>Diagnóstico e tratamento das lesões traumáticas, neoplasicas, císticas e inflamatórias da face</t>
  </si>
  <si>
    <t>Doutorado</t>
  </si>
  <si>
    <t>https://lattes.cnpq.br/8924632108778900</t>
  </si>
  <si>
    <t>2270.01.0012685/2026-22</t>
  </si>
  <si>
    <t xml:space="preserve">Telma Renata de Castro Vasconcelos </t>
  </si>
  <si>
    <t>telmafisio.castro@gmail.com</t>
  </si>
  <si>
    <t>(31) 98478-6307</t>
  </si>
  <si>
    <t>Domiciliar</t>
  </si>
  <si>
    <t>Doenças neuromusculares</t>
  </si>
  <si>
    <t>Rogério Eustáquio Barbosa II</t>
  </si>
  <si>
    <t>rogerioebarbosa@outlook.com</t>
  </si>
  <si>
    <t>3198878-8968</t>
  </si>
  <si>
    <t xml:space="preserve">Professor Faculdade Ciências Médicas </t>
  </si>
  <si>
    <t>Unidade semi-intensiva HJXXIII</t>
  </si>
  <si>
    <t xml:space="preserve">Doenças aplicadas a ciência cardiovascular </t>
  </si>
  <si>
    <t>http://lattes.cnpq.br/7863409047375285</t>
  </si>
  <si>
    <t>Maria Cristina Nunes de Melo</t>
  </si>
  <si>
    <t>cristinamelo561@yahoo.com.br</t>
  </si>
  <si>
    <t>HOB</t>
  </si>
  <si>
    <t>Coordenação da Fisioterapia</t>
  </si>
  <si>
    <t xml:space="preserve">Avaliação , funcionalidade e desfechos de pacientes ambulatoriais e internados 
</t>
  </si>
  <si>
    <t>http://lattes.cnpq.br/2565110494644584</t>
  </si>
  <si>
    <t xml:space="preserve">Jackeline Silva Cabral </t>
  </si>
  <si>
    <t>jackelinesilvacabral@yahoo.com.br</t>
  </si>
  <si>
    <t xml:space="preserve">31 999017227 </t>
  </si>
  <si>
    <t xml:space="preserve">Saúde e segurança do trabalhador </t>
  </si>
  <si>
    <t xml:space="preserve">Saúde do trabalhador </t>
  </si>
  <si>
    <t>http://lattes.cnpq.br/4422539815828760</t>
  </si>
  <si>
    <t>Rodrigo Pimenta Sizenando</t>
  </si>
  <si>
    <t>Fundação Hemominas</t>
  </si>
  <si>
    <t>Centro de Tratamento de Queimados</t>
  </si>
  <si>
    <t>Correlação entre imagem, morfologia e fisiopatologia cirúrgicas</t>
  </si>
  <si>
    <t>http://lattes.cnpq.br/3869147527927727</t>
  </si>
  <si>
    <t>Rodrigo Moreira Faleiro</t>
  </si>
  <si>
    <t>faleirorm@gmail.com</t>
  </si>
  <si>
    <t>31 999707686</t>
  </si>
  <si>
    <t>Faculdade de ciências médicas MG</t>
  </si>
  <si>
    <t>Neurocirurgia / Trauma</t>
  </si>
  <si>
    <t>Neurotraumatologia e Neurocirurgia de Urgencia e Emergencia</t>
  </si>
  <si>
    <t>https://wwws.cnpq.br/cvlattesweb/PKG_MENU.menu?f_cod=21C6D215304A3A21AC117E4EF923B77E#</t>
  </si>
  <si>
    <t xml:space="preserve">Liz Emília Faustino Fellberg </t>
  </si>
  <si>
    <t>liz_emilia@hotmail.com</t>
  </si>
  <si>
    <t>31 99184-8479</t>
  </si>
  <si>
    <t>Servidor contrato</t>
  </si>
  <si>
    <t xml:space="preserve">Coordenação de Saúde e Segurança do Trabalhador </t>
  </si>
  <si>
    <t xml:space="preserve">Saúde do Trabalhador </t>
  </si>
  <si>
    <t xml:space="preserve">Grupo de Pesquisa em Saúde do Trabalhador </t>
  </si>
  <si>
    <t xml:space="preserve">Rodrigo Muzzi de Oliveira Safe </t>
  </si>
  <si>
    <t>dr.rodrigomuzzi@gmail.com</t>
  </si>
  <si>
    <t>31 98727-1821</t>
  </si>
  <si>
    <t>PUC Minas, FCMMG</t>
  </si>
  <si>
    <t>Gerência Médica do Adulto</t>
  </si>
  <si>
    <t>Trauma</t>
  </si>
  <si>
    <t>https://wwws.cnpq.br/cvlattesweb/PKG_MENU.menu?f_cod=235C567FD37C5E826F1F81663719EBE7#</t>
  </si>
  <si>
    <t xml:space="preserve">Feluma </t>
  </si>
  <si>
    <t>Gerência médica da urgência e emergência CHU</t>
  </si>
  <si>
    <t>TCE</t>
  </si>
  <si>
    <t>http://lattes.cnpq.br/0275982441123239</t>
  </si>
  <si>
    <t>Cristiane Dias</t>
  </si>
  <si>
    <t>profacristianedias@gmail.com</t>
  </si>
  <si>
    <t xml:space="preserve">Residência </t>
  </si>
  <si>
    <t xml:space="preserve">Inovação e Tecnologia,  Pediatria </t>
  </si>
  <si>
    <t>Pós-doutorado</t>
  </si>
  <si>
    <t>Renata Santiago Paula Lima</t>
  </si>
  <si>
    <t>nata19792008@hotmail.com</t>
  </si>
  <si>
    <t>FCMMG</t>
  </si>
  <si>
    <t>Nuveh</t>
  </si>
  <si>
    <t>Suicídio Epidemiologia</t>
  </si>
  <si>
    <t>Ana Paola Reis Fagundes dos Santos</t>
  </si>
  <si>
    <t>paolareisfagundes@gmail.com</t>
  </si>
  <si>
    <t>UI Queimados Graves</t>
  </si>
  <si>
    <t>Queimaduras</t>
  </si>
  <si>
    <t>http://lattes.cnpq.br/7440718660595127</t>
  </si>
  <si>
    <t xml:space="preserve">Ambulatório de Especialidades HIJPII </t>
  </si>
  <si>
    <t xml:space="preserve">Fibrose Cística </t>
  </si>
  <si>
    <t>Veronica Ferreira Cury</t>
  </si>
  <si>
    <t>veronica.cury@fhemig.mg.gov.br</t>
  </si>
  <si>
    <t>UTI PEDIATRICA</t>
  </si>
  <si>
    <t xml:space="preserve">Terapia Intensiva Pediátrica </t>
  </si>
  <si>
    <t>https://wwws.cnpq.br/cvlattesweb/PKG_MENU.menu?f_cod=3BA67003FB76D964AA662413EA4CD5A6#</t>
  </si>
  <si>
    <t>Tarcisio Silva Borborema</t>
  </si>
  <si>
    <t>tborborema@hotmail.com</t>
  </si>
  <si>
    <t>HEMATOLOGIA E HEMOTERAPIA</t>
  </si>
  <si>
    <t>DOENÇAS RARAS</t>
  </si>
  <si>
    <t xml:space="preserve"> INSTITUTO
DO CÂNCER INFANTIL E
PEDIATRIA ESPECIALIZADA
ICIPE</t>
  </si>
  <si>
    <t>http://lattes.cnpq.br/5121732796120163</t>
  </si>
  <si>
    <t>Luciana Galdina de Matos Rodrigues</t>
  </si>
  <si>
    <t>luciana.matos@fhemig.mg.gov.br</t>
  </si>
  <si>
    <t>Universidade Federal Fluminense</t>
  </si>
  <si>
    <t>Vigilância Epidemiológica Hospitalar</t>
  </si>
  <si>
    <t>Gestão do cuidado em saúde, condições de trabalho e saúde.</t>
  </si>
  <si>
    <t>LABGestCuidar, RIGCE Brasil - Sudeste, Estudos acerca dos cuidados paliativos, luto, violência, condições de trabalho e saúde.</t>
  </si>
  <si>
    <t>ID Lattes: 7990392723183171</t>
  </si>
  <si>
    <t>gisele.fhemig@gmail.com</t>
  </si>
  <si>
    <t>Faculdade Ciências Médicas de Minas Gerais</t>
  </si>
  <si>
    <t>Coordenação Central de Desenvolvimento (CDEL) - ADC</t>
  </si>
  <si>
    <t>Enfermagem</t>
  </si>
  <si>
    <t>http://lattes.cnpq.br/1688208693493294</t>
  </si>
  <si>
    <t>1121812-0</t>
  </si>
  <si>
    <t xml:space="preserve">Luciana Reis da Silveira </t>
  </si>
  <si>
    <t>silveiraluciana@gmail.com</t>
  </si>
  <si>
    <t xml:space="preserve">Protocolos clínicos </t>
  </si>
  <si>
    <t xml:space="preserve">Saúde pública, toxicologia, epidemiologia </t>
  </si>
  <si>
    <t>Sim</t>
  </si>
  <si>
    <t xml:space="preserve"> https://lattes.cnpq.br/2964142900973466</t>
  </si>
  <si>
    <t>Sylmara Henifer Zandona Freitas</t>
  </si>
  <si>
    <t>sylfreitas1109@gmail.com</t>
  </si>
  <si>
    <t xml:space="preserve">Medicina intensiva </t>
  </si>
  <si>
    <t>Grupo de Coluna  TRM</t>
  </si>
  <si>
    <t>https://lattes.cnpq.br/3528308344212915</t>
  </si>
  <si>
    <t xml:space="preserve">Natália Santiago Cerqueira Lima </t>
  </si>
  <si>
    <t xml:space="preserve">CTQ 9º andar </t>
  </si>
  <si>
    <t>http://lattes.cnpq.br/9932384866125002</t>
  </si>
  <si>
    <t xml:space="preserve">Evanirso da Silva Aquino </t>
  </si>
  <si>
    <t xml:space="preserve">31 99143-5303 </t>
  </si>
  <si>
    <t xml:space="preserve">PUC Minas </t>
  </si>
  <si>
    <t xml:space="preserve">Ambulatório de Doenças Raras </t>
  </si>
  <si>
    <t xml:space="preserve">Doenças Raras </t>
  </si>
  <si>
    <t xml:space="preserve">Coletivo da Saúde PUC Minas </t>
  </si>
  <si>
    <t xml:space="preserve"> http://lattes.cnpq.br/4005731215973065</t>
  </si>
  <si>
    <t>Juliana Goulart Dias da Costa</t>
  </si>
  <si>
    <t>juliana.costa@fhemig.mg.gov.br</t>
  </si>
  <si>
    <t>Coreme</t>
  </si>
  <si>
    <t>Experiências adversas na infância e repercussão na vida adulta</t>
  </si>
  <si>
    <t>http://lattes.cnpq.br/9884843101088624</t>
  </si>
  <si>
    <t>Luciana de Souza Cota Carvalho Laurentys</t>
  </si>
  <si>
    <t>lulucota@gmail.com</t>
  </si>
  <si>
    <t>31-988217852</t>
  </si>
  <si>
    <t>Medicina perioperatória</t>
  </si>
  <si>
    <t xml:space="preserve"> Medicina Perioperatória</t>
  </si>
  <si>
    <t>https://lattes.cnpq.br/8890384065115307</t>
  </si>
  <si>
    <t>Ingrid Werneck Linhares</t>
  </si>
  <si>
    <t>ingrid.linhares@fhemig.mg.gov.br</t>
  </si>
  <si>
    <t>31 986643520</t>
  </si>
  <si>
    <t>Nutrição / Residência</t>
  </si>
  <si>
    <t>Ambiente Alimentar; Consumo Alimentar; Estado Nutrição</t>
  </si>
  <si>
    <t xml:space="preserve"> http://lattes.cnpq.br/5043687862086856</t>
  </si>
  <si>
    <t>Brenda Xavier Martins</t>
  </si>
  <si>
    <t>nutri.brendaxavier@gmail.com</t>
  </si>
  <si>
    <t>Universidade Federal de Juiz de Fora - Doutorado em andamento</t>
  </si>
  <si>
    <t>CTI PEDIÁTRICO/AMBULATÓRIO DE GASTROENTEROLOGIA</t>
  </si>
  <si>
    <t>Nutrição; Saúde Coletiva; Doenças raras</t>
  </si>
  <si>
    <t>http://lattes.cnpq.br/7587297592457104</t>
  </si>
  <si>
    <t>belafigues79@gmail.com</t>
  </si>
  <si>
    <t>31 98415-8510</t>
  </si>
  <si>
    <t>Núcleo de Risco</t>
  </si>
  <si>
    <t>Segurança do Paciente</t>
  </si>
  <si>
    <t xml:space="preserve">https://lattes.cnpq.br/8421290404427656 </t>
  </si>
  <si>
    <t>Rafaella Vieira Moreira Obeica</t>
  </si>
  <si>
    <t>rafaella.moreira@fhemig.mg.gov.br</t>
  </si>
  <si>
    <t>Lactário</t>
  </si>
  <si>
    <t>Nutrição Clínica</t>
  </si>
  <si>
    <t>http://lattes.cnpq.br/7112050288555092</t>
  </si>
  <si>
    <t xml:space="preserve">                 </t>
  </si>
  <si>
    <t>TÍTULO PROJETO  PROJETO</t>
  </si>
  <si>
    <t>PESQUISADOR PRINCIPAL/ RESPONS INTICUCIONAL</t>
  </si>
  <si>
    <t>INSTITUIÇÃO PROPONENTE</t>
  </si>
  <si>
    <t>UNIDADE FHEMIG</t>
  </si>
  <si>
    <t>OBJETIVO RESUMIDO</t>
  </si>
  <si>
    <t>UNIDADE/SETOR QUE O ESTUDO ESTA SENDO DESENVOLVIDO</t>
  </si>
  <si>
    <t>ONDE OS COLABOR ESTAO ACESSANDO OS DADOS?</t>
  </si>
  <si>
    <t>DATA DA AUTORIZAÇÃO DE ACESSO AO CHU</t>
  </si>
  <si>
    <t>N° DE PESQUISADORES QUE RECERBERAM CRACHA</t>
  </si>
  <si>
    <t>NOME DOS COLABORADORES</t>
  </si>
  <si>
    <t>CONTATO DOS COLABORADORES</t>
  </si>
  <si>
    <t xml:space="preserve">INICIO E TÉRMINO COLETA </t>
  </si>
  <si>
    <t>OBS.:</t>
  </si>
  <si>
    <t>2270.01.0053739/2024-86</t>
  </si>
  <si>
    <t>Incidência de eventos adversos em pacientes submetidos à contenção mecânica em um hospital público de referência para urgências e emergências em Minas Gerais</t>
  </si>
  <si>
    <r>
      <rPr>
        <sz val="8"/>
        <color rgb="FFFF0000"/>
        <rFont val="Arial"/>
      </rPr>
      <t>Gisele de Lacerda Chaves</t>
    </r>
    <r>
      <rPr>
        <sz val="8"/>
        <color theme="1"/>
        <rFont val="Arial"/>
      </rPr>
      <t xml:space="preserve"> SERVIDORA FHEMIG </t>
    </r>
  </si>
  <si>
    <t>determinar a incidência de eventos adversos associados a contenção mecânica</t>
  </si>
  <si>
    <t>UTI TERREO E INTERNAÇÃO</t>
  </si>
  <si>
    <t>OBSERVAÇÃO NA UTI, INTERNAÇÃO E SIGH</t>
  </si>
  <si>
    <r>
      <rPr>
        <sz val="8"/>
        <color rgb="FFFF0000"/>
        <rFont val="Arial"/>
      </rPr>
      <t>GISELE</t>
    </r>
    <r>
      <rPr>
        <sz val="8"/>
        <color theme="1"/>
        <rFont val="Arial"/>
      </rPr>
      <t xml:space="preserve">   SABRINA       PAULA</t>
    </r>
  </si>
  <si>
    <t>12/05/2025-30/12/2025</t>
  </si>
  <si>
    <t>ACESSO SIGH CONSULTA</t>
  </si>
  <si>
    <t>2270.01.0009996/2025-72</t>
  </si>
  <si>
    <r>
      <rPr>
        <sz val="8"/>
        <color rgb="FFFF0000"/>
        <rFont val="Arial"/>
      </rPr>
      <t>Cintia Horta Rezende</t>
    </r>
    <r>
      <rPr>
        <sz val="8"/>
        <color theme="1"/>
        <rFont val="Arial"/>
      </rPr>
      <t xml:space="preserve"> /Gabriela Teodora</t>
    </r>
  </si>
  <si>
    <t>FMCiências médicas</t>
  </si>
  <si>
    <t>perfil epidemiol dos pacientes pediátricos submetidos a tratamento
neurocirúrgico devido a trauma cranioencefálico entre 2020 e 2024</t>
  </si>
  <si>
    <t>INTERNAÇÃO NEUROL PEDIATRIA</t>
  </si>
  <si>
    <t>Prontuários médicos</t>
  </si>
  <si>
    <t>Gabriela Teodora Laura Rodrig F. Nascimento  (laurarfn7@gmail.com)        Fernando Rodrigues F. Nascimento        Gabriele Teodoro Alexandre Baptista</t>
  </si>
  <si>
    <t>31 991436799</t>
  </si>
  <si>
    <t>12/05/2025 - 30/10/2025 2025</t>
  </si>
  <si>
    <t xml:space="preserve">CINTIA HRTA/ MARCIA </t>
  </si>
  <si>
    <t xml:space="preserve"> </t>
  </si>
  <si>
    <t>NEUROCRURGIA/EMERGENCIA</t>
  </si>
  <si>
    <t>SIF=GH</t>
  </si>
  <si>
    <t>08/082025</t>
  </si>
  <si>
    <t xml:space="preserve">ALEXANDRE BATISTA </t>
  </si>
  <si>
    <t>37 999708111</t>
  </si>
  <si>
    <t>08/08/2025 Á 07/08/2026</t>
  </si>
  <si>
    <t>SIGH</t>
  </si>
  <si>
    <t>2270.01.0069263/2024-75</t>
  </si>
  <si>
    <r>
      <rPr>
        <sz val="8"/>
        <color theme="1"/>
        <rFont val="Arial"/>
      </rPr>
      <t>Noradrenalina e Vasopressina para resgate versus Vasopressina precoce para sepse
dependente de vasopressor.</t>
    </r>
    <r>
      <rPr>
        <b/>
        <sz val="8"/>
        <color theme="1"/>
        <rFont val="Arial"/>
      </rPr>
      <t xml:space="preserve"> Estudo NoVa</t>
    </r>
    <r>
      <rPr>
        <sz val="8"/>
        <color theme="1"/>
        <rFont val="Arial"/>
      </rPr>
      <t xml:space="preserve">
</t>
    </r>
  </si>
  <si>
    <t xml:space="preserve">ALEXANDRE </t>
  </si>
  <si>
    <t>Hosp do coração (HCOR)</t>
  </si>
  <si>
    <t>Avaliar o efeito do uso precoce de vasopressina em um desfecho composto de
mortalidade por todas as causas ou terapia substitutiva renal em 28 dias</t>
  </si>
  <si>
    <t>UTI TERREO</t>
  </si>
  <si>
    <t>UTI e SIGH</t>
  </si>
  <si>
    <r>
      <rPr>
        <sz val="8"/>
        <color theme="1"/>
        <rFont val="Arial"/>
      </rPr>
      <t xml:space="preserve">Fernanda Coelho de Miranda Jorge Oliveira,   </t>
    </r>
    <r>
      <rPr>
        <b/>
        <sz val="8"/>
        <color theme="1"/>
        <rFont val="Arial"/>
      </rPr>
      <t xml:space="preserve">CINTIA   </t>
    </r>
    <r>
      <rPr>
        <sz val="8"/>
        <color theme="1"/>
        <rFont val="Arial"/>
      </rPr>
      <t xml:space="preserve">      Maria Elisa</t>
    </r>
  </si>
  <si>
    <t>31- 98863-9913</t>
  </si>
  <si>
    <t>01/03/2025 30/12/2027</t>
  </si>
  <si>
    <t>2270.01.0001958/2025-12</t>
  </si>
  <si>
    <t>PERFIL EPIDEMIOLOGICO DO TRAUMA RAQUIMEDULAR EM UM HOSPITAL DE
REFERENCIA DE BELO HORIZONTE</t>
  </si>
  <si>
    <t>MARCELO VIANA RODRIGUES DA CUNHA</t>
  </si>
  <si>
    <t>PUC/MG</t>
  </si>
  <si>
    <t>Determinar o perfil epidemiológico dos pacientes com TRM atendidos no HJXXIII em Belo Horizonte</t>
  </si>
  <si>
    <t>Neurotrauma</t>
  </si>
  <si>
    <t>Pronto Atendimento (Salas 1 e 3). Internação (Salas 4 e 6 e andares 4, 5, 6 e 7)</t>
  </si>
  <si>
    <t>Marcelo Viana,                                                   Maria Eduarda Teixeira de Oliveira Paula</t>
  </si>
  <si>
    <t xml:space="preserve"> 30/04/25 até 31/05/25</t>
  </si>
  <si>
    <t xml:space="preserve">PROJ EXTERNO </t>
  </si>
  <si>
    <t xml:space="preserve">   2270.01.0063947/2024-47</t>
  </si>
  <si>
    <t>Rogério Barbosa
31 98878-8968</t>
  </si>
  <si>
    <t>Código azul</t>
  </si>
  <si>
    <t>ANDARES ( 5 E 6)</t>
  </si>
  <si>
    <t xml:space="preserve">SIGH </t>
  </si>
  <si>
    <t xml:space="preserve">GABRIELA E JOAO PEDRO COM DOC PREENCHIDOS, </t>
  </si>
  <si>
    <t>Evanirso</t>
  </si>
  <si>
    <t>AMB FIBROSE CISTICA</t>
  </si>
  <si>
    <t>ALICE, EMANUELLE, ROBERTA  MARIA BEATRIZ</t>
  </si>
  <si>
    <t>Leopoldo Mantic</t>
  </si>
  <si>
    <t>Emergência/SIGH</t>
  </si>
  <si>
    <t xml:space="preserve">Raíssa Amorim Neves   23/09/2025                                      Lorrane Silva Moura Dorneles, CPF: 046.657.731-1;   </t>
  </si>
  <si>
    <t>Isabella Alves Almeida Machado</t>
  </si>
  <si>
    <t>Hospital de Madre de Deus de  Divinópolis</t>
  </si>
  <si>
    <t>SIGH e Planilha do setor UTQ</t>
  </si>
  <si>
    <t>01/10/2025n à 28/02/2026</t>
  </si>
  <si>
    <t>Influência da ligadura da veia femoral e poplítea na taxa de ampuração após reconstrção arterial em trauma vasculares</t>
  </si>
  <si>
    <t>JAD OLIVEIRA</t>
  </si>
  <si>
    <t>CIRURGIA VASCULAR</t>
  </si>
  <si>
    <t>RAFAELA COELHO  GONÇALVES</t>
  </si>
  <si>
    <t>01/12/2025 á 28/02/2026</t>
  </si>
  <si>
    <t>planilha e SIGH</t>
  </si>
  <si>
    <t xml:space="preserve">REDE DE ATENÇÃO AOS QUEIMADOS </t>
  </si>
  <si>
    <t>KELLY ARAUJP</t>
  </si>
  <si>
    <t>KELLY UTQ</t>
  </si>
  <si>
    <t>SETOR UTQ</t>
  </si>
  <si>
    <t xml:space="preserve">ANA FLÁVIA FARIA ANDRADE </t>
  </si>
  <si>
    <t>15/12/2025 Á 
15/06/2025</t>
  </si>
  <si>
    <t xml:space="preserve">GYOVANA TORRES MESQUITA </t>
  </si>
  <si>
    <t xml:space="preserve">CONSOLIDADO DAS COLUNAS </t>
  </si>
  <si>
    <t>COLUNA H</t>
  </si>
  <si>
    <t>COLUNA I</t>
  </si>
  <si>
    <t>COLUNA J</t>
  </si>
  <si>
    <t>COLUNA K</t>
  </si>
  <si>
    <t>COLUNA L</t>
  </si>
  <si>
    <t>PESQUISADOR EXTERNO</t>
  </si>
  <si>
    <t>ISNTITUIÇÃO PROPONENTE</t>
  </si>
  <si>
    <t>UNIDADE DE ENTRADA</t>
  </si>
  <si>
    <t>FINALIDADE DA PESQUISA</t>
  </si>
  <si>
    <t>DESENHO DE PESQUISA</t>
  </si>
  <si>
    <t>REVISÃO  INTEGRATIVA</t>
  </si>
  <si>
    <t>REVISÃO SISTÉMÁTICA</t>
  </si>
  <si>
    <t>RESIDENTE MÉDICO</t>
  </si>
  <si>
    <t>CIÊNCIAS MÉDICAS/FELUMA</t>
  </si>
  <si>
    <t xml:space="preserve">MESTRADO </t>
  </si>
  <si>
    <t>RELATO DE CASO</t>
  </si>
  <si>
    <t>SERIES DE CASOS</t>
  </si>
  <si>
    <t>EINSTEIN</t>
  </si>
  <si>
    <t>PUBLICAÇÃO</t>
  </si>
  <si>
    <t>ESTUDO CASO -CONTROLE</t>
  </si>
  <si>
    <t>OBSERV RETROSPECT</t>
  </si>
  <si>
    <t>HCOR</t>
  </si>
  <si>
    <t>OBSERV PROSPECTIVO</t>
  </si>
  <si>
    <t>ECCR ABERTO</t>
  </si>
  <si>
    <t>ECCR CEGO</t>
  </si>
  <si>
    <t>deixar espaços em branco para novas</t>
  </si>
  <si>
    <t>QUALITATIVA</t>
  </si>
  <si>
    <t>QUALIT/ INESTIGAÇÃO NARRATIVA</t>
  </si>
  <si>
    <t>TRANSVERSAL RETROSP</t>
  </si>
  <si>
    <t>TRANSVERSAL PROSPECT</t>
  </si>
  <si>
    <t>TOTAL PROJETOS</t>
  </si>
  <si>
    <t xml:space="preserve">Perfil do Pesquisador </t>
  </si>
  <si>
    <t>PROJETOS 2023</t>
  </si>
  <si>
    <t>EMENDAS 2024</t>
  </si>
  <si>
    <t>EXTERNO</t>
  </si>
  <si>
    <t>PROJETOS 2024</t>
  </si>
  <si>
    <t xml:space="preserve">Instituições Proponentes </t>
  </si>
  <si>
    <t>RENE RACHOU</t>
  </si>
  <si>
    <t>CIÊNCIAS MÉDICAS</t>
  </si>
  <si>
    <t>UNIV FED FLUM</t>
  </si>
  <si>
    <t>Universidade Europea</t>
  </si>
  <si>
    <t>MOINHOS DE VENTO</t>
  </si>
  <si>
    <t>Propósito</t>
  </si>
  <si>
    <t xml:space="preserve">             PROJETOS  DE PESQUISA</t>
  </si>
  <si>
    <t xml:space="preserve"> 61         SERVIDORES ENVOLVIDOS </t>
  </si>
  <si>
    <t>Iniciação Científica</t>
  </si>
  <si>
    <t>Publicação</t>
  </si>
  <si>
    <t>Nº PROJETOS  APROVADOS</t>
  </si>
  <si>
    <t>Nº PROJETOS</t>
  </si>
  <si>
    <t>1 PT</t>
  </si>
  <si>
    <t>APROVADOS</t>
  </si>
  <si>
    <t>2 PT</t>
  </si>
  <si>
    <t>3 PT</t>
  </si>
  <si>
    <t>PENDÊNCIAS</t>
  </si>
  <si>
    <t>4 PT</t>
  </si>
  <si>
    <t>REPROVADOS</t>
  </si>
  <si>
    <t>NOME DO PROJETO</t>
  </si>
  <si>
    <t>LOCAL DE COLETA  DE DADOS</t>
  </si>
  <si>
    <t>N° DE COLABORADORES</t>
  </si>
  <si>
    <t>Incidência e fatores de risco para septicemia em pacientes queimados em instituição de referência no Brasil</t>
  </si>
  <si>
    <t>MIGUIR</t>
  </si>
  <si>
    <t>PERFIL E INCID DE SEPSES PCTE QUEIM</t>
  </si>
  <si>
    <t>BIBLIOTECA HJXXIII/ SAME</t>
  </si>
  <si>
    <t>TENTATIVAS DE SUICÍDIO DURANTE A PANDEMIA COVID-19 - HJXXIII</t>
  </si>
  <si>
    <t>LUCIENE</t>
  </si>
  <si>
    <t>HJXIII</t>
  </si>
  <si>
    <t>TOXICOL/PSICOL</t>
  </si>
  <si>
    <t>Perfil dos pacientes vítimas de traumatismo cranioencefálico atendidos no
Hospital João XXIII e análise dos fatores que determinam sua mortalidade</t>
  </si>
  <si>
    <t>FALEIRO/Antonio Lucio Teixeira JunioR</t>
  </si>
  <si>
    <t>UFMG ( EEMENDA NA PBRASIL)</t>
  </si>
  <si>
    <t>5° ANDAR/NEUROL</t>
  </si>
  <si>
    <t>5 ANDAR</t>
  </si>
  <si>
    <t>2023- 2027</t>
  </si>
  <si>
    <t>DOS MECANISMOS AOS BIOMARCADORES PARA O ENVENENAMENTO POR ANIMAIS PEÇONHENTOS: UM ESTUDO MULTICÊNTRICO PARA O DESENVOLVIMENTO DE NOVAS ESTRATÉGIAS DE DIAGNÓSTICO E MONITORAMENTO</t>
  </si>
  <si>
    <t>JOELITON</t>
  </si>
  <si>
    <t>FAC MEDICINA DE  BOTUCATU</t>
  </si>
  <si>
    <t>PROPRIO</t>
  </si>
  <si>
    <t>2024-2025</t>
  </si>
  <si>
    <t>VALIAÇÃO DOS ESQUEMAS TERAPÊUTICOS ANTIMICROBIANOS ASSOCIADOS À SOBREVIDA EM PACIENTES INTERNADOS EM UNIDADE DE TERAPIA INTENSIVA COM INFECÇÃO CONFIRMADA EM HEMOCULTURA POR ENTEROBACTERALES</t>
  </si>
  <si>
    <t>LAURA BORBA</t>
  </si>
  <si>
    <t>SCIH</t>
  </si>
  <si>
    <t>1(PROPRIA)</t>
  </si>
  <si>
    <t>QUALIDADE DO SONO, NÍVEL DE ATIVIDADE FÍSICA E EXACERBAÇÕES PULMONARES EM PACIENTES DIAGNOSTICADOS COM FIBROSE CÍSTICA</t>
  </si>
  <si>
    <t>Evanirso(SERVIDOR)</t>
  </si>
  <si>
    <t>AMB DOENÇAS RARAS FIBROSE CISTICA</t>
  </si>
  <si>
    <t>pp// ambulatório Fibrose cistica</t>
  </si>
  <si>
    <t xml:space="preserve">Leo, Karen, ALICE E EMANUELLE </t>
  </si>
  <si>
    <t>SET/2024- JULHO 2025</t>
  </si>
  <si>
    <t>DIEGO FINALIOZU A COLETA</t>
  </si>
  <si>
    <t>Crianças com COVID 19: ANÁLISE POLIMORFISMOS DE GENES DE RESPOSTA IMUNE</t>
  </si>
  <si>
    <t>ALINE BENTES</t>
  </si>
  <si>
    <t>FIO CRUZ</t>
  </si>
  <si>
    <t>Eu autorizo: a deliberação familiar sobre a doação de órgãos e tecidos em um hospital de Belo Horizonte/MG</t>
  </si>
  <si>
    <t>FABIANA THALIA PEREIRA DE OLIVEIRA</t>
  </si>
  <si>
    <t xml:space="preserve">acompanhamentoc conversa com familiares em processo de doação </t>
  </si>
  <si>
    <t>MG Transplantes /hjxxiii</t>
  </si>
  <si>
    <t>Por meio de entrevistas</t>
  </si>
  <si>
    <t>1 Propria</t>
  </si>
  <si>
    <t>Própria</t>
  </si>
  <si>
    <t>20/07/-30/08</t>
  </si>
  <si>
    <t>COLETA ENCERRADA</t>
  </si>
  <si>
    <t>PROJETO ELSA</t>
  </si>
  <si>
    <t>HJXXII/HAMAL</t>
  </si>
  <si>
    <t>avaliação  de prontuários</t>
  </si>
  <si>
    <t>SAME</t>
  </si>
  <si>
    <t>Crianças com condições crônicas complexas: uma análise comparativa de custos da internação hospitalar e domiciliar em um hospital público de referência na cidade de Belo Horizonte" no HIJPII".</t>
  </si>
  <si>
    <t>Natália de Souza Pires Oliveira</t>
  </si>
  <si>
    <t>"Crianças com condições crônicas complexas: uma análise comparativa de custos da internação hospitalar e domiciliar em um hospital público de referência na cidade de Belo Horizonte"</t>
  </si>
  <si>
    <t>Unidade de internação do CUIDAR (3º andar) e Atenção domiciliar CUIDAR</t>
  </si>
  <si>
    <t>Setembro a Dezembro de 2024</t>
  </si>
  <si>
    <t xml:space="preserve">PESQUISADORA </t>
  </si>
  <si>
    <t>...</t>
  </si>
  <si>
    <t>PROJETOS</t>
  </si>
  <si>
    <t>EMENDAS 2023</t>
  </si>
  <si>
    <t>PROJETOS 2022</t>
  </si>
  <si>
    <t>PROJ PENDENC DOC</t>
  </si>
  <si>
    <t xml:space="preserve"> 1 Trimestre</t>
  </si>
  <si>
    <t>2 Trimestre</t>
  </si>
  <si>
    <t>3 Trimestre</t>
  </si>
  <si>
    <t>4 Trimestre</t>
  </si>
  <si>
    <t>Projetos tramitados</t>
  </si>
  <si>
    <t>Ano</t>
  </si>
  <si>
    <t>N° de projetos</t>
  </si>
  <si>
    <t>BOTUCATU</t>
  </si>
  <si>
    <t>PUCMINAS</t>
  </si>
  <si>
    <t>NATIONWIDE CHILF H</t>
  </si>
  <si>
    <t xml:space="preserve">              PROJETOS  DE PESQUISA</t>
  </si>
  <si>
    <t>92,5% TEM SERVIDORES ENVOLVIDOS</t>
  </si>
  <si>
    <t>servidorES</t>
  </si>
  <si>
    <t>EVAN /CINTIA</t>
  </si>
  <si>
    <t>( 1 servidor)</t>
  </si>
  <si>
    <t>todos orientados por servidores</t>
  </si>
  <si>
    <t>( 3 são servidoras)</t>
  </si>
  <si>
    <t>servidoras</t>
  </si>
  <si>
    <t>servidores</t>
  </si>
  <si>
    <t>Aprovados CIP</t>
  </si>
  <si>
    <t>Pendências</t>
  </si>
  <si>
    <t>Reprovados</t>
  </si>
  <si>
    <t>Não se Aplica</t>
  </si>
  <si>
    <t>Pend Doc NEP</t>
  </si>
  <si>
    <t>Projetos</t>
  </si>
  <si>
    <t>Aprovados pela CEP</t>
  </si>
  <si>
    <t xml:space="preserve">Parecer CEP entregue CEP </t>
  </si>
  <si>
    <t>Em apreciação</t>
  </si>
  <si>
    <t>Não entregaram parecer</t>
  </si>
  <si>
    <t>87-11</t>
  </si>
  <si>
    <t>ATÉ JULHO 24</t>
  </si>
  <si>
    <t>JANEIRO</t>
  </si>
  <si>
    <t>FEVEREIRO</t>
  </si>
  <si>
    <t>MARCO</t>
  </si>
  <si>
    <t>ABRIL</t>
  </si>
  <si>
    <t xml:space="preserve">MAIO </t>
  </si>
  <si>
    <t xml:space="preserve">JUNHO </t>
  </si>
  <si>
    <t>JULHO</t>
  </si>
  <si>
    <t>PROJETOS 2025</t>
  </si>
  <si>
    <t>EMENDAS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</si>
</sst>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dd/mm/yyyy"/>
    <numFmt numFmtId="165" formatCode="[$R$ -416]#,##0.00"/>
    <numFmt numFmtId="166" formatCode="d/m/yyyy"/>
    <numFmt numFmtId="167" formatCode="mmmm/yyyy"/>
    <numFmt numFmtId="168" formatCode="mmm/yyyy"/>
    <numFmt numFmtId="169" formatCode="dd/mm/yy"/>
    <numFmt numFmtId="170" formatCode="mmmm/d"/>
    <numFmt numFmtId="171" formatCode="mmm\ yyyy"/>
    <numFmt numFmtId="172" formatCode="0.0%"/>
  </numFmts>
  <fonts count="80">
    <font>
      <sz val="10"/>
      <color rgb="FF000000"/>
      <name val="Arial"/>
      <scheme val="minor"/>
    </font>
    <font>
      <b/>
      <sz val="10"/>
      <color rgb="FF000000"/>
      <name val="Calibri"/>
    </font>
    <font>
      <b/>
      <sz val="10"/>
      <color theme="1"/>
      <name val="Calibri"/>
    </font>
    <font>
      <sz val="8"/>
      <color theme="1"/>
      <name val="Calibri"/>
    </font>
    <font>
      <b/>
      <sz val="9"/>
      <color rgb="FF000000"/>
      <name val="Calibri"/>
    </font>
    <font>
      <sz val="10"/>
      <color theme="1"/>
      <name val="Calibri"/>
    </font>
    <font>
      <b/>
      <sz val="10"/>
      <color theme="1"/>
      <name val="Arial"/>
    </font>
    <font>
      <b/>
      <sz val="10"/>
      <color rgb="FFFF0000"/>
      <name val="Arial"/>
    </font>
    <font>
      <b/>
      <sz val="10"/>
      <color rgb="FFFF0000"/>
      <name val="Calibri"/>
    </font>
    <font>
      <b/>
      <sz val="9"/>
      <color rgb="FF000000"/>
      <name val="Arial"/>
    </font>
    <font>
      <b/>
      <sz val="10"/>
      <color rgb="FF0000FF"/>
      <name val="Calibri"/>
    </font>
    <font>
      <sz val="10"/>
      <color rgb="FF0000FF"/>
      <name val="Calibri"/>
    </font>
    <font>
      <sz val="9"/>
      <color rgb="FF000000"/>
      <name val="Calibri"/>
    </font>
    <font>
      <b/>
      <sz val="9"/>
      <color theme="1"/>
      <name val="Calibri"/>
    </font>
    <font>
      <sz val="9"/>
      <color theme="1"/>
      <name val="Calibri"/>
    </font>
    <font>
      <b/>
      <sz val="9"/>
      <color rgb="FFFF00FF"/>
      <name val="Arial"/>
    </font>
    <font>
      <sz val="9"/>
      <color theme="1"/>
      <name val="Arial"/>
    </font>
    <font>
      <sz val="8"/>
      <color theme="1"/>
      <name val="Arial"/>
    </font>
    <font>
      <sz val="8"/>
      <color rgb="FFB7E1CD"/>
      <name val="Arial"/>
    </font>
    <font>
      <sz val="9"/>
      <color rgb="FFFF0000"/>
      <name val="Calibri"/>
    </font>
    <font>
      <sz val="7"/>
      <color theme="1"/>
      <name val="Arial"/>
    </font>
    <font>
      <sz val="10"/>
      <color theme="1"/>
      <name val="Arial"/>
    </font>
    <font>
      <sz val="10"/>
      <color theme="1"/>
      <name val="Arial"/>
    </font>
    <font>
      <sz val="9"/>
      <color theme="1"/>
      <name val="Arial"/>
      <scheme val="minor"/>
    </font>
    <font>
      <sz val="9"/>
      <color rgb="FF000000"/>
      <name val="Arial"/>
    </font>
    <font>
      <sz val="10"/>
      <color rgb="FF000000"/>
      <name val="Calibri"/>
    </font>
    <font>
      <b/>
      <sz val="9"/>
      <color rgb="FFFF0000"/>
      <name val="Calibri"/>
    </font>
    <font>
      <sz val="9"/>
      <color rgb="FF0000FF"/>
      <name val="Calibri"/>
    </font>
    <font>
      <b/>
      <sz val="9"/>
      <color theme="1"/>
      <name val="Arial"/>
    </font>
    <font>
      <b/>
      <sz val="9"/>
      <color rgb="FF38761D"/>
      <name val="Calibri"/>
    </font>
    <font>
      <b/>
      <sz val="9"/>
      <color rgb="FFEA4335"/>
      <name val="Calibri"/>
    </font>
    <font>
      <sz val="10"/>
      <color rgb="FF0000FF"/>
      <name val="Arial"/>
    </font>
    <font>
      <u/>
      <sz val="9"/>
      <color theme="1"/>
      <name val="Arial"/>
    </font>
    <font>
      <u/>
      <sz val="9"/>
      <color rgb="FF000000"/>
      <name val="Arial"/>
    </font>
    <font>
      <sz val="8"/>
      <color rgb="FF000000"/>
      <name val="Calibri"/>
    </font>
    <font>
      <sz val="9"/>
      <color rgb="FF1155CC"/>
      <name val="Calibri"/>
    </font>
    <font>
      <sz val="9"/>
      <color rgb="FFFF0000"/>
      <name val="Arial"/>
    </font>
    <font>
      <sz val="10"/>
      <color rgb="FF000000"/>
      <name val="Arial"/>
    </font>
    <font>
      <sz val="9"/>
      <color rgb="FF0000FF"/>
      <name val="Arial"/>
    </font>
    <font>
      <sz val="8"/>
      <color rgb="FFFF0000"/>
      <name val="Arial"/>
    </font>
    <font>
      <sz val="8"/>
      <color rgb="FF000000"/>
      <name val="Arial"/>
    </font>
    <font>
      <sz val="8"/>
      <color rgb="FF0000FF"/>
      <name val="Arial"/>
    </font>
    <font>
      <sz val="9"/>
      <color rgb="FF0000EE"/>
      <name val="Calibri"/>
    </font>
    <font>
      <sz val="8"/>
      <color rgb="FF0000EE"/>
      <name val="Calibri"/>
    </font>
    <font>
      <sz val="9"/>
      <color rgb="FF1155CC"/>
      <name val="Arial"/>
    </font>
    <font>
      <b/>
      <sz val="8"/>
      <color theme="1"/>
      <name val="Calibri"/>
    </font>
    <font>
      <b/>
      <sz val="8"/>
      <color theme="1"/>
      <name val="Arial"/>
    </font>
    <font>
      <b/>
      <sz val="9"/>
      <color rgb="FFFF00FF"/>
      <name val="Calibri"/>
    </font>
    <font>
      <sz val="10"/>
      <color theme="1"/>
      <name val="Arial"/>
      <scheme val="minor"/>
    </font>
    <font>
      <sz val="8"/>
      <color rgb="FFFF0000"/>
      <name val="Calibri"/>
    </font>
    <font>
      <sz val="12"/>
      <color rgb="FF000000"/>
      <name val="Calibri"/>
    </font>
    <font>
      <sz val="8"/>
      <color theme="1"/>
      <name val="Arial"/>
      <scheme val="minor"/>
    </font>
    <font>
      <b/>
      <sz val="8"/>
      <color rgb="FF000000"/>
      <name val="Calibri"/>
    </font>
    <font>
      <sz val="8"/>
      <color rgb="FF00000A"/>
      <name val="Arial"/>
    </font>
    <font>
      <b/>
      <sz val="8"/>
      <color rgb="FFFF00FF"/>
      <name val="Calibri"/>
    </font>
    <font>
      <b/>
      <sz val="12"/>
      <color rgb="FF000000"/>
      <name val="Calibri"/>
    </font>
    <font>
      <b/>
      <sz val="12"/>
      <color theme="1"/>
      <name val="Calibri"/>
    </font>
    <font>
      <b/>
      <sz val="12"/>
      <color rgb="FFFF0000"/>
      <name val="Calibri"/>
    </font>
    <font>
      <b/>
      <sz val="10"/>
      <color rgb="FFFF00FF"/>
      <name val="Arial"/>
    </font>
    <font>
      <sz val="10"/>
      <color rgb="FFFF0000"/>
      <name val="Arial"/>
    </font>
    <font>
      <sz val="10"/>
      <color rgb="FFFF00FF"/>
      <name val="Arial"/>
    </font>
    <font>
      <sz val="12"/>
      <color theme="1"/>
      <name val="Calibri"/>
    </font>
    <font>
      <u/>
      <sz val="10"/>
      <color rgb="FF3C78D8"/>
      <name val="Calibri"/>
    </font>
    <font>
      <sz val="10"/>
      <color rgb="FF3C78D8"/>
      <name val="Calibri"/>
    </font>
    <font>
      <b/>
      <sz val="10"/>
      <color rgb="FFFF00FF"/>
      <name val="Calibri"/>
    </font>
    <font>
      <u/>
      <sz val="10"/>
      <color rgb="FF0000FF"/>
      <name val="Calibri"/>
    </font>
    <font>
      <u/>
      <sz val="10"/>
      <color theme="1"/>
      <name val="Calibri"/>
    </font>
    <font>
      <u/>
      <sz val="10"/>
      <color rgb="FF000000"/>
      <name val="Calibri"/>
    </font>
    <font>
      <sz val="11"/>
      <color rgb="FF000000"/>
      <name val="Arial"/>
    </font>
    <font>
      <sz val="11"/>
      <color theme="1"/>
      <name val="Arial"/>
    </font>
    <font>
      <sz val="10"/>
      <color rgb="FF1F1F1F"/>
      <name val="Arial"/>
    </font>
    <font>
      <sz val="10"/>
      <color theme="1"/>
      <name val="Times New Roman"/>
    </font>
    <font>
      <sz val="14"/>
      <color rgb="FF000000"/>
      <name val="Arial"/>
    </font>
    <font>
      <b/>
      <sz val="13"/>
      <color theme="1"/>
      <name val="Calibri"/>
    </font>
    <font>
      <b/>
      <sz val="13"/>
      <color rgb="FF0000FF"/>
      <name val="Calibri"/>
    </font>
    <font>
      <b/>
      <sz val="13"/>
      <color rgb="FF1155CC"/>
      <name val="Calibri"/>
    </font>
    <font>
      <b/>
      <sz val="10"/>
      <color rgb="FF38761D"/>
      <name val="Calibri"/>
    </font>
    <font>
      <b/>
      <sz val="10"/>
      <color rgb="FF9900FF"/>
      <name val="Calibri"/>
    </font>
    <font>
      <b/>
      <sz val="10"/>
      <color rgb="FF1155CC"/>
      <name val="Calibri"/>
    </font>
    <font>
      <sz val="8"/>
      <color rgb="FF0000EE"/>
      <name val="Arial"/>
    </font>
  </fonts>
  <fills count="36">
    <fill>
      <patternFill patternType="none"/>
    </fill>
    <fill>
      <patternFill patternType="gray125"/>
    </fill>
    <fill>
      <patternFill patternType="solid">
        <fgColor rgb="FFFCE5CD"/>
        <bgColor rgb="FFFCE5CD"/>
      </patternFill>
    </fill>
    <fill>
      <patternFill patternType="solid">
        <fgColor rgb="FFFFFF00"/>
        <bgColor rgb="FFFFFF00"/>
      </patternFill>
    </fill>
    <fill>
      <patternFill patternType="solid">
        <fgColor theme="4"/>
        <bgColor theme="4"/>
      </patternFill>
    </fill>
    <fill>
      <patternFill patternType="solid">
        <fgColor rgb="FFD9D2E9"/>
        <bgColor rgb="FFD9D2E9"/>
      </patternFill>
    </fill>
    <fill>
      <patternFill patternType="solid">
        <fgColor rgb="FF00FF00"/>
        <bgColor rgb="FF00FF00"/>
      </patternFill>
    </fill>
    <fill>
      <patternFill patternType="solid">
        <fgColor rgb="FFCFE2F3"/>
        <bgColor rgb="FFCFE2F3"/>
      </patternFill>
    </fill>
    <fill>
      <patternFill patternType="solid">
        <fgColor theme="9"/>
        <bgColor theme="9"/>
      </patternFill>
    </fill>
    <fill>
      <patternFill patternType="solid">
        <fgColor rgb="FFF3F3F3"/>
        <bgColor rgb="FFF3F3F3"/>
      </patternFill>
    </fill>
    <fill>
      <patternFill patternType="solid">
        <fgColor rgb="FFFF00FF"/>
        <bgColor rgb="FFFF00FF"/>
      </patternFill>
    </fill>
    <fill>
      <patternFill patternType="solid">
        <fgColor rgb="FFFF0000"/>
        <bgColor rgb="FFFF0000"/>
      </patternFill>
    </fill>
    <fill>
      <patternFill patternType="solid">
        <fgColor rgb="FFEAD1DC"/>
        <bgColor rgb="FFEAD1DC"/>
      </patternFill>
    </fill>
    <fill>
      <patternFill patternType="solid">
        <fgColor theme="0"/>
        <bgColor theme="0"/>
      </patternFill>
    </fill>
    <fill>
      <patternFill patternType="solid">
        <fgColor rgb="FFB6D7A8"/>
        <bgColor rgb="FFB6D7A8"/>
      </patternFill>
    </fill>
    <fill>
      <patternFill patternType="solid">
        <fgColor rgb="FFF4CCCC"/>
        <bgColor rgb="FFF4CCCC"/>
      </patternFill>
    </fill>
    <fill>
      <patternFill patternType="solid">
        <fgColor rgb="FF93C47D"/>
        <bgColor rgb="FF93C47D"/>
      </patternFill>
    </fill>
    <fill>
      <patternFill patternType="solid">
        <fgColor rgb="FFFFF2CC"/>
        <bgColor rgb="FFFFF2CC"/>
      </patternFill>
    </fill>
    <fill>
      <patternFill patternType="solid">
        <fgColor rgb="FFE7E77F"/>
        <bgColor rgb="FFE7E77F"/>
      </patternFill>
    </fill>
    <fill>
      <patternFill patternType="solid">
        <fgColor rgb="FFFFFFFF"/>
        <bgColor rgb="FFFFFFFF"/>
      </patternFill>
    </fill>
    <fill>
      <patternFill patternType="solid">
        <fgColor rgb="FFD9D9D9"/>
        <bgColor rgb="FFD9D9D9"/>
      </patternFill>
    </fill>
    <fill>
      <patternFill patternType="solid">
        <fgColor rgb="FFF4C7C3"/>
        <bgColor rgb="FFF4C7C3"/>
      </patternFill>
    </fill>
    <fill>
      <patternFill patternType="solid">
        <fgColor rgb="FF00FFFF"/>
        <bgColor rgb="FF00FFFF"/>
      </patternFill>
    </fill>
    <fill>
      <patternFill patternType="solid">
        <fgColor rgb="FFEA9999"/>
        <bgColor rgb="FFEA9999"/>
      </patternFill>
    </fill>
    <fill>
      <patternFill patternType="solid">
        <fgColor rgb="FFFF9900"/>
        <bgColor rgb="FFFF9900"/>
      </patternFill>
    </fill>
    <fill>
      <patternFill patternType="solid">
        <fgColor rgb="FFB7E1CD"/>
        <bgColor rgb="FFB7E1CD"/>
      </patternFill>
    </fill>
    <fill>
      <patternFill patternType="solid">
        <fgColor rgb="FFC27BA0"/>
        <bgColor rgb="FFC27BA0"/>
      </patternFill>
    </fill>
    <fill>
      <patternFill patternType="solid">
        <fgColor rgb="FFCCCCCC"/>
        <bgColor rgb="FFCCCCCC"/>
      </patternFill>
    </fill>
    <fill>
      <patternFill patternType="solid">
        <fgColor rgb="FFEA4335"/>
        <bgColor rgb="FFEA4335"/>
      </patternFill>
    </fill>
    <fill>
      <patternFill patternType="solid">
        <fgColor rgb="FFC9DAF8"/>
        <bgColor rgb="FFC9DAF8"/>
      </patternFill>
    </fill>
    <fill>
      <patternFill patternType="solid">
        <fgColor rgb="FFC6E0B4"/>
        <bgColor rgb="FFC6E0B4"/>
      </patternFill>
    </fill>
    <fill>
      <patternFill patternType="solid">
        <fgColor rgb="FFFFE599"/>
        <bgColor rgb="FFFFE599"/>
      </patternFill>
    </fill>
    <fill>
      <patternFill patternType="solid">
        <fgColor rgb="FFF8F9FA"/>
        <bgColor rgb="FFF8F9FA"/>
      </patternFill>
    </fill>
    <fill>
      <patternFill patternType="solid">
        <fgColor rgb="FFB7B7B7"/>
        <bgColor rgb="FFB7B7B7"/>
      </patternFill>
    </fill>
    <fill>
      <patternFill patternType="solid">
        <fgColor rgb="FFFFD966"/>
        <bgColor rgb="FFFFD966"/>
      </patternFill>
    </fill>
    <fill>
      <patternFill patternType="solid">
        <fgColor rgb="FFA4C2F4"/>
        <bgColor rgb="FFA4C2F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9E9E9E"/>
      </left>
      <right style="thin">
        <color rgb="FF9E9E9E"/>
      </right>
      <top style="thin">
        <color rgb="FF9E9E9E"/>
      </top>
      <bottom style="thin">
        <color rgb="FF9E9E9E"/>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471">
    <xf numFmtId="0" fontId="0" fillId="0" borderId="0" xfId="0"/>
    <xf numFmtId="0" fontId="1"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5" fontId="4" fillId="2" borderId="1" xfId="0" applyNumberFormat="1"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2" fillId="11"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1" fillId="13" borderId="0" xfId="0" applyFont="1" applyFill="1" applyAlignment="1">
      <alignment horizontal="center" vertical="center" wrapText="1"/>
    </xf>
    <xf numFmtId="0" fontId="12" fillId="14"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165" fontId="15" fillId="17" borderId="1" xfId="0" applyNumberFormat="1" applyFont="1" applyFill="1" applyBorder="1" applyAlignment="1">
      <alignment horizontal="center" vertical="center" wrapText="1"/>
    </xf>
    <xf numFmtId="164" fontId="16" fillId="14" borderId="1" xfId="0" applyNumberFormat="1"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20" fillId="5" borderId="0" xfId="0" applyFont="1" applyFill="1" applyAlignment="1">
      <alignment horizontal="center" vertical="center" wrapText="1"/>
    </xf>
    <xf numFmtId="0" fontId="16" fillId="1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164" fontId="14" fillId="3" borderId="1" xfId="0" applyNumberFormat="1" applyFont="1" applyFill="1" applyBorder="1" applyAlignment="1">
      <alignment horizontal="center" vertical="center" wrapText="1"/>
    </xf>
    <xf numFmtId="0" fontId="3" fillId="14" borderId="0" xfId="0" applyFont="1" applyFill="1" applyAlignment="1">
      <alignment horizontal="center" vertical="center" wrapText="1"/>
    </xf>
    <xf numFmtId="164" fontId="23" fillId="14"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27" fillId="14" borderId="1" xfId="0" applyFont="1" applyFill="1" applyBorder="1" applyAlignment="1">
      <alignment horizontal="center" vertical="center" wrapText="1"/>
    </xf>
    <xf numFmtId="0" fontId="27" fillId="13" borderId="0" xfId="0" applyFont="1" applyFill="1" applyAlignment="1">
      <alignment horizontal="center" vertical="center" wrapText="1"/>
    </xf>
    <xf numFmtId="0" fontId="12" fillId="5" borderId="1" xfId="0" applyFont="1" applyFill="1" applyBorder="1" applyAlignment="1">
      <alignment horizontal="center" vertical="center" wrapText="1"/>
    </xf>
    <xf numFmtId="0" fontId="28" fillId="1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3" fillId="5" borderId="0" xfId="0" applyFont="1" applyFill="1" applyAlignment="1">
      <alignment horizontal="center" vertical="center" wrapText="1"/>
    </xf>
    <xf numFmtId="0" fontId="16" fillId="5" borderId="1" xfId="0" applyFont="1" applyFill="1" applyBorder="1" applyAlignment="1">
      <alignment horizontal="center" vertical="center" wrapText="1"/>
    </xf>
    <xf numFmtId="164" fontId="21" fillId="5" borderId="1" xfId="0" applyNumberFormat="1" applyFont="1" applyFill="1" applyBorder="1" applyAlignment="1">
      <alignment horizontal="center" vertical="center" wrapText="1"/>
    </xf>
    <xf numFmtId="164" fontId="14" fillId="5" borderId="1" xfId="0" applyNumberFormat="1" applyFont="1" applyFill="1" applyBorder="1" applyAlignment="1">
      <alignment horizontal="center" vertical="center" wrapText="1"/>
    </xf>
    <xf numFmtId="164" fontId="29" fillId="5" borderId="1" xfId="0" applyNumberFormat="1" applyFont="1" applyFill="1" applyBorder="1" applyAlignment="1">
      <alignment horizontal="center" vertical="center" wrapText="1"/>
    </xf>
    <xf numFmtId="164" fontId="13" fillId="15" borderId="1"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164" fontId="5" fillId="5" borderId="1" xfId="0" applyNumberFormat="1" applyFont="1" applyFill="1" applyBorder="1" applyAlignment="1">
      <alignment horizontal="center" vertical="center" wrapText="1"/>
    </xf>
    <xf numFmtId="166" fontId="21" fillId="5" borderId="1" xfId="0" applyNumberFormat="1" applyFont="1" applyFill="1" applyBorder="1" applyAlignment="1">
      <alignment horizontal="center" vertical="center" wrapText="1"/>
    </xf>
    <xf numFmtId="164" fontId="30" fillId="5" borderId="1" xfId="0" applyNumberFormat="1" applyFont="1" applyFill="1" applyBorder="1" applyAlignment="1">
      <alignment horizontal="center" vertical="center" wrapText="1"/>
    </xf>
    <xf numFmtId="0" fontId="31" fillId="5"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21" fillId="5"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3" fillId="11" borderId="0" xfId="0" applyFont="1" applyFill="1" applyAlignment="1">
      <alignment horizontal="center" vertical="center" wrapText="1"/>
    </xf>
    <xf numFmtId="0" fontId="32" fillId="11" borderId="1" xfId="0" applyFont="1" applyFill="1" applyBorder="1" applyAlignment="1">
      <alignment horizontal="center" vertical="center" wrapText="1"/>
    </xf>
    <xf numFmtId="166" fontId="5" fillId="11" borderId="1" xfId="0" applyNumberFormat="1" applyFont="1" applyFill="1" applyBorder="1" applyAlignment="1">
      <alignment horizontal="center" vertical="center" wrapText="1"/>
    </xf>
    <xf numFmtId="0" fontId="21" fillId="11"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4" fillId="19"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164" fontId="23" fillId="0" borderId="1" xfId="0" applyNumberFormat="1" applyFont="1" applyBorder="1" applyAlignment="1">
      <alignment horizontal="center" vertical="center" wrapText="1"/>
    </xf>
    <xf numFmtId="0" fontId="12" fillId="19"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33" fillId="19" borderId="1" xfId="0" applyFont="1" applyFill="1" applyBorder="1" applyAlignment="1">
      <alignment horizontal="center" vertical="center" wrapText="1"/>
    </xf>
    <xf numFmtId="0" fontId="12" fillId="0" borderId="1" xfId="0" applyFont="1" applyBorder="1" applyAlignment="1">
      <alignment horizontal="center" vertical="center" wrapText="1"/>
    </xf>
    <xf numFmtId="164" fontId="25" fillId="3" borderId="1" xfId="0" applyNumberFormat="1" applyFont="1" applyFill="1" applyBorder="1" applyAlignment="1">
      <alignment horizontal="center" vertical="center" wrapText="1"/>
    </xf>
    <xf numFmtId="164" fontId="14" fillId="19" borderId="1" xfId="0" applyNumberFormat="1" applyFont="1" applyFill="1" applyBorder="1" applyAlignment="1">
      <alignment horizontal="center" vertical="center" wrapText="1"/>
    </xf>
    <xf numFmtId="0" fontId="14" fillId="20" borderId="1" xfId="0" applyFont="1" applyFill="1" applyBorder="1" applyAlignment="1">
      <alignment horizontal="center" vertical="center" wrapText="1"/>
    </xf>
    <xf numFmtId="164" fontId="26" fillId="3" borderId="1" xfId="0" applyNumberFormat="1" applyFont="1" applyFill="1" applyBorder="1" applyAlignment="1">
      <alignment horizontal="center" vertical="center" wrapText="1"/>
    </xf>
    <xf numFmtId="164" fontId="12" fillId="3" borderId="1" xfId="0" applyNumberFormat="1"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4" fillId="0" borderId="0" xfId="0" applyFont="1" applyAlignment="1">
      <alignment horizontal="center" vertical="center" wrapText="1"/>
    </xf>
    <xf numFmtId="0" fontId="24" fillId="19" borderId="1" xfId="0"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164" fontId="30" fillId="3" borderId="1" xfId="0" applyNumberFormat="1" applyFont="1" applyFill="1" applyBorder="1" applyAlignment="1">
      <alignment horizontal="center" vertical="center" wrapText="1"/>
    </xf>
    <xf numFmtId="0" fontId="19"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35" fillId="13" borderId="0" xfId="0" applyFont="1" applyFill="1" applyAlignment="1">
      <alignment horizontal="center" vertical="center" wrapText="1"/>
    </xf>
    <xf numFmtId="0" fontId="34" fillId="0" borderId="1" xfId="0" applyFont="1" applyBorder="1" applyAlignment="1">
      <alignment horizontal="center" vertical="center" wrapText="1"/>
    </xf>
    <xf numFmtId="0" fontId="14" fillId="0" borderId="1" xfId="0" applyFont="1" applyBorder="1" applyAlignment="1">
      <alignment horizontal="center" vertical="center" wrapText="1"/>
    </xf>
    <xf numFmtId="164" fontId="14" fillId="0" borderId="1" xfId="0" applyNumberFormat="1" applyFont="1" applyBorder="1" applyAlignment="1">
      <alignment horizontal="center" vertical="center" wrapText="1"/>
    </xf>
    <xf numFmtId="0" fontId="34" fillId="5" borderId="1" xfId="0" applyFont="1" applyFill="1" applyBorder="1" applyAlignment="1">
      <alignment horizontal="center" vertical="center" wrapText="1"/>
    </xf>
    <xf numFmtId="0" fontId="26" fillId="20" borderId="1" xfId="0" applyFont="1" applyFill="1" applyBorder="1" applyAlignment="1">
      <alignment horizontal="center" vertical="center" wrapText="1"/>
    </xf>
    <xf numFmtId="164" fontId="14" fillId="9" borderId="1" xfId="0" applyNumberFormat="1" applyFont="1" applyFill="1" applyBorder="1" applyAlignment="1">
      <alignment horizontal="center" vertical="center" wrapText="1"/>
    </xf>
    <xf numFmtId="0" fontId="12" fillId="13" borderId="0" xfId="0" applyFont="1" applyFill="1" applyAlignment="1">
      <alignment horizontal="center" vertical="center" wrapText="1"/>
    </xf>
    <xf numFmtId="0" fontId="14" fillId="19" borderId="0" xfId="0" applyFont="1" applyFill="1" applyAlignment="1">
      <alignment horizontal="center" vertical="center" wrapText="1"/>
    </xf>
    <xf numFmtId="0" fontId="14" fillId="13" borderId="0" xfId="0" applyFont="1" applyFill="1" applyAlignment="1">
      <alignment horizontal="center" vertical="center" wrapText="1"/>
    </xf>
    <xf numFmtId="0" fontId="14" fillId="12" borderId="1"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16" fillId="19" borderId="1"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164" fontId="37" fillId="3" borderId="1" xfId="0" applyNumberFormat="1" applyFont="1" applyFill="1" applyBorder="1" applyAlignment="1">
      <alignment horizontal="center" vertical="center" wrapText="1"/>
    </xf>
    <xf numFmtId="164" fontId="21" fillId="3" borderId="1" xfId="0" applyNumberFormat="1" applyFont="1" applyFill="1" applyBorder="1" applyAlignment="1">
      <alignment horizontal="center" vertical="center" wrapText="1"/>
    </xf>
    <xf numFmtId="164" fontId="16" fillId="5" borderId="1" xfId="0" applyNumberFormat="1" applyFont="1" applyFill="1" applyBorder="1" applyAlignment="1">
      <alignment horizontal="center" vertical="center" wrapText="1"/>
    </xf>
    <xf numFmtId="0" fontId="16" fillId="20" borderId="1" xfId="0" applyFont="1" applyFill="1" applyBorder="1" applyAlignment="1">
      <alignment horizontal="center" vertical="center" wrapText="1"/>
    </xf>
    <xf numFmtId="164" fontId="16" fillId="3" borderId="1" xfId="0" applyNumberFormat="1" applyFont="1" applyFill="1" applyBorder="1" applyAlignment="1">
      <alignment horizontal="center" vertical="center" wrapText="1"/>
    </xf>
    <xf numFmtId="164" fontId="24" fillId="3" borderId="1" xfId="0" applyNumberFormat="1" applyFont="1" applyFill="1" applyBorder="1" applyAlignment="1">
      <alignment horizontal="center" vertical="center" wrapText="1"/>
    </xf>
    <xf numFmtId="0" fontId="16" fillId="9" borderId="0" xfId="0" applyFont="1" applyFill="1" applyAlignment="1">
      <alignment horizontal="center" vertical="center" wrapText="1"/>
    </xf>
    <xf numFmtId="166" fontId="14" fillId="9" borderId="1" xfId="0" applyNumberFormat="1" applyFont="1" applyFill="1" applyBorder="1" applyAlignment="1">
      <alignment horizontal="center" vertical="center" wrapText="1"/>
    </xf>
    <xf numFmtId="0" fontId="38" fillId="13" borderId="0" xfId="0" applyFont="1" applyFill="1" applyAlignment="1">
      <alignment horizontal="center" vertical="center" wrapText="1"/>
    </xf>
    <xf numFmtId="0" fontId="37" fillId="3" borderId="1" xfId="0" applyFont="1" applyFill="1" applyBorder="1" applyAlignment="1">
      <alignment horizontal="center" vertical="center" wrapText="1"/>
    </xf>
    <xf numFmtId="164" fontId="16" fillId="19" borderId="1" xfId="0" applyNumberFormat="1" applyFont="1" applyFill="1" applyBorder="1" applyAlignment="1">
      <alignment horizontal="center" vertical="center" wrapText="1"/>
    </xf>
    <xf numFmtId="0" fontId="24" fillId="3"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17" fillId="19" borderId="1" xfId="0" applyFont="1" applyFill="1" applyBorder="1" applyAlignment="1">
      <alignment horizontal="center" vertical="center" wrapText="1"/>
    </xf>
    <xf numFmtId="0" fontId="39"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17" fillId="19" borderId="0" xfId="0" applyFont="1" applyFill="1" applyAlignment="1">
      <alignment horizontal="center" vertical="center" wrapText="1"/>
    </xf>
    <xf numFmtId="164" fontId="17" fillId="19" borderId="1" xfId="0" applyNumberFormat="1" applyFont="1" applyFill="1" applyBorder="1" applyAlignment="1">
      <alignment horizontal="center" vertical="center" wrapText="1"/>
    </xf>
    <xf numFmtId="0" fontId="17" fillId="20" borderId="1" xfId="0" applyFont="1" applyFill="1" applyBorder="1" applyAlignment="1">
      <alignment horizontal="center" vertical="center" wrapText="1"/>
    </xf>
    <xf numFmtId="164" fontId="17" fillId="3" borderId="1" xfId="0" applyNumberFormat="1" applyFont="1" applyFill="1" applyBorder="1" applyAlignment="1">
      <alignment horizontal="center" vertical="center" wrapText="1"/>
    </xf>
    <xf numFmtId="164" fontId="40" fillId="3" borderId="1" xfId="0" applyNumberFormat="1" applyFont="1" applyFill="1" applyBorder="1" applyAlignment="1">
      <alignment horizontal="center" vertical="center" wrapText="1"/>
    </xf>
    <xf numFmtId="0" fontId="17" fillId="9" borderId="1" xfId="0" applyFont="1" applyFill="1" applyBorder="1" applyAlignment="1">
      <alignment horizontal="center" vertical="center" wrapText="1"/>
    </xf>
    <xf numFmtId="0" fontId="41" fillId="13" borderId="0" xfId="0" applyFont="1" applyFill="1" applyAlignment="1">
      <alignment horizontal="center" vertical="center" wrapText="1"/>
    </xf>
    <xf numFmtId="0" fontId="3" fillId="19" borderId="1" xfId="0" quotePrefix="1" applyFont="1" applyFill="1" applyBorder="1" applyAlignment="1">
      <alignment horizontal="center" vertical="center" wrapText="1"/>
    </xf>
    <xf numFmtId="0" fontId="42" fillId="13" borderId="0" xfId="0" applyFont="1" applyFill="1" applyAlignment="1">
      <alignment horizontal="center" vertical="center" wrapText="1"/>
    </xf>
    <xf numFmtId="0" fontId="43" fillId="13" borderId="0" xfId="0" applyFont="1" applyFill="1" applyAlignment="1">
      <alignment horizontal="center" vertical="center" wrapText="1"/>
    </xf>
    <xf numFmtId="0" fontId="16" fillId="0" borderId="0" xfId="0" applyFont="1" applyAlignment="1">
      <alignment horizontal="center" vertical="center" wrapText="1"/>
    </xf>
    <xf numFmtId="164" fontId="4" fillId="3" borderId="1" xfId="0" applyNumberFormat="1" applyFont="1" applyFill="1" applyBorder="1" applyAlignment="1">
      <alignment horizontal="center" vertical="center" wrapText="1"/>
    </xf>
    <xf numFmtId="0" fontId="12" fillId="12" borderId="0" xfId="0" applyFont="1" applyFill="1" applyAlignment="1">
      <alignment horizontal="center" vertical="center" wrapText="1"/>
    </xf>
    <xf numFmtId="0" fontId="24" fillId="19" borderId="0" xfId="0" applyFont="1" applyFill="1" applyAlignment="1">
      <alignment horizontal="center" vertical="center" wrapText="1"/>
    </xf>
    <xf numFmtId="0" fontId="27" fillId="19"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23" fillId="12" borderId="0" xfId="0" applyFont="1" applyFill="1" applyAlignment="1">
      <alignment horizontal="center" vertical="center" wrapText="1"/>
    </xf>
    <xf numFmtId="0" fontId="14" fillId="13"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164" fontId="23" fillId="13" borderId="1" xfId="0"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164" fontId="5" fillId="13" borderId="1" xfId="0" applyNumberFormat="1" applyFont="1" applyFill="1" applyBorder="1" applyAlignment="1">
      <alignment horizontal="center" vertical="center" wrapText="1"/>
    </xf>
    <xf numFmtId="164" fontId="21" fillId="13" borderId="1" xfId="0" applyNumberFormat="1" applyFont="1" applyFill="1" applyBorder="1" applyAlignment="1">
      <alignment horizontal="center" vertical="center" wrapText="1"/>
    </xf>
    <xf numFmtId="164" fontId="14" fillId="13" borderId="1" xfId="0" applyNumberFormat="1" applyFont="1" applyFill="1" applyBorder="1" applyAlignment="1">
      <alignment horizontal="center" vertical="center" wrapText="1"/>
    </xf>
    <xf numFmtId="166" fontId="14" fillId="13" borderId="1" xfId="0" applyNumberFormat="1" applyFont="1" applyFill="1" applyBorder="1" applyAlignment="1">
      <alignment horizontal="center" vertical="center" wrapText="1"/>
    </xf>
    <xf numFmtId="0" fontId="27" fillId="13" borderId="1" xfId="0" applyFont="1" applyFill="1" applyBorder="1" applyAlignment="1">
      <alignment horizontal="center" vertical="center" wrapText="1"/>
    </xf>
    <xf numFmtId="0" fontId="35" fillId="13" borderId="1" xfId="0" applyFont="1" applyFill="1" applyBorder="1" applyAlignment="1">
      <alignment horizontal="center" vertical="center" wrapText="1"/>
    </xf>
    <xf numFmtId="0" fontId="3" fillId="19" borderId="0" xfId="0" applyFont="1" applyFill="1" applyAlignment="1">
      <alignment horizontal="center" vertical="center" wrapText="1"/>
    </xf>
    <xf numFmtId="0" fontId="23" fillId="0" borderId="0" xfId="0" applyFont="1" applyAlignment="1">
      <alignment horizontal="center" vertical="center" wrapText="1"/>
    </xf>
    <xf numFmtId="0" fontId="44" fillId="12" borderId="1" xfId="0" applyFont="1" applyFill="1" applyBorder="1" applyAlignment="1">
      <alignment horizontal="center" vertical="center" wrapText="1"/>
    </xf>
    <xf numFmtId="165" fontId="17" fillId="18" borderId="1" xfId="0" applyNumberFormat="1" applyFont="1" applyFill="1" applyBorder="1" applyAlignment="1">
      <alignment horizontal="center" vertical="center" wrapText="1"/>
    </xf>
    <xf numFmtId="0" fontId="34" fillId="0" borderId="4" xfId="0" applyFont="1" applyBorder="1" applyAlignment="1">
      <alignment horizontal="center" vertical="center" wrapText="1"/>
    </xf>
    <xf numFmtId="0" fontId="3" fillId="5" borderId="5" xfId="0" applyFont="1" applyFill="1" applyBorder="1" applyAlignment="1">
      <alignment horizontal="center" vertical="center" wrapText="1"/>
    </xf>
    <xf numFmtId="167" fontId="12" fillId="12" borderId="4" xfId="0" applyNumberFormat="1" applyFont="1" applyFill="1" applyBorder="1" applyAlignment="1">
      <alignment horizontal="center" vertical="center" wrapText="1"/>
    </xf>
    <xf numFmtId="0" fontId="16" fillId="5" borderId="2" xfId="0" applyFont="1" applyFill="1" applyBorder="1" applyAlignment="1">
      <alignment horizontal="center" vertical="center" wrapText="1"/>
    </xf>
    <xf numFmtId="0" fontId="24" fillId="12" borderId="0" xfId="0" applyFont="1" applyFill="1" applyAlignment="1">
      <alignment horizontal="center" vertical="center" wrapText="1"/>
    </xf>
    <xf numFmtId="0" fontId="16" fillId="12" borderId="1" xfId="0" applyFont="1" applyFill="1" applyBorder="1" applyAlignment="1">
      <alignment horizontal="center" vertical="center" wrapText="1"/>
    </xf>
    <xf numFmtId="0" fontId="16" fillId="13" borderId="0" xfId="0" applyFont="1" applyFill="1" applyAlignment="1">
      <alignment horizontal="center" vertical="center" wrapText="1"/>
    </xf>
    <xf numFmtId="0" fontId="14" fillId="17" borderId="1" xfId="0" applyFont="1" applyFill="1" applyBorder="1" applyAlignment="1">
      <alignment horizontal="center" vertical="center" wrapText="1"/>
    </xf>
    <xf numFmtId="0" fontId="19" fillId="19" borderId="1" xfId="0" applyFont="1" applyFill="1" applyBorder="1" applyAlignment="1">
      <alignment horizontal="center" vertical="center" wrapText="1"/>
    </xf>
    <xf numFmtId="0" fontId="3" fillId="0" borderId="0" xfId="0" applyFont="1" applyAlignment="1">
      <alignment horizontal="center" vertical="center" wrapText="1"/>
    </xf>
    <xf numFmtId="0" fontId="34" fillId="0" borderId="5" xfId="0" applyFont="1" applyBorder="1" applyAlignment="1">
      <alignment horizontal="center" vertical="center" wrapText="1"/>
    </xf>
    <xf numFmtId="0" fontId="12" fillId="0" borderId="0" xfId="0" applyFont="1" applyAlignment="1">
      <alignment horizontal="center" vertical="center" wrapText="1"/>
    </xf>
    <xf numFmtId="0" fontId="3" fillId="0" borderId="6" xfId="0" applyFont="1" applyBorder="1" applyAlignment="1">
      <alignment horizontal="center" vertical="center" wrapText="1"/>
    </xf>
    <xf numFmtId="0" fontId="3" fillId="19" borderId="3" xfId="0" applyFont="1" applyFill="1" applyBorder="1" applyAlignment="1">
      <alignment horizontal="center" vertical="center" wrapText="1"/>
    </xf>
    <xf numFmtId="0" fontId="12" fillId="12" borderId="4" xfId="0" applyFont="1" applyFill="1" applyBorder="1" applyAlignment="1">
      <alignment horizontal="center" vertical="center" wrapText="1"/>
    </xf>
    <xf numFmtId="0" fontId="45" fillId="19" borderId="1"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0" borderId="3" xfId="0" applyFont="1" applyBorder="1" applyAlignment="1">
      <alignment horizontal="center" vertical="center" wrapText="1"/>
    </xf>
    <xf numFmtId="164" fontId="12" fillId="5" borderId="1" xfId="0" applyNumberFormat="1" applyFont="1" applyFill="1" applyBorder="1" applyAlignment="1">
      <alignment horizontal="center" vertical="center" wrapText="1"/>
    </xf>
    <xf numFmtId="0" fontId="34" fillId="0" borderId="6" xfId="0" applyFont="1" applyBorder="1" applyAlignment="1">
      <alignment horizontal="center" vertical="center" wrapText="1"/>
    </xf>
    <xf numFmtId="0" fontId="40" fillId="19" borderId="1" xfId="0" applyFont="1" applyFill="1" applyBorder="1" applyAlignment="1">
      <alignment horizontal="center" vertical="center" wrapText="1"/>
    </xf>
    <xf numFmtId="164" fontId="46" fillId="15" borderId="1" xfId="0" applyNumberFormat="1" applyFont="1" applyFill="1" applyBorder="1" applyAlignment="1">
      <alignment horizontal="center" vertical="center" wrapText="1"/>
    </xf>
    <xf numFmtId="0" fontId="40" fillId="0" borderId="3" xfId="0" applyFont="1" applyBorder="1" applyAlignment="1">
      <alignment horizontal="center" vertical="center" wrapText="1"/>
    </xf>
    <xf numFmtId="164" fontId="17" fillId="0" borderId="1" xfId="0" applyNumberFormat="1" applyFont="1" applyBorder="1" applyAlignment="1">
      <alignment horizontal="center" vertical="center" wrapText="1"/>
    </xf>
    <xf numFmtId="0" fontId="40" fillId="12" borderId="1" xfId="0" applyFont="1" applyFill="1" applyBorder="1" applyAlignment="1">
      <alignment horizontal="center" vertical="center" wrapText="1"/>
    </xf>
    <xf numFmtId="0" fontId="17" fillId="0" borderId="1" xfId="0" applyFont="1" applyBorder="1" applyAlignment="1">
      <alignment horizontal="center" vertical="center" wrapText="1"/>
    </xf>
    <xf numFmtId="164" fontId="17" fillId="5" borderId="1" xfId="0" applyNumberFormat="1" applyFont="1" applyFill="1" applyBorder="1" applyAlignment="1">
      <alignment horizontal="center" vertical="center" wrapText="1"/>
    </xf>
    <xf numFmtId="0" fontId="41" fillId="12" borderId="1" xfId="0" applyFont="1" applyFill="1" applyBorder="1" applyAlignment="1">
      <alignment horizontal="center" vertical="center" wrapText="1"/>
    </xf>
    <xf numFmtId="0" fontId="3" fillId="19" borderId="6" xfId="0" applyFont="1" applyFill="1" applyBorder="1" applyAlignment="1">
      <alignment horizontal="center" vertical="center" wrapText="1"/>
    </xf>
    <xf numFmtId="165" fontId="47" fillId="17" borderId="1" xfId="0" applyNumberFormat="1" applyFont="1" applyFill="1" applyBorder="1" applyAlignment="1">
      <alignment horizontal="center" vertical="center" wrapText="1"/>
    </xf>
    <xf numFmtId="0" fontId="18" fillId="3" borderId="0" xfId="0" applyFont="1" applyFill="1" applyAlignment="1">
      <alignment horizontal="center" vertical="center" wrapText="1"/>
    </xf>
    <xf numFmtId="0" fontId="3" fillId="0" borderId="1" xfId="0" applyFont="1" applyBorder="1" applyAlignment="1">
      <alignment horizontal="center" vertical="center" wrapText="1"/>
    </xf>
    <xf numFmtId="0" fontId="25" fillId="19" borderId="1"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12" fillId="19" borderId="0" xfId="0" applyFont="1" applyFill="1" applyAlignment="1">
      <alignment horizontal="center" vertical="center" wrapText="1"/>
    </xf>
    <xf numFmtId="0" fontId="48" fillId="0" borderId="1" xfId="0" applyFont="1" applyBorder="1" applyAlignment="1">
      <alignment horizontal="center" vertical="center" wrapText="1"/>
    </xf>
    <xf numFmtId="0" fontId="38" fillId="12" borderId="1" xfId="0" applyFont="1" applyFill="1" applyBorder="1" applyAlignment="1">
      <alignment horizontal="center" vertical="center" wrapText="1"/>
    </xf>
    <xf numFmtId="0" fontId="34" fillId="0" borderId="7" xfId="0" applyFont="1" applyBorder="1" applyAlignment="1">
      <alignment horizontal="center" vertical="center" wrapText="1"/>
    </xf>
    <xf numFmtId="0" fontId="34" fillId="19" borderId="1" xfId="0" applyFont="1" applyFill="1" applyBorder="1" applyAlignment="1">
      <alignment horizontal="center" vertical="center" wrapText="1"/>
    </xf>
    <xf numFmtId="0" fontId="49"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wrapText="1"/>
    </xf>
    <xf numFmtId="0" fontId="3" fillId="20"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3" fillId="13" borderId="0" xfId="0" applyFont="1" applyFill="1" applyAlignment="1">
      <alignment horizontal="center" vertical="center" wrapText="1"/>
    </xf>
    <xf numFmtId="166" fontId="5" fillId="3" borderId="1" xfId="0" applyNumberFormat="1" applyFont="1" applyFill="1" applyBorder="1" applyAlignment="1">
      <alignment horizontal="center" vertical="center" wrapText="1"/>
    </xf>
    <xf numFmtId="0" fontId="27" fillId="0" borderId="1" xfId="0" applyFont="1" applyBorder="1" applyAlignment="1">
      <alignment horizontal="center" vertical="center" wrapText="1"/>
    </xf>
    <xf numFmtId="0" fontId="16" fillId="12" borderId="0" xfId="0" applyFont="1" applyFill="1" applyAlignment="1">
      <alignment horizontal="center" vertical="center" wrapText="1"/>
    </xf>
    <xf numFmtId="0" fontId="12" fillId="15" borderId="1" xfId="0" applyFont="1" applyFill="1" applyBorder="1" applyAlignment="1">
      <alignment horizontal="center" vertical="center" wrapText="1"/>
    </xf>
    <xf numFmtId="164" fontId="14" fillId="12" borderId="1" xfId="0" applyNumberFormat="1" applyFont="1" applyFill="1" applyBorder="1" applyAlignment="1">
      <alignment horizontal="center" vertical="center" wrapText="1"/>
    </xf>
    <xf numFmtId="0" fontId="14" fillId="23" borderId="1" xfId="0" applyFont="1" applyFill="1" applyBorder="1" applyAlignment="1">
      <alignment horizontal="center" vertical="center" wrapText="1"/>
    </xf>
    <xf numFmtId="164" fontId="14" fillId="23" borderId="1" xfId="0" applyNumberFormat="1" applyFont="1" applyFill="1" applyBorder="1" applyAlignment="1">
      <alignment horizontal="center" vertical="center" wrapText="1"/>
    </xf>
    <xf numFmtId="165" fontId="47" fillId="17" borderId="0" xfId="0" applyNumberFormat="1" applyFont="1" applyFill="1" applyAlignment="1">
      <alignment horizontal="center" vertical="center" wrapText="1"/>
    </xf>
    <xf numFmtId="0" fontId="50" fillId="0" borderId="0" xfId="0" applyFont="1" applyAlignment="1">
      <alignment horizontal="center" vertical="center" wrapText="1"/>
    </xf>
    <xf numFmtId="0" fontId="34" fillId="0" borderId="2" xfId="0" applyFont="1" applyBorder="1" applyAlignment="1">
      <alignment horizontal="center" vertical="center" wrapText="1"/>
    </xf>
    <xf numFmtId="0" fontId="25" fillId="0" borderId="0" xfId="0" applyFont="1" applyAlignment="1">
      <alignment horizontal="center" vertical="center" wrapText="1"/>
    </xf>
    <xf numFmtId="168" fontId="12" fillId="12" borderId="1" xfId="0" applyNumberFormat="1" applyFont="1" applyFill="1" applyBorder="1" applyAlignment="1">
      <alignment horizontal="center" vertical="center" wrapText="1"/>
    </xf>
    <xf numFmtId="165" fontId="47" fillId="17" borderId="3" xfId="0"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0" fontId="4" fillId="24" borderId="1" xfId="0" applyFont="1" applyFill="1" applyBorder="1" applyAlignment="1">
      <alignment horizontal="center" vertical="center" wrapText="1"/>
    </xf>
    <xf numFmtId="0" fontId="3" fillId="25"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166" fontId="14" fillId="3" borderId="1" xfId="0" applyNumberFormat="1" applyFont="1" applyFill="1" applyBorder="1" applyAlignment="1">
      <alignment horizontal="center" vertical="center" wrapText="1"/>
    </xf>
    <xf numFmtId="0" fontId="48" fillId="5" borderId="0" xfId="0" applyFont="1" applyFill="1" applyAlignment="1">
      <alignment horizontal="center" vertical="center" wrapText="1"/>
    </xf>
    <xf numFmtId="164" fontId="14" fillId="26" borderId="1" xfId="0" applyNumberFormat="1" applyFont="1" applyFill="1" applyBorder="1" applyAlignment="1">
      <alignment horizontal="center" vertical="center" wrapText="1"/>
    </xf>
    <xf numFmtId="0" fontId="14" fillId="25" borderId="1" xfId="0" applyFont="1" applyFill="1" applyBorder="1" applyAlignment="1">
      <alignment horizontal="center" vertical="center" wrapText="1"/>
    </xf>
    <xf numFmtId="0" fontId="25" fillId="0" borderId="4" xfId="0" applyFont="1" applyBorder="1" applyAlignment="1">
      <alignment horizontal="center" vertical="center" wrapText="1"/>
    </xf>
    <xf numFmtId="0" fontId="14" fillId="19" borderId="4" xfId="0" applyFont="1" applyFill="1" applyBorder="1" applyAlignment="1">
      <alignment horizontal="center" vertical="center" wrapText="1"/>
    </xf>
    <xf numFmtId="169" fontId="5" fillId="3" borderId="1" xfId="0" applyNumberFormat="1" applyFont="1" applyFill="1" applyBorder="1" applyAlignment="1">
      <alignment horizontal="center" vertical="center" wrapText="1"/>
    </xf>
    <xf numFmtId="0" fontId="24" fillId="15" borderId="1" xfId="0" applyFont="1" applyFill="1" applyBorder="1" applyAlignment="1">
      <alignment horizontal="center" vertical="center" wrapText="1"/>
    </xf>
    <xf numFmtId="0" fontId="14" fillId="27" borderId="1" xfId="0" applyFont="1" applyFill="1" applyBorder="1" applyAlignment="1">
      <alignment horizontal="center" vertical="center" wrapText="1"/>
    </xf>
    <xf numFmtId="164" fontId="16" fillId="0" borderId="1" xfId="0" applyNumberFormat="1" applyFont="1" applyBorder="1" applyAlignment="1">
      <alignment horizontal="center" vertical="center" wrapText="1"/>
    </xf>
    <xf numFmtId="0" fontId="13" fillId="20"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28" fillId="0" borderId="1" xfId="0" applyFont="1" applyBorder="1" applyAlignment="1">
      <alignment horizontal="center" vertical="center" wrapText="1"/>
    </xf>
    <xf numFmtId="167" fontId="12" fillId="12" borderId="1" xfId="0" applyNumberFormat="1" applyFont="1" applyFill="1" applyBorder="1" applyAlignment="1">
      <alignment horizontal="center" vertical="center" wrapText="1"/>
    </xf>
    <xf numFmtId="166" fontId="14" fillId="5" borderId="1" xfId="0" applyNumberFormat="1" applyFont="1" applyFill="1" applyBorder="1" applyAlignment="1">
      <alignment horizontal="center" vertical="center" wrapText="1"/>
    </xf>
    <xf numFmtId="0" fontId="2" fillId="20" borderId="1" xfId="0" applyFont="1" applyFill="1" applyBorder="1" applyAlignment="1">
      <alignment horizontal="center" vertical="center" wrapText="1"/>
    </xf>
    <xf numFmtId="0" fontId="34" fillId="0" borderId="8" xfId="0" applyFont="1" applyBorder="1" applyAlignment="1">
      <alignment horizontal="center" vertical="center" wrapText="1"/>
    </xf>
    <xf numFmtId="0" fontId="51" fillId="0" borderId="0" xfId="0" applyFont="1" applyAlignment="1">
      <alignment horizontal="center" vertical="center" wrapText="1"/>
    </xf>
    <xf numFmtId="0" fontId="51" fillId="5" borderId="0" xfId="0" applyFont="1" applyFill="1" applyAlignment="1">
      <alignment horizontal="center" vertical="center" wrapText="1"/>
    </xf>
    <xf numFmtId="166" fontId="14" fillId="0" borderId="1" xfId="0" applyNumberFormat="1" applyFont="1" applyBorder="1" applyAlignment="1">
      <alignment horizontal="center" vertical="center" wrapText="1"/>
    </xf>
    <xf numFmtId="164" fontId="19" fillId="3" borderId="1" xfId="0" applyNumberFormat="1" applyFont="1" applyFill="1" applyBorder="1" applyAlignment="1">
      <alignment horizontal="center" vertical="center" wrapText="1"/>
    </xf>
    <xf numFmtId="0" fontId="34" fillId="0" borderId="3" xfId="0" applyFont="1" applyBorder="1" applyAlignment="1">
      <alignment horizontal="center" vertical="center" wrapText="1"/>
    </xf>
    <xf numFmtId="170" fontId="12" fillId="12" borderId="1" xfId="0" applyNumberFormat="1" applyFont="1" applyFill="1" applyBorder="1" applyAlignment="1">
      <alignment horizontal="center" vertical="center" wrapText="1"/>
    </xf>
    <xf numFmtId="0" fontId="48" fillId="0" borderId="0" xfId="0" applyFont="1" applyAlignment="1">
      <alignment horizontal="center" vertical="center" wrapText="1"/>
    </xf>
    <xf numFmtId="0" fontId="34" fillId="19" borderId="3" xfId="0" applyFont="1" applyFill="1" applyBorder="1" applyAlignment="1">
      <alignment horizontal="center" vertical="center" wrapText="1"/>
    </xf>
    <xf numFmtId="0" fontId="18" fillId="28" borderId="1" xfId="0" applyFont="1" applyFill="1" applyBorder="1" applyAlignment="1">
      <alignment horizontal="center" vertical="center" wrapText="1"/>
    </xf>
    <xf numFmtId="0" fontId="23" fillId="5" borderId="0" xfId="0" applyFont="1" applyFill="1" applyAlignment="1">
      <alignment horizontal="center" vertical="center" wrapText="1"/>
    </xf>
    <xf numFmtId="0" fontId="14" fillId="0" borderId="0" xfId="0" applyFont="1" applyAlignment="1">
      <alignment horizontal="center" vertical="center" wrapText="1"/>
    </xf>
    <xf numFmtId="0" fontId="52" fillId="19" borderId="1" xfId="0" applyFont="1" applyFill="1" applyBorder="1" applyAlignment="1">
      <alignment horizontal="center" vertical="center" wrapText="1"/>
    </xf>
    <xf numFmtId="0" fontId="53" fillId="0" borderId="0" xfId="0" applyFont="1" applyAlignment="1">
      <alignment horizontal="center" vertical="center" wrapText="1"/>
    </xf>
    <xf numFmtId="166" fontId="23" fillId="0" borderId="1" xfId="0" applyNumberFormat="1" applyFont="1" applyBorder="1" applyAlignment="1">
      <alignment horizontal="center" vertical="center" wrapText="1"/>
    </xf>
    <xf numFmtId="0" fontId="4" fillId="13" borderId="1" xfId="0" applyFont="1" applyFill="1" applyBorder="1" applyAlignment="1">
      <alignment horizontal="center" vertical="center" wrapText="1"/>
    </xf>
    <xf numFmtId="171" fontId="12" fillId="12" borderId="1" xfId="0" applyNumberFormat="1" applyFont="1" applyFill="1" applyBorder="1" applyAlignment="1">
      <alignment horizontal="center" vertical="center" wrapText="1"/>
    </xf>
    <xf numFmtId="0" fontId="34" fillId="13" borderId="1" xfId="0" applyFont="1" applyFill="1" applyBorder="1" applyAlignment="1">
      <alignment horizontal="center" vertical="center" wrapText="1"/>
    </xf>
    <xf numFmtId="0" fontId="45" fillId="15" borderId="1" xfId="0" applyFont="1" applyFill="1" applyBorder="1" applyAlignment="1">
      <alignment horizontal="center" vertical="center" wrapText="1"/>
    </xf>
    <xf numFmtId="165" fontId="54" fillId="17" borderId="1" xfId="0" applyNumberFormat="1" applyFont="1" applyFill="1" applyBorder="1" applyAlignment="1">
      <alignment horizontal="center" vertical="center" wrapText="1"/>
    </xf>
    <xf numFmtId="166" fontId="51" fillId="0" borderId="1" xfId="0" applyNumberFormat="1" applyFont="1" applyBorder="1" applyAlignment="1">
      <alignment horizontal="center" vertical="center" wrapText="1"/>
    </xf>
    <xf numFmtId="0" fontId="40" fillId="0" borderId="0" xfId="0" applyFont="1" applyAlignment="1">
      <alignment horizontal="center" vertical="center" wrapText="1"/>
    </xf>
    <xf numFmtId="164" fontId="3" fillId="0" borderId="1" xfId="0" applyNumberFormat="1" applyFont="1" applyBorder="1" applyAlignment="1">
      <alignment horizontal="center" vertical="center" wrapText="1"/>
    </xf>
    <xf numFmtId="0" fontId="3" fillId="9" borderId="1" xfId="0" applyFont="1" applyFill="1" applyBorder="1" applyAlignment="1">
      <alignment horizontal="center" vertical="center" wrapText="1"/>
    </xf>
    <xf numFmtId="0" fontId="34"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13" fillId="15" borderId="0" xfId="0" applyFont="1" applyFill="1" applyAlignment="1">
      <alignment horizontal="center" vertical="center" wrapText="1"/>
    </xf>
    <xf numFmtId="0" fontId="34" fillId="19" borderId="0" xfId="0" applyFont="1" applyFill="1" applyAlignment="1">
      <alignment horizontal="center" vertical="center" wrapText="1"/>
    </xf>
    <xf numFmtId="0" fontId="17" fillId="18" borderId="0" xfId="0" applyFont="1" applyFill="1" applyAlignment="1">
      <alignment horizontal="center" vertical="center" wrapText="1"/>
    </xf>
    <xf numFmtId="0" fontId="19" fillId="3" borderId="0" xfId="0" applyFont="1" applyFill="1" applyAlignment="1">
      <alignment horizontal="center" vertical="center" wrapText="1"/>
    </xf>
    <xf numFmtId="0" fontId="14" fillId="3" borderId="0" xfId="0" applyFont="1" applyFill="1" applyAlignment="1">
      <alignment horizontal="center" vertical="center" wrapText="1"/>
    </xf>
    <xf numFmtId="0" fontId="5" fillId="3" borderId="0" xfId="0" applyFont="1" applyFill="1" applyAlignment="1">
      <alignment horizontal="center" vertical="center" wrapText="1"/>
    </xf>
    <xf numFmtId="0" fontId="14" fillId="20" borderId="0" xfId="0" applyFont="1" applyFill="1" applyAlignment="1">
      <alignment horizontal="center" vertical="center" wrapText="1"/>
    </xf>
    <xf numFmtId="0" fontId="14" fillId="9" borderId="0" xfId="0" applyFont="1" applyFill="1" applyAlignment="1">
      <alignment horizontal="center" vertical="center" wrapText="1"/>
    </xf>
    <xf numFmtId="0" fontId="27" fillId="12" borderId="0" xfId="0" applyFont="1" applyFill="1" applyAlignment="1">
      <alignment horizontal="center" vertical="center" wrapText="1"/>
    </xf>
    <xf numFmtId="0" fontId="55" fillId="2" borderId="1" xfId="0" applyFont="1" applyFill="1" applyBorder="1" applyAlignment="1">
      <alignment horizontal="center" vertical="center" wrapText="1"/>
    </xf>
    <xf numFmtId="0" fontId="55" fillId="12" borderId="1" xfId="0" applyFont="1" applyFill="1" applyBorder="1" applyAlignment="1">
      <alignment horizontal="center" vertical="center" wrapText="1"/>
    </xf>
    <xf numFmtId="164" fontId="56" fillId="19" borderId="1" xfId="0" applyNumberFormat="1" applyFont="1" applyFill="1" applyBorder="1" applyAlignment="1">
      <alignment horizontal="center" vertical="center" wrapText="1"/>
    </xf>
    <xf numFmtId="164" fontId="56" fillId="4" borderId="1" xfId="0" applyNumberFormat="1" applyFont="1" applyFill="1" applyBorder="1" applyAlignment="1">
      <alignment horizontal="center" vertical="center" wrapText="1"/>
    </xf>
    <xf numFmtId="164" fontId="56" fillId="25" borderId="1" xfId="0" applyNumberFormat="1" applyFont="1" applyFill="1" applyBorder="1" applyAlignment="1">
      <alignment horizontal="center" vertical="center" wrapText="1"/>
    </xf>
    <xf numFmtId="164" fontId="56" fillId="7" borderId="1" xfId="0"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164" fontId="56" fillId="21" borderId="1" xfId="0" applyNumberFormat="1" applyFont="1" applyFill="1" applyBorder="1" applyAlignment="1">
      <alignment horizontal="center" vertical="center" wrapText="1"/>
    </xf>
    <xf numFmtId="0" fontId="57" fillId="29" borderId="0" xfId="0" applyFont="1" applyFill="1" applyAlignment="1">
      <alignment horizontal="center" vertical="center" wrapText="1"/>
    </xf>
    <xf numFmtId="0" fontId="57" fillId="25" borderId="1" xfId="0" applyFont="1" applyFill="1" applyBorder="1" applyAlignment="1">
      <alignment horizontal="center" vertical="center" wrapText="1"/>
    </xf>
    <xf numFmtId="0" fontId="57" fillId="29" borderId="1" xfId="0" applyFont="1" applyFill="1" applyBorder="1" applyAlignment="1">
      <alignment horizontal="center" vertical="center" wrapText="1"/>
    </xf>
    <xf numFmtId="165" fontId="58" fillId="2" borderId="1" xfId="0" applyNumberFormat="1" applyFont="1" applyFill="1" applyBorder="1" applyAlignment="1">
      <alignment horizontal="center" vertical="center" wrapText="1"/>
    </xf>
    <xf numFmtId="0" fontId="37" fillId="12" borderId="1" xfId="0" applyFont="1" applyFill="1" applyBorder="1" applyAlignment="1">
      <alignment horizontal="center" vertical="center" wrapText="1"/>
    </xf>
    <xf numFmtId="164" fontId="37" fillId="19" borderId="1" xfId="0" applyNumberFormat="1" applyFont="1" applyFill="1" applyBorder="1" applyAlignment="1">
      <alignment horizontal="center" vertical="center" wrapText="1"/>
    </xf>
    <xf numFmtId="0" fontId="37" fillId="19" borderId="1" xfId="0" applyFont="1" applyFill="1" applyBorder="1" applyAlignment="1">
      <alignment horizontal="center" vertical="center" wrapText="1"/>
    </xf>
    <xf numFmtId="0" fontId="21" fillId="25" borderId="1" xfId="0" applyFont="1" applyFill="1" applyBorder="1" applyAlignment="1">
      <alignment horizontal="center" vertical="center"/>
    </xf>
    <xf numFmtId="0" fontId="37" fillId="7" borderId="1" xfId="0" applyFont="1" applyFill="1" applyBorder="1" applyAlignment="1">
      <alignment horizontal="center" vertical="center" wrapText="1"/>
    </xf>
    <xf numFmtId="0" fontId="37" fillId="8" borderId="1" xfId="0" applyFont="1" applyFill="1" applyBorder="1" applyAlignment="1">
      <alignment horizontal="center" vertical="center"/>
    </xf>
    <xf numFmtId="164" fontId="21" fillId="21" borderId="1" xfId="0" applyNumberFormat="1" applyFont="1" applyFill="1" applyBorder="1" applyAlignment="1">
      <alignment horizontal="center" vertical="center" wrapText="1"/>
    </xf>
    <xf numFmtId="0" fontId="59" fillId="29" borderId="1" xfId="0" applyFont="1" applyFill="1" applyBorder="1" applyAlignment="1">
      <alignment horizontal="center" vertical="center" wrapText="1"/>
    </xf>
    <xf numFmtId="0" fontId="59" fillId="25" borderId="1" xfId="0" applyFont="1" applyFill="1" applyBorder="1" applyAlignment="1">
      <alignment horizontal="center" vertical="center" wrapText="1"/>
    </xf>
    <xf numFmtId="0" fontId="37" fillId="19" borderId="1" xfId="0" applyFont="1" applyFill="1" applyBorder="1" applyAlignment="1">
      <alignment horizontal="center" vertical="center"/>
    </xf>
    <xf numFmtId="164" fontId="6" fillId="25" borderId="1" xfId="0" applyNumberFormat="1" applyFont="1" applyFill="1" applyBorder="1" applyAlignment="1">
      <alignment horizontal="center" vertical="center"/>
    </xf>
    <xf numFmtId="164" fontId="37" fillId="7" borderId="1" xfId="0" applyNumberFormat="1" applyFont="1" applyFill="1" applyBorder="1" applyAlignment="1">
      <alignment horizontal="center" vertical="center"/>
    </xf>
    <xf numFmtId="164" fontId="37" fillId="21" borderId="1" xfId="0" applyNumberFormat="1" applyFont="1" applyFill="1" applyBorder="1" applyAlignment="1">
      <alignment horizontal="center" vertical="center"/>
    </xf>
    <xf numFmtId="164" fontId="37" fillId="19" borderId="1" xfId="0" applyNumberFormat="1" applyFont="1" applyFill="1" applyBorder="1" applyAlignment="1">
      <alignment horizontal="center" vertical="center"/>
    </xf>
    <xf numFmtId="164" fontId="21" fillId="25" borderId="1" xfId="0" applyNumberFormat="1" applyFont="1" applyFill="1" applyBorder="1" applyAlignment="1">
      <alignment horizontal="center" vertical="center"/>
    </xf>
    <xf numFmtId="164" fontId="37" fillId="8" borderId="1" xfId="0" applyNumberFormat="1" applyFont="1" applyFill="1" applyBorder="1" applyAlignment="1">
      <alignment horizontal="center" vertical="center"/>
    </xf>
    <xf numFmtId="164" fontId="21" fillId="25" borderId="1" xfId="0" applyNumberFormat="1" applyFont="1" applyFill="1" applyBorder="1" applyAlignment="1">
      <alignment horizontal="center" vertical="center" wrapText="1"/>
    </xf>
    <xf numFmtId="164" fontId="37" fillId="7" borderId="1" xfId="0" applyNumberFormat="1" applyFont="1" applyFill="1" applyBorder="1" applyAlignment="1">
      <alignment horizontal="center" vertical="center" wrapText="1"/>
    </xf>
    <xf numFmtId="164" fontId="37" fillId="0" borderId="1" xfId="0" applyNumberFormat="1" applyFont="1" applyBorder="1" applyAlignment="1">
      <alignment horizontal="center" vertical="center" wrapText="1"/>
    </xf>
    <xf numFmtId="164" fontId="37" fillId="8" borderId="1" xfId="0" applyNumberFormat="1" applyFont="1" applyFill="1" applyBorder="1" applyAlignment="1">
      <alignment horizontal="center" vertical="center" wrapText="1"/>
    </xf>
    <xf numFmtId="164" fontId="21" fillId="21" borderId="1" xfId="0" applyNumberFormat="1" applyFont="1" applyFill="1" applyBorder="1" applyAlignment="1">
      <alignment horizontal="center" vertical="center"/>
    </xf>
    <xf numFmtId="0" fontId="21" fillId="25" borderId="1" xfId="0" applyFont="1" applyFill="1" applyBorder="1" applyAlignment="1">
      <alignment horizontal="center" vertical="center" wrapText="1"/>
    </xf>
    <xf numFmtId="0" fontId="37" fillId="8" borderId="1" xfId="0" applyFont="1" applyFill="1" applyBorder="1" applyAlignment="1">
      <alignment horizontal="center" vertical="center" wrapText="1"/>
    </xf>
    <xf numFmtId="165" fontId="60" fillId="2" borderId="1" xfId="0" applyNumberFormat="1" applyFont="1" applyFill="1" applyBorder="1" applyAlignment="1">
      <alignment horizontal="center" vertical="center"/>
    </xf>
    <xf numFmtId="166" fontId="37" fillId="19" borderId="1" xfId="0" applyNumberFormat="1" applyFont="1" applyFill="1" applyBorder="1" applyAlignment="1">
      <alignment horizontal="center" vertical="center" wrapText="1"/>
    </xf>
    <xf numFmtId="0" fontId="21" fillId="21" borderId="1" xfId="0" applyFont="1" applyFill="1" applyBorder="1" applyAlignment="1">
      <alignment horizontal="center" vertical="center" wrapText="1"/>
    </xf>
    <xf numFmtId="165" fontId="58" fillId="2" borderId="0" xfId="0" applyNumberFormat="1" applyFont="1" applyFill="1" applyAlignment="1">
      <alignment horizontal="center" vertical="center" wrapText="1"/>
    </xf>
    <xf numFmtId="165" fontId="58" fillId="2" borderId="3" xfId="0" applyNumberFormat="1" applyFont="1" applyFill="1" applyBorder="1" applyAlignment="1">
      <alignment horizontal="center" vertical="center" wrapText="1"/>
    </xf>
    <xf numFmtId="166" fontId="37" fillId="7" borderId="1" xfId="0" applyNumberFormat="1" applyFont="1" applyFill="1" applyBorder="1" applyAlignment="1">
      <alignment horizontal="center" vertical="center" wrapText="1"/>
    </xf>
    <xf numFmtId="166" fontId="37" fillId="8" borderId="1" xfId="0" applyNumberFormat="1" applyFont="1" applyFill="1" applyBorder="1" applyAlignment="1">
      <alignment horizontal="center" vertical="center" wrapText="1"/>
    </xf>
    <xf numFmtId="166" fontId="21" fillId="21" borderId="1" xfId="0" applyNumberFormat="1" applyFont="1" applyFill="1" applyBorder="1" applyAlignment="1">
      <alignment horizontal="center" vertical="center" wrapText="1"/>
    </xf>
    <xf numFmtId="169" fontId="37" fillId="19" borderId="1" xfId="0" applyNumberFormat="1" applyFont="1" applyFill="1" applyBorder="1" applyAlignment="1">
      <alignment horizontal="center" vertical="center" wrapText="1"/>
    </xf>
    <xf numFmtId="0" fontId="58" fillId="2" borderId="1" xfId="0" applyFont="1" applyFill="1" applyBorder="1" applyAlignment="1">
      <alignment horizontal="center" vertical="center" wrapText="1"/>
    </xf>
    <xf numFmtId="166" fontId="21" fillId="25" borderId="1" xfId="0" applyNumberFormat="1" applyFont="1" applyFill="1" applyBorder="1" applyAlignment="1">
      <alignment horizontal="center" vertical="center" wrapText="1"/>
    </xf>
    <xf numFmtId="0" fontId="22" fillId="19" borderId="0" xfId="0" applyFont="1" applyFill="1"/>
    <xf numFmtId="0" fontId="21" fillId="21" borderId="1" xfId="0" applyFont="1" applyFill="1" applyBorder="1" applyAlignment="1">
      <alignment horizontal="center" vertical="center"/>
    </xf>
    <xf numFmtId="166" fontId="37" fillId="0" borderId="1" xfId="0" applyNumberFormat="1" applyFont="1" applyBorder="1" applyAlignment="1">
      <alignment horizontal="center" vertical="center" wrapText="1"/>
    </xf>
    <xf numFmtId="0" fontId="19" fillId="19" borderId="0" xfId="0" applyFont="1" applyFill="1" applyAlignment="1">
      <alignment horizontal="center" vertical="center" wrapText="1"/>
    </xf>
    <xf numFmtId="0" fontId="14" fillId="19" borderId="0" xfId="0" applyFont="1" applyFill="1"/>
    <xf numFmtId="164" fontId="14" fillId="19" borderId="0" xfId="0" applyNumberFormat="1" applyFont="1" applyFill="1" applyAlignment="1">
      <alignment horizontal="center" vertical="center"/>
    </xf>
    <xf numFmtId="164" fontId="14" fillId="19" borderId="0" xfId="0" applyNumberFormat="1" applyFont="1" applyFill="1" applyAlignment="1">
      <alignment horizontal="center" vertical="center" wrapText="1"/>
    </xf>
    <xf numFmtId="164" fontId="12" fillId="19" borderId="0" xfId="0" applyNumberFormat="1" applyFont="1" applyFill="1" applyAlignment="1">
      <alignment horizontal="center" vertical="center" wrapText="1"/>
    </xf>
    <xf numFmtId="164" fontId="12" fillId="19" borderId="0" xfId="0" applyNumberFormat="1" applyFont="1" applyFill="1" applyAlignment="1">
      <alignment horizontal="center" vertical="center"/>
    </xf>
    <xf numFmtId="164" fontId="13" fillId="19" borderId="0" xfId="0" applyNumberFormat="1" applyFont="1" applyFill="1" applyAlignment="1">
      <alignment horizontal="center" vertical="center" wrapText="1"/>
    </xf>
    <xf numFmtId="0" fontId="50" fillId="30" borderId="1" xfId="0" applyFont="1" applyFill="1" applyBorder="1" applyAlignment="1">
      <alignment horizontal="center" vertical="center" wrapText="1"/>
    </xf>
    <xf numFmtId="165" fontId="55" fillId="30" borderId="1" xfId="0" applyNumberFormat="1" applyFont="1" applyFill="1" applyBorder="1" applyAlignment="1">
      <alignment horizontal="center" vertical="center" wrapText="1"/>
    </xf>
    <xf numFmtId="49" fontId="50" fillId="14" borderId="1" xfId="0" applyNumberFormat="1" applyFont="1" applyFill="1" applyBorder="1" applyAlignment="1">
      <alignment horizontal="center" vertical="center" wrapText="1"/>
    </xf>
    <xf numFmtId="0" fontId="61" fillId="30" borderId="1" xfId="0" applyFont="1" applyFill="1" applyBorder="1" applyAlignment="1">
      <alignment horizontal="center" vertical="center" wrapText="1"/>
    </xf>
    <xf numFmtId="0" fontId="55" fillId="30" borderId="1" xfId="0" applyFont="1" applyFill="1" applyBorder="1" applyAlignment="1">
      <alignment horizontal="center" vertical="center" wrapText="1"/>
    </xf>
    <xf numFmtId="0" fontId="50" fillId="30" borderId="0" xfId="0" applyFont="1" applyFill="1" applyAlignment="1">
      <alignment horizontal="center" vertical="center" wrapText="1"/>
    </xf>
    <xf numFmtId="0" fontId="25" fillId="31" borderId="1" xfId="0" applyFont="1" applyFill="1" applyBorder="1" applyAlignment="1">
      <alignment horizontal="center" vertical="center" wrapText="1"/>
    </xf>
    <xf numFmtId="165" fontId="1" fillId="31" borderId="1" xfId="0" applyNumberFormat="1" applyFont="1" applyFill="1" applyBorder="1" applyAlignment="1">
      <alignment horizontal="center" vertical="center" wrapText="1"/>
    </xf>
    <xf numFmtId="0" fontId="5" fillId="31" borderId="1" xfId="0" applyFont="1" applyFill="1" applyBorder="1" applyAlignment="1">
      <alignment horizontal="center" vertical="center" wrapText="1"/>
    </xf>
    <xf numFmtId="0" fontId="25" fillId="19" borderId="1" xfId="0" applyFont="1" applyFill="1" applyBorder="1" applyAlignment="1">
      <alignment horizontal="center"/>
    </xf>
    <xf numFmtId="0" fontId="25" fillId="31" borderId="1" xfId="0" applyFont="1" applyFill="1" applyBorder="1" applyAlignment="1">
      <alignment horizontal="center"/>
    </xf>
    <xf numFmtId="0" fontId="1" fillId="31" borderId="1" xfId="0" applyFont="1" applyFill="1" applyBorder="1" applyAlignment="1">
      <alignment horizontal="center" vertical="center" wrapText="1"/>
    </xf>
    <xf numFmtId="0" fontId="62" fillId="31" borderId="1" xfId="0" applyFont="1" applyFill="1" applyBorder="1" applyAlignment="1">
      <alignment horizontal="center" vertical="center" wrapText="1"/>
    </xf>
    <xf numFmtId="0" fontId="63" fillId="31" borderId="0" xfId="0" applyFont="1" applyFill="1" applyAlignment="1">
      <alignment horizontal="center" vertical="center" wrapText="1"/>
    </xf>
    <xf numFmtId="165" fontId="64" fillId="31" borderId="1" xfId="0" applyNumberFormat="1" applyFont="1" applyFill="1" applyBorder="1" applyAlignment="1">
      <alignment horizontal="center" vertical="center" wrapText="1"/>
    </xf>
    <xf numFmtId="0" fontId="5" fillId="19" borderId="1"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25" fillId="31" borderId="1" xfId="0" applyFont="1" applyFill="1" applyBorder="1" applyAlignment="1">
      <alignment horizontal="center" wrapText="1"/>
    </xf>
    <xf numFmtId="165" fontId="64" fillId="31" borderId="1" xfId="0" applyNumberFormat="1" applyFont="1" applyFill="1" applyBorder="1" applyAlignment="1">
      <alignment horizontal="center" wrapText="1"/>
    </xf>
    <xf numFmtId="0" fontId="5" fillId="19" borderId="1" xfId="0" applyFont="1" applyFill="1" applyBorder="1" applyAlignment="1">
      <alignment horizontal="center" wrapText="1"/>
    </xf>
    <xf numFmtId="0" fontId="25" fillId="19" borderId="1" xfId="0" applyFont="1" applyFill="1" applyBorder="1" applyAlignment="1">
      <alignment horizontal="center" wrapText="1"/>
    </xf>
    <xf numFmtId="0" fontId="63" fillId="31" borderId="1" xfId="0" applyFont="1" applyFill="1" applyBorder="1" applyAlignment="1">
      <alignment horizontal="center" vertical="center" wrapText="1"/>
    </xf>
    <xf numFmtId="165" fontId="2" fillId="31" borderId="1" xfId="0" applyNumberFormat="1" applyFont="1" applyFill="1" applyBorder="1" applyAlignment="1">
      <alignment horizontal="center" vertical="center" wrapText="1"/>
    </xf>
    <xf numFmtId="0" fontId="5" fillId="31" borderId="1" xfId="0" applyFont="1" applyFill="1" applyBorder="1" applyAlignment="1">
      <alignment horizontal="center" vertical="center"/>
    </xf>
    <xf numFmtId="0" fontId="5" fillId="19" borderId="1" xfId="0" applyFont="1" applyFill="1" applyBorder="1" applyAlignment="1">
      <alignment horizontal="center" vertical="center"/>
    </xf>
    <xf numFmtId="0" fontId="25" fillId="19" borderId="1" xfId="0" applyFont="1" applyFill="1" applyBorder="1" applyAlignment="1">
      <alignment horizontal="center" vertical="center"/>
    </xf>
    <xf numFmtId="165" fontId="5" fillId="31" borderId="1" xfId="0" applyNumberFormat="1" applyFont="1" applyFill="1" applyBorder="1" applyAlignment="1">
      <alignment horizontal="center" vertical="center" wrapText="1"/>
    </xf>
    <xf numFmtId="0" fontId="25" fillId="13"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65" fillId="31" borderId="1" xfId="0" applyFont="1" applyFill="1" applyBorder="1" applyAlignment="1">
      <alignment horizontal="center" vertical="center" wrapText="1"/>
    </xf>
    <xf numFmtId="0" fontId="5" fillId="31" borderId="0" xfId="0" applyFont="1" applyFill="1" applyAlignment="1">
      <alignment horizontal="center" vertical="center" wrapText="1"/>
    </xf>
    <xf numFmtId="0" fontId="66" fillId="31" borderId="1" xfId="0" applyFont="1" applyFill="1" applyBorder="1" applyAlignment="1">
      <alignment horizontal="center" vertical="center" wrapText="1"/>
    </xf>
    <xf numFmtId="0" fontId="5" fillId="32" borderId="1" xfId="0" applyFont="1" applyFill="1" applyBorder="1" applyAlignment="1">
      <alignment horizontal="center" vertical="center" wrapText="1"/>
    </xf>
    <xf numFmtId="0" fontId="25" fillId="32" borderId="1" xfId="0" applyFont="1" applyFill="1" applyBorder="1" applyAlignment="1">
      <alignment horizontal="center" vertical="center" wrapText="1"/>
    </xf>
    <xf numFmtId="0" fontId="67" fillId="31" borderId="1" xfId="0" applyFont="1" applyFill="1" applyBorder="1" applyAlignment="1">
      <alignment horizontal="center" vertical="center" wrapText="1"/>
    </xf>
    <xf numFmtId="165" fontId="64" fillId="19"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63" fillId="13" borderId="1" xfId="0" applyFont="1" applyFill="1" applyBorder="1" applyAlignment="1">
      <alignment horizontal="center" vertical="center" wrapText="1"/>
    </xf>
    <xf numFmtId="0" fontId="63" fillId="13" borderId="0" xfId="0" applyFont="1" applyFill="1" applyAlignment="1">
      <alignment horizontal="center" vertical="center" wrapText="1"/>
    </xf>
    <xf numFmtId="0" fontId="25" fillId="12" borderId="1" xfId="0" applyFont="1" applyFill="1" applyBorder="1" applyAlignment="1">
      <alignment horizontal="center" vertical="center" wrapText="1"/>
    </xf>
    <xf numFmtId="0" fontId="48" fillId="0" borderId="0" xfId="0" applyFont="1" applyAlignment="1">
      <alignment horizontal="center"/>
    </xf>
    <xf numFmtId="0" fontId="48" fillId="33" borderId="1" xfId="0" applyFont="1" applyFill="1" applyBorder="1" applyAlignment="1">
      <alignment horizontal="center" vertical="center" wrapText="1"/>
    </xf>
    <xf numFmtId="49" fontId="48" fillId="33" borderId="1" xfId="0" applyNumberFormat="1" applyFont="1" applyFill="1" applyBorder="1" applyAlignment="1">
      <alignment horizontal="center" vertical="center" wrapText="1"/>
    </xf>
    <xf numFmtId="164" fontId="48" fillId="0" borderId="1" xfId="0" applyNumberFormat="1" applyFont="1" applyBorder="1" applyAlignment="1">
      <alignment horizontal="center" vertical="center" wrapText="1"/>
    </xf>
    <xf numFmtId="166" fontId="48" fillId="0" borderId="1" xfId="0" applyNumberFormat="1" applyFont="1" applyBorder="1" applyAlignment="1">
      <alignment horizontal="center" vertical="center" wrapText="1"/>
    </xf>
    <xf numFmtId="165" fontId="48" fillId="0" borderId="1" xfId="0" applyNumberFormat="1" applyFont="1" applyBorder="1" applyAlignment="1">
      <alignment horizontal="center" vertical="center" wrapText="1"/>
    </xf>
    <xf numFmtId="164" fontId="48" fillId="0" borderId="0" xfId="0" applyNumberFormat="1" applyFont="1" applyAlignment="1">
      <alignment horizontal="center" vertical="center" wrapText="1"/>
    </xf>
    <xf numFmtId="0" fontId="48" fillId="0" borderId="1" xfId="0" applyFont="1" applyBorder="1" applyAlignment="1">
      <alignment horizontal="center"/>
    </xf>
    <xf numFmtId="0" fontId="48" fillId="0" borderId="1" xfId="0" applyFont="1" applyBorder="1" applyAlignment="1">
      <alignment horizontal="center" wrapText="1"/>
    </xf>
    <xf numFmtId="164" fontId="48" fillId="0" borderId="1" xfId="0" applyNumberFormat="1" applyFont="1" applyBorder="1" applyAlignment="1">
      <alignment horizontal="center"/>
    </xf>
    <xf numFmtId="166" fontId="48" fillId="0" borderId="1" xfId="0" applyNumberFormat="1" applyFont="1" applyBorder="1" applyAlignment="1">
      <alignment horizontal="center"/>
    </xf>
    <xf numFmtId="0" fontId="48" fillId="0" borderId="0" xfId="0" applyFont="1"/>
    <xf numFmtId="0" fontId="48" fillId="0" borderId="0" xfId="0" applyFont="1" applyAlignment="1">
      <alignment wrapText="1"/>
    </xf>
    <xf numFmtId="0" fontId="51" fillId="25" borderId="0" xfId="0" applyFont="1" applyFill="1" applyAlignment="1">
      <alignment horizontal="center" vertical="center" wrapText="1"/>
    </xf>
    <xf numFmtId="0" fontId="17" fillId="25" borderId="1" xfId="0" applyFont="1" applyFill="1" applyBorder="1" applyAlignment="1">
      <alignment horizontal="center" vertical="center" wrapText="1"/>
    </xf>
    <xf numFmtId="0" fontId="17" fillId="25" borderId="0" xfId="0" applyFont="1" applyFill="1" applyAlignment="1">
      <alignment horizontal="center" vertical="center" wrapText="1"/>
    </xf>
    <xf numFmtId="0" fontId="17" fillId="0" borderId="0" xfId="0" applyFont="1" applyAlignment="1">
      <alignment horizontal="center" vertical="center" wrapText="1"/>
    </xf>
    <xf numFmtId="0" fontId="51" fillId="0" borderId="0" xfId="0" applyFont="1"/>
    <xf numFmtId="0" fontId="20" fillId="0" borderId="1" xfId="0" applyFont="1" applyBorder="1" applyAlignment="1">
      <alignment horizontal="center" vertical="center" wrapText="1"/>
    </xf>
    <xf numFmtId="0" fontId="68" fillId="19" borderId="1" xfId="0" applyFont="1" applyFill="1" applyBorder="1" applyAlignment="1">
      <alignment horizontal="center" vertical="center" wrapText="1"/>
    </xf>
    <xf numFmtId="0" fontId="69" fillId="19" borderId="1" xfId="0" applyFont="1" applyFill="1" applyBorder="1" applyAlignment="1">
      <alignment horizontal="center" vertical="center" wrapText="1"/>
    </xf>
    <xf numFmtId="0" fontId="69"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48" fillId="6" borderId="0" xfId="0" applyFont="1" applyFill="1"/>
    <xf numFmtId="0" fontId="51" fillId="0" borderId="1" xfId="0" applyFont="1" applyBorder="1" applyAlignment="1">
      <alignment horizontal="center" vertical="center" wrapText="1"/>
    </xf>
    <xf numFmtId="166" fontId="48" fillId="0" borderId="0" xfId="0" applyNumberFormat="1" applyFont="1" applyAlignment="1">
      <alignment horizontal="center"/>
    </xf>
    <xf numFmtId="164" fontId="48" fillId="0" borderId="0" xfId="0" applyNumberFormat="1" applyFont="1" applyAlignment="1">
      <alignment horizontal="center"/>
    </xf>
    <xf numFmtId="0" fontId="21" fillId="0" borderId="0" xfId="0" applyFont="1" applyAlignment="1">
      <alignment wrapText="1"/>
    </xf>
    <xf numFmtId="0" fontId="21" fillId="0" borderId="0" xfId="0" applyFont="1" applyAlignment="1">
      <alignment horizontal="left" vertical="center" wrapText="1"/>
    </xf>
    <xf numFmtId="0" fontId="69" fillId="14" borderId="1"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21" fillId="0" borderId="0" xfId="0" applyFont="1"/>
    <xf numFmtId="0" fontId="69" fillId="0" borderId="0" xfId="0" applyFont="1" applyAlignment="1">
      <alignment horizontal="left" vertical="center" wrapText="1"/>
    </xf>
    <xf numFmtId="0" fontId="70" fillId="19" borderId="0" xfId="0" applyFont="1" applyFill="1"/>
    <xf numFmtId="0" fontId="21" fillId="0" borderId="1" xfId="0" applyFont="1" applyBorder="1" applyAlignment="1">
      <alignment vertical="center" wrapText="1"/>
    </xf>
    <xf numFmtId="0" fontId="21" fillId="0" borderId="1" xfId="0" applyFont="1" applyBorder="1"/>
    <xf numFmtId="0" fontId="16" fillId="0" borderId="1" xfId="0" applyFont="1" applyBorder="1" applyAlignment="1">
      <alignment vertical="center" wrapText="1"/>
    </xf>
    <xf numFmtId="0" fontId="16" fillId="0" borderId="1" xfId="0" applyFont="1" applyBorder="1"/>
    <xf numFmtId="0" fontId="21"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0" fontId="21" fillId="2" borderId="1" xfId="0" applyFont="1" applyFill="1" applyBorder="1"/>
    <xf numFmtId="0" fontId="37" fillId="0" borderId="0" xfId="0" applyFont="1"/>
    <xf numFmtId="10" fontId="37" fillId="0" borderId="0" xfId="0" applyNumberFormat="1" applyFont="1"/>
    <xf numFmtId="172" fontId="37" fillId="0" borderId="0" xfId="0" applyNumberFormat="1" applyFont="1"/>
    <xf numFmtId="9" fontId="37" fillId="0" borderId="0" xfId="0" applyNumberFormat="1" applyFont="1"/>
    <xf numFmtId="0" fontId="69" fillId="31" borderId="1" xfId="0" applyFont="1" applyFill="1" applyBorder="1" applyAlignment="1">
      <alignment horizontal="center" vertical="center" wrapText="1"/>
    </xf>
    <xf numFmtId="168" fontId="69" fillId="0" borderId="1" xfId="0" applyNumberFormat="1" applyFont="1" applyBorder="1" applyAlignment="1">
      <alignment horizontal="center" vertical="center" wrapText="1"/>
    </xf>
    <xf numFmtId="0" fontId="68" fillId="35" borderId="1" xfId="0" applyFont="1" applyFill="1" applyBorder="1" applyAlignment="1">
      <alignment horizontal="center" vertical="center" wrapText="1"/>
    </xf>
    <xf numFmtId="0" fontId="68" fillId="3" borderId="1" xfId="0" applyFont="1" applyFill="1" applyBorder="1" applyAlignment="1">
      <alignment horizontal="center" vertical="center" wrapText="1"/>
    </xf>
    <xf numFmtId="164" fontId="69" fillId="0" borderId="1" xfId="0" applyNumberFormat="1" applyFont="1" applyBorder="1" applyAlignment="1">
      <alignment horizontal="center" vertical="center" wrapText="1"/>
    </xf>
    <xf numFmtId="0" fontId="71" fillId="0" borderId="0" xfId="0" applyFont="1" applyAlignment="1">
      <alignment horizontal="center" vertical="center" wrapText="1"/>
    </xf>
    <xf numFmtId="0" fontId="21" fillId="0" borderId="0" xfId="0" applyFont="1" applyAlignment="1">
      <alignment vertical="center" wrapText="1"/>
    </xf>
    <xf numFmtId="0" fontId="16" fillId="0" borderId="0" xfId="0" applyFont="1"/>
    <xf numFmtId="0" fontId="72" fillId="0" borderId="9" xfId="0" applyFont="1" applyBorder="1"/>
    <xf numFmtId="0" fontId="21" fillId="0" borderId="10" xfId="0" applyFont="1" applyBorder="1"/>
    <xf numFmtId="0" fontId="21" fillId="0" borderId="6" xfId="0" applyFont="1" applyBorder="1"/>
    <xf numFmtId="0" fontId="21" fillId="0" borderId="11" xfId="0" applyFont="1" applyBorder="1"/>
    <xf numFmtId="0" fontId="21" fillId="0" borderId="2" xfId="0" applyFont="1" applyBorder="1"/>
    <xf numFmtId="0" fontId="21" fillId="0" borderId="12" xfId="0" applyFont="1" applyBorder="1"/>
    <xf numFmtId="0" fontId="21" fillId="0" borderId="5" xfId="0" applyFont="1" applyBorder="1"/>
    <xf numFmtId="0" fontId="21" fillId="13" borderId="0" xfId="0" applyFont="1" applyFill="1" applyAlignment="1">
      <alignment horizontal="center" vertical="center" wrapText="1"/>
    </xf>
    <xf numFmtId="164" fontId="7" fillId="5" borderId="1" xfId="0" applyNumberFormat="1" applyFont="1" applyFill="1" applyBorder="1" applyAlignment="1">
      <alignment horizontal="center" vertical="center" wrapText="1"/>
    </xf>
    <xf numFmtId="0" fontId="21" fillId="5" borderId="0" xfId="0" applyFont="1" applyFill="1" applyAlignment="1">
      <alignment horizontal="center" vertical="center" wrapText="1"/>
    </xf>
    <xf numFmtId="0" fontId="21" fillId="5" borderId="0" xfId="0" applyFont="1" applyFill="1"/>
    <xf numFmtId="164" fontId="7" fillId="11" borderId="1" xfId="0" applyNumberFormat="1" applyFont="1" applyFill="1" applyBorder="1" applyAlignment="1">
      <alignment horizontal="center" vertical="center" wrapText="1"/>
    </xf>
    <xf numFmtId="0" fontId="21" fillId="11" borderId="0" xfId="0" applyFont="1" applyFill="1"/>
    <xf numFmtId="0" fontId="21" fillId="13" borderId="1" xfId="0" applyFont="1" applyFill="1" applyBorder="1" applyAlignment="1">
      <alignment horizontal="center" vertical="center" wrapText="1"/>
    </xf>
    <xf numFmtId="164" fontId="21" fillId="0" borderId="1" xfId="0" applyNumberFormat="1" applyFont="1" applyBorder="1" applyAlignment="1">
      <alignment horizontal="center" vertical="center" wrapText="1"/>
    </xf>
    <xf numFmtId="0" fontId="21" fillId="20"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21" fillId="19"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33" fillId="19" borderId="0" xfId="0" applyFont="1" applyFill="1" applyAlignment="1">
      <alignment horizontal="center" vertical="center" wrapText="1"/>
    </xf>
    <xf numFmtId="166" fontId="21" fillId="9" borderId="1" xfId="0" applyNumberFormat="1" applyFont="1" applyFill="1" applyBorder="1" applyAlignment="1">
      <alignment horizontal="center" vertical="center" wrapText="1"/>
    </xf>
    <xf numFmtId="164" fontId="21" fillId="9" borderId="1" xfId="0" applyNumberFormat="1" applyFont="1" applyFill="1" applyBorder="1" applyAlignment="1">
      <alignment horizontal="center" vertical="center" wrapText="1"/>
    </xf>
    <xf numFmtId="0" fontId="21" fillId="9" borderId="0" xfId="0" applyFont="1" applyFill="1" applyAlignment="1">
      <alignment horizontal="center" vertical="center" wrapText="1"/>
    </xf>
    <xf numFmtId="0" fontId="21" fillId="19" borderId="0" xfId="0" applyFont="1" applyFill="1"/>
    <xf numFmtId="0" fontId="59" fillId="0" borderId="0" xfId="0" applyFont="1"/>
    <xf numFmtId="0" fontId="59" fillId="19" borderId="0" xfId="0" applyFont="1" applyFill="1"/>
    <xf numFmtId="0" fontId="21" fillId="19" borderId="0" xfId="0" applyFont="1" applyFill="1" applyAlignment="1">
      <alignment horizontal="center"/>
    </xf>
    <xf numFmtId="0" fontId="62" fillId="31" borderId="0" xfId="0" applyFont="1" applyFill="1" applyAlignment="1">
      <alignment horizontal="center" vertical="center" wrapText="1"/>
    </xf>
    <xf numFmtId="0" fontId="21" fillId="0" borderId="0" xfId="0" applyFont="1" applyAlignment="1">
      <alignment horizontal="center" vertical="center" wrapText="1"/>
    </xf>
    <xf numFmtId="0" fontId="21" fillId="6" borderId="1" xfId="0" applyFont="1" applyFill="1" applyBorder="1" applyAlignment="1">
      <alignment horizontal="center" vertical="center" wrapText="1"/>
    </xf>
    <xf numFmtId="0" fontId="21" fillId="6" borderId="0" xfId="0" applyFont="1" applyFill="1" applyAlignment="1">
      <alignment horizontal="center" vertical="center" wrapText="1"/>
    </xf>
    <xf numFmtId="0" fontId="21" fillId="0" borderId="0" xfId="0" applyFont="1" applyAlignment="1">
      <alignment horizontal="left" vertical="center"/>
    </xf>
    <xf numFmtId="0" fontId="21" fillId="3" borderId="1" xfId="0" applyFont="1" applyFill="1" applyBorder="1" applyAlignment="1">
      <alignment horizontal="center" vertical="center"/>
    </xf>
    <xf numFmtId="0" fontId="21" fillId="3" borderId="1" xfId="0" applyFont="1" applyFill="1" applyBorder="1" applyAlignment="1">
      <alignment horizontal="center"/>
    </xf>
    <xf numFmtId="0" fontId="37" fillId="14" borderId="1" xfId="0" applyFont="1" applyFill="1" applyBorder="1" applyAlignment="1">
      <alignment horizontal="center" vertical="center" wrapText="1"/>
    </xf>
    <xf numFmtId="0" fontId="21" fillId="14" borderId="1" xfId="0" applyFont="1" applyFill="1" applyBorder="1" applyAlignment="1">
      <alignment horizontal="center" vertical="center"/>
    </xf>
    <xf numFmtId="0" fontId="21" fillId="14" borderId="1" xfId="0" applyFont="1" applyFill="1" applyBorder="1" applyAlignment="1">
      <alignment horizontal="center"/>
    </xf>
    <xf numFmtId="0" fontId="21" fillId="34" borderId="1" xfId="0" applyFont="1" applyFill="1" applyBorder="1" applyAlignment="1">
      <alignment horizontal="center" vertical="center" wrapText="1"/>
    </xf>
    <xf numFmtId="171" fontId="21" fillId="0" borderId="1" xfId="0" applyNumberFormat="1" applyFont="1" applyBorder="1" applyAlignment="1">
      <alignment horizontal="center" vertical="center" wrapText="1"/>
    </xf>
    <xf numFmtId="0" fontId="59" fillId="29" borderId="1" xfId="0" applyNumberFormat="1" applyFont="1" applyFill="1" applyBorder="1" applyAlignment="1">
      <alignment horizontal="center" vertical="center" wrapText="1"/>
    </xf>
  </cellXfs>
  <cellStyles count="1">
    <cellStyle name="Normal" xfId="0" builtinId="0"/>
  </cellStyles>
  <dxfs count="18">
    <dxf>
      <fill>
        <patternFill patternType="solid">
          <fgColor rgb="FFB7E1CD"/>
          <bgColor rgb="FFB7E1CD"/>
        </patternFill>
      </fill>
    </dxf>
    <dxf>
      <fill>
        <patternFill patternType="solid">
          <fgColor rgb="FFB7E1CD"/>
          <bgColor rgb="FFB7E1CD"/>
        </patternFill>
      </fill>
    </dxf>
    <dxf>
      <fill>
        <patternFill patternType="solid">
          <fgColor theme="4"/>
          <bgColor theme="4"/>
        </patternFill>
      </fill>
    </dxf>
    <dxf>
      <fill>
        <patternFill patternType="solid">
          <fgColor rgb="FFFFFFFF"/>
          <bgColor rgb="FFFFFFFF"/>
        </patternFill>
      </fill>
    </dxf>
    <dxf>
      <fill>
        <patternFill patternType="solid">
          <fgColor rgb="FFFFC000"/>
          <bgColor rgb="FFFFC000"/>
        </patternFill>
      </fill>
    </dxf>
    <dxf>
      <fill>
        <patternFill patternType="solid">
          <fgColor theme="6"/>
          <bgColor theme="6"/>
        </patternFill>
      </fill>
    </dxf>
    <dxf>
      <fill>
        <patternFill patternType="solid">
          <fgColor rgb="FF3D85C6"/>
          <bgColor rgb="FF3D85C6"/>
        </patternFill>
      </fill>
    </dxf>
    <dxf>
      <fill>
        <patternFill patternType="solid">
          <fgColor rgb="FFB7E1CD"/>
          <bgColor rgb="FFB7E1CD"/>
        </patternFill>
      </fill>
    </dxf>
    <dxf>
      <fill>
        <patternFill patternType="solid">
          <fgColor rgb="FFFFC000"/>
          <bgColor rgb="FFFFC000"/>
        </patternFill>
      </fill>
    </dxf>
    <dxf>
      <fill>
        <patternFill patternType="solid">
          <fgColor theme="6"/>
          <bgColor theme="6"/>
        </patternFill>
      </fill>
    </dxf>
    <dxf>
      <fill>
        <patternFill patternType="solid">
          <fgColor rgb="FF3D85C6"/>
          <bgColor rgb="FF3D85C6"/>
        </patternFill>
      </fill>
    </dxf>
    <dxf>
      <fill>
        <patternFill patternType="solid">
          <fgColor rgb="FFFFC000"/>
          <bgColor rgb="FFFFC000"/>
        </patternFill>
      </fill>
    </dxf>
    <dxf>
      <fill>
        <patternFill patternType="solid">
          <fgColor theme="6"/>
          <bgColor theme="6"/>
        </patternFill>
      </fill>
    </dxf>
    <dxf>
      <fill>
        <patternFill patternType="solid">
          <fgColor rgb="FF3D85C6"/>
          <bgColor rgb="FF3D85C6"/>
        </patternFill>
      </fill>
    </dxf>
    <dxf>
      <fill>
        <patternFill patternType="solid">
          <fgColor rgb="FFF8F9FA"/>
          <bgColor rgb="FFF8F9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2">
    <tableStyle name="RESUMO TEMPO DE TRAMITAÇÃO 2025-style" pivot="0" count="2" xr9:uid="{00000000-0011-0000-FFFF-FFFF00000000}">
      <tableStyleElement type="firstRowStripe" dxfId="17"/>
      <tableStyleElement type="secondRowStripe" dxfId="16"/>
    </tableStyle>
    <tableStyle name="lista de pesquisadores para env-style" pivot="0" count="2" xr9:uid="{00000000-0011-0000-FFFF-FFFF01000000}">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Data da assinatura do memorando pela DIRETORIA CHU</a:t>
            </a:r>
          </a:p>
        </c:rich>
      </c:tx>
      <c:overlay val="0"/>
    </c:title>
    <c:autoTitleDeleted val="0"/>
    <c:plotArea>
      <c:layout/>
      <c:barChart>
        <c:barDir val="col"/>
        <c:grouping val="clustered"/>
        <c:varyColors val="1"/>
        <c:ser>
          <c:idx val="0"/>
          <c:order val="0"/>
          <c:tx>
            <c:strRef>
              <c:f>'GRÁFICOS 2025'!$G$1</c:f>
              <c:strCache>
                <c:ptCount val="1"/>
                <c:pt idx="0">
                  <c:v>Pesquisador referência da instituição (caso seja o pesquisador principal, escrever NA ( NÃO SE APLICA)</c:v>
                </c:pt>
              </c:strCache>
            </c:strRef>
          </c:tx>
          <c:invertIfNegative val="1"/>
          <c:cat>
            <c:strRef>
              <c:f>'GRÁFICOS 2025'!$G$2:$G$90</c:f>
              <c:strCache>
                <c:ptCount val="89"/>
                <c:pt idx="0">
                  <c:v>NA</c:v>
                </c:pt>
                <c:pt idx="1">
                  <c:v>NA</c:v>
                </c:pt>
                <c:pt idx="2">
                  <c:v>NA</c:v>
                </c:pt>
                <c:pt idx="3">
                  <c:v>N/A</c:v>
                </c:pt>
                <c:pt idx="4">
                  <c:v>Marina Milagres</c:v>
                </c:pt>
                <c:pt idx="5">
                  <c:v>NA</c:v>
                </c:pt>
                <c:pt idx="6">
                  <c:v>NA</c:v>
                </c:pt>
                <c:pt idx="7">
                  <c:v>NA</c:v>
                </c:pt>
                <c:pt idx="8">
                  <c:v>NA</c:v>
                </c:pt>
                <c:pt idx="9">
                  <c:v>NA</c:v>
                </c:pt>
                <c:pt idx="10">
                  <c:v>NA</c:v>
                </c:pt>
                <c:pt idx="11">
                  <c:v>NA</c:v>
                </c:pt>
                <c:pt idx="12">
                  <c:v>NA</c:v>
                </c:pt>
                <c:pt idx="13">
                  <c:v>NA </c:v>
                </c:pt>
                <c:pt idx="14">
                  <c:v>NA</c:v>
                </c:pt>
                <c:pt idx="15">
                  <c:v>NA</c:v>
                </c:pt>
                <c:pt idx="16">
                  <c:v>NA</c:v>
                </c:pt>
                <c:pt idx="17">
                  <c:v>Romulo Souki</c:v>
                </c:pt>
                <c:pt idx="18">
                  <c:v>NA</c:v>
                </c:pt>
                <c:pt idx="19">
                  <c:v>NA</c:v>
                </c:pt>
                <c:pt idx="20">
                  <c:v>NA</c:v>
                </c:pt>
                <c:pt idx="21">
                  <c:v>NA</c:v>
                </c:pt>
                <c:pt idx="22">
                  <c:v>NA</c:v>
                </c:pt>
                <c:pt idx="23">
                  <c:v>NA </c:v>
                </c:pt>
                <c:pt idx="24">
                  <c:v>NA</c:v>
                </c:pt>
                <c:pt idx="25">
                  <c:v>NA </c:v>
                </c:pt>
                <c:pt idx="26">
                  <c:v>NA</c:v>
                </c:pt>
                <c:pt idx="27">
                  <c:v>ALINE</c:v>
                </c:pt>
                <c:pt idx="28">
                  <c:v>NA </c:v>
                </c:pt>
                <c:pt idx="29">
                  <c:v>NA </c:v>
                </c:pt>
                <c:pt idx="30">
                  <c:v>NA</c:v>
                </c:pt>
                <c:pt idx="31">
                  <c:v>NA</c:v>
                </c:pt>
                <c:pt idx="32">
                  <c:v>NA</c:v>
                </c:pt>
                <c:pt idx="33">
                  <c:v>NA</c:v>
                </c:pt>
                <c:pt idx="34">
                  <c:v>N/A</c:v>
                </c:pt>
                <c:pt idx="35">
                  <c:v>Armando Pinto</c:v>
                </c:pt>
                <c:pt idx="36">
                  <c:v>NA</c:v>
                </c:pt>
                <c:pt idx="37">
                  <c:v>NA</c:v>
                </c:pt>
                <c:pt idx="38">
                  <c:v>NA</c:v>
                </c:pt>
                <c:pt idx="39">
                  <c:v>NA</c:v>
                </c:pt>
                <c:pt idx="40">
                  <c:v>NA</c:v>
                </c:pt>
                <c:pt idx="41">
                  <c:v>NA</c:v>
                </c:pt>
                <c:pt idx="42">
                  <c:v>NA</c:v>
                </c:pt>
                <c:pt idx="43">
                  <c:v>N/A</c:v>
                </c:pt>
                <c:pt idx="44">
                  <c:v>N/A</c:v>
                </c:pt>
                <c:pt idx="45">
                  <c:v>N/A</c:v>
                </c:pt>
                <c:pt idx="46">
                  <c:v>NA</c:v>
                </c:pt>
                <c:pt idx="47">
                  <c:v>NA</c:v>
                </c:pt>
                <c:pt idx="48">
                  <c:v>CINTIA GODINHO</c:v>
                </c:pt>
                <c:pt idx="49">
                  <c:v>NA</c:v>
                </c:pt>
                <c:pt idx="50">
                  <c:v>Livia Isabela Oliveira (orientadora)</c:v>
                </c:pt>
                <c:pt idx="51">
                  <c:v>Sarah Costa Drumond de Oliveira Moura e Rita de Cassia Guedes (orientadoras)</c:v>
                </c:pt>
                <c:pt idx="52">
                  <c:v> Fernanda Tormin Tanos Lopes (orientadora)</c:v>
                </c:pt>
                <c:pt idx="53">
                  <c:v>NA</c:v>
                </c:pt>
                <c:pt idx="54">
                  <c:v>NA</c:v>
                </c:pt>
                <c:pt idx="55">
                  <c:v>NA </c:v>
                </c:pt>
                <c:pt idx="56">
                  <c:v>Rodrigo Faleiro</c:v>
                </c:pt>
                <c:pt idx="57">
                  <c:v>Rodrigo Muzzi</c:v>
                </c:pt>
                <c:pt idx="58">
                  <c:v>Luciana Cota</c:v>
                </c:pt>
                <c:pt idx="59">
                  <c:v>NA</c:v>
                </c:pt>
                <c:pt idx="60">
                  <c:v>Enf. Luzia Maria dos Santos</c:v>
                </c:pt>
                <c:pt idx="61">
                  <c:v>Chalene Guimaraes Soares Mezencio</c:v>
                </c:pt>
                <c:pt idx="62">
                  <c:v>Frederico Bruzzi</c:v>
                </c:pt>
                <c:pt idx="63">
                  <c:v>Livia Isabela de Oliveira</c:v>
                </c:pt>
                <c:pt idx="64">
                  <c:v>NA</c:v>
                </c:pt>
                <c:pt idx="65">
                  <c:v>Juliana Mattos Tavares</c:v>
                </c:pt>
                <c:pt idx="66">
                  <c:v>Luciana Cota</c:v>
                </c:pt>
                <c:pt idx="67">
                  <c:v>Luzia </c:v>
                </c:pt>
                <c:pt idx="68">
                  <c:v>NA</c:v>
                </c:pt>
                <c:pt idx="69">
                  <c:v>NA</c:v>
                </c:pt>
                <c:pt idx="70">
                  <c:v>RESIDENTE</c:v>
                </c:pt>
                <c:pt idx="71">
                  <c:v>NA</c:v>
                </c:pt>
                <c:pt idx="72">
                  <c:v> NA</c:v>
                </c:pt>
                <c:pt idx="73">
                  <c:v>N/A</c:v>
                </c:pt>
                <c:pt idx="74">
                  <c:v>NA</c:v>
                </c:pt>
                <c:pt idx="75">
                  <c:v>N/A</c:v>
                </c:pt>
                <c:pt idx="76">
                  <c:v>NA</c:v>
                </c:pt>
                <c:pt idx="77">
                  <c:v>PRISCILA PIERAZOLI DE A. BATISTA</c:v>
                </c:pt>
                <c:pt idx="78">
                  <c:v>LÍVIA ISABELA DE OLIVEIRA</c:v>
                </c:pt>
                <c:pt idx="79">
                  <c:v>NA</c:v>
                </c:pt>
                <c:pt idx="80">
                  <c:v>NA</c:v>
                </c:pt>
                <c:pt idx="81">
                  <c:v>NA</c:v>
                </c:pt>
                <c:pt idx="82">
                  <c:v>NA</c:v>
                </c:pt>
                <c:pt idx="83">
                  <c:v>Frederico Figueiredo Amâncio</c:v>
                </c:pt>
                <c:pt idx="84">
                  <c:v>NA</c:v>
                </c:pt>
                <c:pt idx="85">
                  <c:v>NA</c:v>
                </c:pt>
                <c:pt idx="86">
                  <c:v>WILSON ROCHA</c:v>
                </c:pt>
                <c:pt idx="87">
                  <c:v>NA</c:v>
                </c:pt>
                <c:pt idx="88">
                  <c:v>CLARA MARQUES SANTANA</c:v>
                </c:pt>
              </c:strCache>
            </c:strRef>
          </c:cat>
          <c:val>
            <c:numRef>
              <c:f>'GRÁFICOS 2025'!$G$2:$G$90</c:f>
              <c:numCache>
                <c:formatCode>General</c:formatCode>
                <c:ptCount val="8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numCache>
            </c:numRef>
          </c:val>
          <c:extLst>
            <c:ext xmlns:c16="http://schemas.microsoft.com/office/drawing/2014/chart" uri="{C3380CC4-5D6E-409C-BE32-E72D297353CC}">
              <c16:uniqueId val="{00000000-696C-486F-B2CA-0149A16AF202}"/>
            </c:ext>
          </c:extLst>
        </c:ser>
        <c:dLbls>
          <c:showLegendKey val="0"/>
          <c:showVal val="0"/>
          <c:showCatName val="0"/>
          <c:showSerName val="0"/>
          <c:showPercent val="0"/>
          <c:showBubbleSize val="0"/>
        </c:dLbls>
        <c:gapWidth val="150"/>
        <c:axId val="1754860835"/>
        <c:axId val="744592680"/>
      </c:barChart>
      <c:catAx>
        <c:axId val="17548608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44592680"/>
        <c:crosses val="autoZero"/>
        <c:auto val="1"/>
        <c:lblAlgn val="ctr"/>
        <c:lblOffset val="100"/>
        <c:noMultiLvlLbl val="1"/>
      </c:catAx>
      <c:valAx>
        <c:axId val="744592680"/>
        <c:scaling>
          <c:orientation val="minMax"/>
        </c:scaling>
        <c:delete val="0"/>
        <c:axPos val="l"/>
        <c:numFmt formatCode="General" sourceLinked="1"/>
        <c:majorTickMark val="cross"/>
        <c:minorTickMark val="cross"/>
        <c:tickLblPos val="nextTo"/>
        <c:spPr>
          <a:ln>
            <a:noFill/>
          </a:ln>
        </c:spPr>
        <c:crossAx val="175486083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Data da emissão do Parecer Técnico de APROVAÇÃO  pela CIP </a:t>
            </a:r>
          </a:p>
        </c:rich>
      </c:tx>
      <c:overlay val="0"/>
    </c:title>
    <c:autoTitleDeleted val="0"/>
    <c:plotArea>
      <c:layout/>
      <c:barChart>
        <c:barDir val="col"/>
        <c:grouping val="clustered"/>
        <c:varyColors val="1"/>
        <c:ser>
          <c:idx val="0"/>
          <c:order val="0"/>
          <c:tx>
            <c:strRef>
              <c:f>'GRÁFICOS 2025'!$H$1</c:f>
              <c:strCache>
                <c:ptCount val="1"/>
                <c:pt idx="0">
                  <c:v>Tempo de assisnatura do memorando DGE e envio CIP ( coluna Q-P) +1 </c:v>
                </c:pt>
              </c:strCache>
            </c:strRef>
          </c:tx>
          <c:invertIfNegative val="1"/>
          <c:cat>
            <c:strRef>
              <c:f>'GRÁFICOS 2025'!$H$2:$H$90</c:f>
              <c:strCache>
                <c:ptCount val="89"/>
                <c:pt idx="0">
                  <c:v>ABC</c:v>
                </c:pt>
                <c:pt idx="1">
                  <c:v>ABC</c:v>
                </c:pt>
                <c:pt idx="2">
                  <c:v>6</c:v>
                </c:pt>
                <c:pt idx="3">
                  <c:v>3</c:v>
                </c:pt>
                <c:pt idx="4">
                  <c:v>ABC</c:v>
                </c:pt>
                <c:pt idx="5">
                  <c:v>ABC</c:v>
                </c:pt>
                <c:pt idx="6">
                  <c:v>ABC</c:v>
                </c:pt>
                <c:pt idx="7">
                  <c:v>ABC</c:v>
                </c:pt>
                <c:pt idx="8">
                  <c:v>ABC</c:v>
                </c:pt>
                <c:pt idx="9">
                  <c:v>ABC</c:v>
                </c:pt>
                <c:pt idx="10">
                  <c:v>ABC</c:v>
                </c:pt>
                <c:pt idx="11">
                  <c:v>ABC</c:v>
                </c:pt>
                <c:pt idx="12">
                  <c:v>ABC</c:v>
                </c:pt>
                <c:pt idx="13">
                  <c:v>ABC</c:v>
                </c:pt>
                <c:pt idx="14">
                  <c:v>ABC</c:v>
                </c:pt>
                <c:pt idx="15">
                  <c:v>2</c:v>
                </c:pt>
                <c:pt idx="16">
                  <c:v>ABC</c:v>
                </c:pt>
                <c:pt idx="17">
                  <c:v>ABC</c:v>
                </c:pt>
                <c:pt idx="18">
                  <c:v>ABC</c:v>
                </c:pt>
                <c:pt idx="19">
                  <c:v>ABC</c:v>
                </c:pt>
                <c:pt idx="20">
                  <c:v>ABC</c:v>
                </c:pt>
                <c:pt idx="21">
                  <c:v>ABC</c:v>
                </c:pt>
                <c:pt idx="22">
                  <c:v>ABC</c:v>
                </c:pt>
                <c:pt idx="23">
                  <c:v>ABC</c:v>
                </c:pt>
                <c:pt idx="24">
                  <c:v>ABC</c:v>
                </c:pt>
                <c:pt idx="25">
                  <c:v>ABC</c:v>
                </c:pt>
                <c:pt idx="26">
                  <c:v>ABC</c:v>
                </c:pt>
                <c:pt idx="27">
                  <c:v>9</c:v>
                </c:pt>
                <c:pt idx="28">
                  <c:v>ABC</c:v>
                </c:pt>
                <c:pt idx="29">
                  <c:v>ABC</c:v>
                </c:pt>
                <c:pt idx="30">
                  <c:v>ABC</c:v>
                </c:pt>
                <c:pt idx="31">
                  <c:v>ABC</c:v>
                </c:pt>
                <c:pt idx="32">
                  <c:v>ABC</c:v>
                </c:pt>
                <c:pt idx="33">
                  <c:v>ABC</c:v>
                </c:pt>
                <c:pt idx="34">
                  <c:v>ABC</c:v>
                </c:pt>
                <c:pt idx="35">
                  <c:v>ABC</c:v>
                </c:pt>
                <c:pt idx="36">
                  <c:v>ABC</c:v>
                </c:pt>
                <c:pt idx="37">
                  <c:v>ABC</c:v>
                </c:pt>
                <c:pt idx="38">
                  <c:v>ABC</c:v>
                </c:pt>
                <c:pt idx="39">
                  <c:v>ABC</c:v>
                </c:pt>
                <c:pt idx="40">
                  <c:v>ABC</c:v>
                </c:pt>
                <c:pt idx="41">
                  <c:v>ABC</c:v>
                </c:pt>
                <c:pt idx="42">
                  <c:v>ABC</c:v>
                </c:pt>
                <c:pt idx="43">
                  <c:v>ABC</c:v>
                </c:pt>
                <c:pt idx="44">
                  <c:v>ABC</c:v>
                </c:pt>
                <c:pt idx="45">
                  <c:v>ABC</c:v>
                </c:pt>
                <c:pt idx="46">
                  <c:v>ABC</c:v>
                </c:pt>
                <c:pt idx="47">
                  <c:v>ABC</c:v>
                </c:pt>
                <c:pt idx="48">
                  <c:v>9</c:v>
                </c:pt>
                <c:pt idx="49">
                  <c:v>ABC</c:v>
                </c:pt>
                <c:pt idx="50">
                  <c:v>ABC</c:v>
                </c:pt>
                <c:pt idx="51">
                  <c:v>ABC</c:v>
                </c:pt>
                <c:pt idx="52">
                  <c:v>3</c:v>
                </c:pt>
                <c:pt idx="53">
                  <c:v>ABC</c:v>
                </c:pt>
                <c:pt idx="54">
                  <c:v>ABC</c:v>
                </c:pt>
                <c:pt idx="55">
                  <c:v>ABC</c:v>
                </c:pt>
                <c:pt idx="56">
                  <c:v>5</c:v>
                </c:pt>
                <c:pt idx="57">
                  <c:v>ABC</c:v>
                </c:pt>
                <c:pt idx="58">
                  <c:v>ABC</c:v>
                </c:pt>
                <c:pt idx="59">
                  <c:v>ABC</c:v>
                </c:pt>
                <c:pt idx="60">
                  <c:v>6</c:v>
                </c:pt>
                <c:pt idx="61">
                  <c:v>ABC</c:v>
                </c:pt>
                <c:pt idx="62">
                  <c:v>1</c:v>
                </c:pt>
                <c:pt idx="63">
                  <c:v>ABC</c:v>
                </c:pt>
                <c:pt idx="64">
                  <c:v>ABC</c:v>
                </c:pt>
                <c:pt idx="65">
                  <c:v>ABC</c:v>
                </c:pt>
                <c:pt idx="66">
                  <c:v>ABC</c:v>
                </c:pt>
                <c:pt idx="67">
                  <c:v>6</c:v>
                </c:pt>
                <c:pt idx="68">
                  <c:v>5</c:v>
                </c:pt>
                <c:pt idx="69">
                  <c:v>5</c:v>
                </c:pt>
                <c:pt idx="70">
                  <c:v>2</c:v>
                </c:pt>
                <c:pt idx="71">
                  <c:v>#VALUE!</c:v>
                </c:pt>
                <c:pt idx="72">
                  <c:v>#VALUE!</c:v>
                </c:pt>
                <c:pt idx="73">
                  <c:v>#VALUE!</c:v>
                </c:pt>
                <c:pt idx="74">
                  <c:v>2</c:v>
                </c:pt>
                <c:pt idx="75">
                  <c:v>3</c:v>
                </c:pt>
                <c:pt idx="76">
                  <c:v>32</c:v>
                </c:pt>
                <c:pt idx="77">
                  <c:v>6</c:v>
                </c:pt>
                <c:pt idx="78">
                  <c:v>3</c:v>
                </c:pt>
                <c:pt idx="79">
                  <c:v>8</c:v>
                </c:pt>
                <c:pt idx="80">
                  <c:v>5</c:v>
                </c:pt>
                <c:pt idx="81">
                  <c:v>47</c:v>
                </c:pt>
                <c:pt idx="82">
                  <c:v>3</c:v>
                </c:pt>
                <c:pt idx="83">
                  <c:v>1</c:v>
                </c:pt>
                <c:pt idx="84">
                  <c:v>6</c:v>
                </c:pt>
                <c:pt idx="85">
                  <c:v>1</c:v>
                </c:pt>
                <c:pt idx="86">
                  <c:v>1</c:v>
                </c:pt>
                <c:pt idx="87">
                  <c:v>2</c:v>
                </c:pt>
                <c:pt idx="88">
                  <c:v>2</c:v>
                </c:pt>
              </c:strCache>
            </c:strRef>
          </c:cat>
          <c:val>
            <c:numRef>
              <c:f>'GRÁFICOS 2025'!$H$2:$H$90</c:f>
              <c:numCache>
                <c:formatCode>General</c:formatCode>
                <c:ptCount val="89"/>
                <c:pt idx="0">
                  <c:v>0</c:v>
                </c:pt>
                <c:pt idx="1">
                  <c:v>0</c:v>
                </c:pt>
                <c:pt idx="2">
                  <c:v>6</c:v>
                </c:pt>
                <c:pt idx="3">
                  <c:v>3</c:v>
                </c:pt>
                <c:pt idx="4">
                  <c:v>0</c:v>
                </c:pt>
                <c:pt idx="5">
                  <c:v>0</c:v>
                </c:pt>
                <c:pt idx="6">
                  <c:v>0</c:v>
                </c:pt>
                <c:pt idx="7">
                  <c:v>0</c:v>
                </c:pt>
                <c:pt idx="8">
                  <c:v>0</c:v>
                </c:pt>
                <c:pt idx="9">
                  <c:v>0</c:v>
                </c:pt>
                <c:pt idx="10">
                  <c:v>0</c:v>
                </c:pt>
                <c:pt idx="11">
                  <c:v>0</c:v>
                </c:pt>
                <c:pt idx="12">
                  <c:v>0</c:v>
                </c:pt>
                <c:pt idx="13">
                  <c:v>0</c:v>
                </c:pt>
                <c:pt idx="14">
                  <c:v>0</c:v>
                </c:pt>
                <c:pt idx="15">
                  <c:v>2</c:v>
                </c:pt>
                <c:pt idx="16">
                  <c:v>0</c:v>
                </c:pt>
                <c:pt idx="17">
                  <c:v>0</c:v>
                </c:pt>
                <c:pt idx="18">
                  <c:v>0</c:v>
                </c:pt>
                <c:pt idx="19">
                  <c:v>0</c:v>
                </c:pt>
                <c:pt idx="20">
                  <c:v>0</c:v>
                </c:pt>
                <c:pt idx="21">
                  <c:v>0</c:v>
                </c:pt>
                <c:pt idx="22">
                  <c:v>0</c:v>
                </c:pt>
                <c:pt idx="23">
                  <c:v>0</c:v>
                </c:pt>
                <c:pt idx="24">
                  <c:v>0</c:v>
                </c:pt>
                <c:pt idx="25">
                  <c:v>0</c:v>
                </c:pt>
                <c:pt idx="26">
                  <c:v>0</c:v>
                </c:pt>
                <c:pt idx="27">
                  <c:v>9</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9</c:v>
                </c:pt>
                <c:pt idx="49">
                  <c:v>0</c:v>
                </c:pt>
                <c:pt idx="50">
                  <c:v>0</c:v>
                </c:pt>
                <c:pt idx="51">
                  <c:v>0</c:v>
                </c:pt>
                <c:pt idx="52">
                  <c:v>3</c:v>
                </c:pt>
                <c:pt idx="53">
                  <c:v>0</c:v>
                </c:pt>
                <c:pt idx="54">
                  <c:v>0</c:v>
                </c:pt>
                <c:pt idx="55">
                  <c:v>0</c:v>
                </c:pt>
                <c:pt idx="56">
                  <c:v>5</c:v>
                </c:pt>
                <c:pt idx="57">
                  <c:v>0</c:v>
                </c:pt>
                <c:pt idx="58">
                  <c:v>0</c:v>
                </c:pt>
                <c:pt idx="59">
                  <c:v>0</c:v>
                </c:pt>
                <c:pt idx="60">
                  <c:v>6</c:v>
                </c:pt>
                <c:pt idx="61">
                  <c:v>0</c:v>
                </c:pt>
                <c:pt idx="62">
                  <c:v>1</c:v>
                </c:pt>
                <c:pt idx="63">
                  <c:v>0</c:v>
                </c:pt>
                <c:pt idx="64">
                  <c:v>0</c:v>
                </c:pt>
                <c:pt idx="65">
                  <c:v>0</c:v>
                </c:pt>
                <c:pt idx="66">
                  <c:v>0</c:v>
                </c:pt>
                <c:pt idx="67">
                  <c:v>6</c:v>
                </c:pt>
                <c:pt idx="68">
                  <c:v>5</c:v>
                </c:pt>
                <c:pt idx="69">
                  <c:v>5</c:v>
                </c:pt>
                <c:pt idx="70">
                  <c:v>2</c:v>
                </c:pt>
                <c:pt idx="71">
                  <c:v>0</c:v>
                </c:pt>
                <c:pt idx="72">
                  <c:v>0</c:v>
                </c:pt>
                <c:pt idx="73">
                  <c:v>0</c:v>
                </c:pt>
                <c:pt idx="74">
                  <c:v>2</c:v>
                </c:pt>
                <c:pt idx="75">
                  <c:v>3</c:v>
                </c:pt>
                <c:pt idx="76">
                  <c:v>32</c:v>
                </c:pt>
                <c:pt idx="77">
                  <c:v>6</c:v>
                </c:pt>
                <c:pt idx="78">
                  <c:v>3</c:v>
                </c:pt>
                <c:pt idx="79">
                  <c:v>8</c:v>
                </c:pt>
                <c:pt idx="80">
                  <c:v>5</c:v>
                </c:pt>
                <c:pt idx="81">
                  <c:v>47</c:v>
                </c:pt>
                <c:pt idx="82">
                  <c:v>3</c:v>
                </c:pt>
                <c:pt idx="83">
                  <c:v>1</c:v>
                </c:pt>
                <c:pt idx="84">
                  <c:v>6</c:v>
                </c:pt>
                <c:pt idx="85">
                  <c:v>1</c:v>
                </c:pt>
                <c:pt idx="86">
                  <c:v>1</c:v>
                </c:pt>
                <c:pt idx="87">
                  <c:v>2</c:v>
                </c:pt>
                <c:pt idx="88">
                  <c:v>2</c:v>
                </c:pt>
              </c:numCache>
            </c:numRef>
          </c:val>
          <c:extLst>
            <c:ext xmlns:c16="http://schemas.microsoft.com/office/drawing/2014/chart" uri="{C3380CC4-5D6E-409C-BE32-E72D297353CC}">
              <c16:uniqueId val="{00000000-16FE-44A4-86EA-80F823C0D41F}"/>
            </c:ext>
          </c:extLst>
        </c:ser>
        <c:dLbls>
          <c:showLegendKey val="0"/>
          <c:showVal val="0"/>
          <c:showCatName val="0"/>
          <c:showSerName val="0"/>
          <c:showPercent val="0"/>
          <c:showBubbleSize val="0"/>
        </c:dLbls>
        <c:gapWidth val="150"/>
        <c:axId val="1269968139"/>
        <c:axId val="1428426671"/>
      </c:barChart>
      <c:catAx>
        <c:axId val="126996813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28426671"/>
        <c:crosses val="autoZero"/>
        <c:auto val="1"/>
        <c:lblAlgn val="ctr"/>
        <c:lblOffset val="100"/>
        <c:noMultiLvlLbl val="1"/>
      </c:catAx>
      <c:valAx>
        <c:axId val="1428426671"/>
        <c:scaling>
          <c:orientation val="minMax"/>
        </c:scaling>
        <c:delete val="0"/>
        <c:axPos val="l"/>
        <c:numFmt formatCode="General" sourceLinked="1"/>
        <c:majorTickMark val="cross"/>
        <c:minorTickMark val="cross"/>
        <c:tickLblPos val="nextTo"/>
        <c:spPr>
          <a:ln>
            <a:noFill/>
          </a:ln>
        </c:spPr>
        <c:crossAx val="126996813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Data da assinatura da FOLHA ROSTO  OU do  TERMO DE ANUENCIA</a:t>
            </a:r>
          </a:p>
        </c:rich>
      </c:tx>
      <c:overlay val="0"/>
    </c:title>
    <c:autoTitleDeleted val="0"/>
    <c:plotArea>
      <c:layout/>
      <c:barChart>
        <c:barDir val="col"/>
        <c:grouping val="clustered"/>
        <c:varyColors val="1"/>
        <c:ser>
          <c:idx val="0"/>
          <c:order val="0"/>
          <c:tx>
            <c:strRef>
              <c:f>'GRÁFICOS 2025'!$I$1</c:f>
              <c:strCache>
                <c:ptCount val="1"/>
                <c:pt idx="0">
                  <c:v>Parecer da CIP</c:v>
                </c:pt>
              </c:strCache>
            </c:strRef>
          </c:tx>
          <c:invertIfNegative val="1"/>
          <c:cat>
            <c:strRef>
              <c:f>'GRÁFICOS 2025'!$I$2:$I$90</c:f>
              <c:strCache>
                <c:ptCount val="89"/>
                <c:pt idx="0">
                  <c:v>EMENDA/NÃO SE APLICA</c:v>
                </c:pt>
                <c:pt idx="1">
                  <c:v>EMENDA/NÃO SE APLICA</c:v>
                </c:pt>
                <c:pt idx="2">
                  <c:v>Aprovado no 1 PT</c:v>
                </c:pt>
                <c:pt idx="3">
                  <c:v>Aprovado no 1 PT</c:v>
                </c:pt>
                <c:pt idx="4">
                  <c:v>Aprovado no 2 PT</c:v>
                </c:pt>
                <c:pt idx="5">
                  <c:v>Pendência </c:v>
                </c:pt>
                <c:pt idx="6">
                  <c:v>Aprovado no 1 PT</c:v>
                </c:pt>
                <c:pt idx="7">
                  <c:v>Aprovado no 1 PT</c:v>
                </c:pt>
                <c:pt idx="8">
                  <c:v>Aprovado no 1 PT</c:v>
                </c:pt>
                <c:pt idx="9">
                  <c:v>Aprovado no 2 PT</c:v>
                </c:pt>
                <c:pt idx="10">
                  <c:v>Aprovado no 1 PT</c:v>
                </c:pt>
                <c:pt idx="11">
                  <c:v>Aprovado no 4 PT</c:v>
                </c:pt>
                <c:pt idx="12">
                  <c:v>Aprovado no 1 PT</c:v>
                </c:pt>
                <c:pt idx="13">
                  <c:v>Aprovado no 2 PT</c:v>
                </c:pt>
                <c:pt idx="14">
                  <c:v>Aprovado no 2 PT</c:v>
                </c:pt>
                <c:pt idx="15">
                  <c:v>Aprovado no 1 PT</c:v>
                </c:pt>
                <c:pt idx="16">
                  <c:v>NA</c:v>
                </c:pt>
                <c:pt idx="17">
                  <c:v>Aprovado no 2 PT</c:v>
                </c:pt>
                <c:pt idx="18">
                  <c:v>Aprovado no 1 PT</c:v>
                </c:pt>
                <c:pt idx="19">
                  <c:v>Aprovado no 1 PT</c:v>
                </c:pt>
                <c:pt idx="20">
                  <c:v>Aprovado no 1 PT</c:v>
                </c:pt>
                <c:pt idx="21">
                  <c:v>Aprovado no 1 PT</c:v>
                </c:pt>
                <c:pt idx="22">
                  <c:v>Aprovado no 1 PT</c:v>
                </c:pt>
                <c:pt idx="23">
                  <c:v>Aprovado no 2 PT</c:v>
                </c:pt>
                <c:pt idx="24">
                  <c:v>Aprovado no 2 PT</c:v>
                </c:pt>
                <c:pt idx="25">
                  <c:v>Aprovado no 2 PT</c:v>
                </c:pt>
                <c:pt idx="26">
                  <c:v>NA</c:v>
                </c:pt>
                <c:pt idx="27">
                  <c:v>Aprovado no 1 PT</c:v>
                </c:pt>
                <c:pt idx="28">
                  <c:v>Aprovado no 1 PT</c:v>
                </c:pt>
                <c:pt idx="29">
                  <c:v>Aprovado no 2 PT</c:v>
                </c:pt>
                <c:pt idx="30">
                  <c:v>Aprovado no 2 PT</c:v>
                </c:pt>
                <c:pt idx="31">
                  <c:v>Aprovado no 2 PT</c:v>
                </c:pt>
                <c:pt idx="32">
                  <c:v>Aprovado no 3 PT</c:v>
                </c:pt>
                <c:pt idx="33">
                  <c:v>Aprovado no 1 PT</c:v>
                </c:pt>
                <c:pt idx="34">
                  <c:v>Aprovado no 2 PT</c:v>
                </c:pt>
                <c:pt idx="35">
                  <c:v>Reprovado</c:v>
                </c:pt>
                <c:pt idx="36">
                  <c:v>Aprovado no 1 PT</c:v>
                </c:pt>
                <c:pt idx="37">
                  <c:v>Aprovado no 1 PT</c:v>
                </c:pt>
                <c:pt idx="38">
                  <c:v>Aprovado no 3 PT</c:v>
                </c:pt>
                <c:pt idx="39">
                  <c:v>Aprovado no 1 PT</c:v>
                </c:pt>
                <c:pt idx="40">
                  <c:v>Aprovado no 1 PT</c:v>
                </c:pt>
                <c:pt idx="41">
                  <c:v>Aprovado no 2 PT</c:v>
                </c:pt>
                <c:pt idx="42">
                  <c:v>Aprovado no 1 PT</c:v>
                </c:pt>
                <c:pt idx="43">
                  <c:v>Aprovado no 2 PT</c:v>
                </c:pt>
                <c:pt idx="44">
                  <c:v>Aprovado no 1 PT</c:v>
                </c:pt>
                <c:pt idx="45">
                  <c:v>Aprovado no 2 PT</c:v>
                </c:pt>
                <c:pt idx="46">
                  <c:v>Aprovado no 1 PT</c:v>
                </c:pt>
                <c:pt idx="47">
                  <c:v>Aprovado no 2 PT</c:v>
                </c:pt>
                <c:pt idx="48">
                  <c:v>Aprovado no 1 PT</c:v>
                </c:pt>
                <c:pt idx="49">
                  <c:v>Aprovado no 1 PT</c:v>
                </c:pt>
                <c:pt idx="50">
                  <c:v>Aprovado no 1 PT</c:v>
                </c:pt>
                <c:pt idx="51">
                  <c:v>Aprovado no 2 PT</c:v>
                </c:pt>
                <c:pt idx="52">
                  <c:v>Aprovado no 1 PT</c:v>
                </c:pt>
                <c:pt idx="53">
                  <c:v>Aprovado no 1 PT</c:v>
                </c:pt>
                <c:pt idx="54">
                  <c:v>Aprovado no 1 PT</c:v>
                </c:pt>
                <c:pt idx="55">
                  <c:v>Aprovado no 2 PT</c:v>
                </c:pt>
                <c:pt idx="56">
                  <c:v>Pendência</c:v>
                </c:pt>
                <c:pt idx="57">
                  <c:v>Aprovado no 2 PT</c:v>
                </c:pt>
                <c:pt idx="58">
                  <c:v>Aprovado no 1 PT</c:v>
                </c:pt>
                <c:pt idx="60">
                  <c:v>Aprovado no 2 PT</c:v>
                </c:pt>
                <c:pt idx="61">
                  <c:v>Aprovado no 1 PT</c:v>
                </c:pt>
                <c:pt idx="62">
                  <c:v>NA</c:v>
                </c:pt>
                <c:pt idx="63">
                  <c:v>Aprovado no 2 PT</c:v>
                </c:pt>
                <c:pt idx="64">
                  <c:v>Aprovado no 1 PT</c:v>
                </c:pt>
                <c:pt idx="65">
                  <c:v>Aprovado no 1 PT</c:v>
                </c:pt>
                <c:pt idx="66">
                  <c:v>Aprovado no 4 PT</c:v>
                </c:pt>
                <c:pt idx="67">
                  <c:v>Aprovado no 3 PT</c:v>
                </c:pt>
                <c:pt idx="68">
                  <c:v>Aprovado no 1 PT</c:v>
                </c:pt>
                <c:pt idx="69">
                  <c:v>Aprovado no 1 PT</c:v>
                </c:pt>
                <c:pt idx="70">
                  <c:v>Aprovado no 3 PT</c:v>
                </c:pt>
                <c:pt idx="71">
                  <c:v>Aprovado no 1 PT</c:v>
                </c:pt>
                <c:pt idx="72">
                  <c:v>Aprovado no 2 PT</c:v>
                </c:pt>
                <c:pt idx="73">
                  <c:v>Aprovado no 1 PT</c:v>
                </c:pt>
                <c:pt idx="74">
                  <c:v>Aprovado no 2 PT</c:v>
                </c:pt>
                <c:pt idx="75">
                  <c:v>Pendência</c:v>
                </c:pt>
                <c:pt idx="76">
                  <c:v>Aprovado no 1 PT</c:v>
                </c:pt>
                <c:pt idx="77">
                  <c:v>Aprovado no 1 PT</c:v>
                </c:pt>
                <c:pt idx="78">
                  <c:v>Aprovado no 1 PT</c:v>
                </c:pt>
                <c:pt idx="79">
                  <c:v>Aprovado no 2 PT</c:v>
                </c:pt>
                <c:pt idx="80">
                  <c:v>Aprovado no 1 PT</c:v>
                </c:pt>
                <c:pt idx="81">
                  <c:v>Aprovado no 1 PT</c:v>
                </c:pt>
                <c:pt idx="82">
                  <c:v>Aprovado no 1 PT</c:v>
                </c:pt>
                <c:pt idx="83">
                  <c:v>Aprovado no 1 PT</c:v>
                </c:pt>
                <c:pt idx="84">
                  <c:v>Pendência</c:v>
                </c:pt>
                <c:pt idx="85">
                  <c:v>Pendência</c:v>
                </c:pt>
                <c:pt idx="86">
                  <c:v>Aprovado no 3 PT</c:v>
                </c:pt>
                <c:pt idx="87">
                  <c:v>NA</c:v>
                </c:pt>
                <c:pt idx="88">
                  <c:v>NA</c:v>
                </c:pt>
              </c:strCache>
            </c:strRef>
          </c:cat>
          <c:val>
            <c:numRef>
              <c:f>'GRÁFICOS 2025'!$I$2:$I$90</c:f>
              <c:numCache>
                <c:formatCode>General</c:formatCode>
                <c:ptCount val="8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numCache>
            </c:numRef>
          </c:val>
          <c:extLst>
            <c:ext xmlns:c16="http://schemas.microsoft.com/office/drawing/2014/chart" uri="{C3380CC4-5D6E-409C-BE32-E72D297353CC}">
              <c16:uniqueId val="{00000000-9212-47C7-85FD-A4CEAFAAA799}"/>
            </c:ext>
          </c:extLst>
        </c:ser>
        <c:dLbls>
          <c:showLegendKey val="0"/>
          <c:showVal val="0"/>
          <c:showCatName val="0"/>
          <c:showSerName val="0"/>
          <c:showPercent val="0"/>
          <c:showBubbleSize val="0"/>
        </c:dLbls>
        <c:gapWidth val="150"/>
        <c:axId val="199285243"/>
        <c:axId val="1494866555"/>
      </c:barChart>
      <c:catAx>
        <c:axId val="19928524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94866555"/>
        <c:crosses val="autoZero"/>
        <c:auto val="1"/>
        <c:lblAlgn val="ctr"/>
        <c:lblOffset val="100"/>
        <c:noMultiLvlLbl val="1"/>
      </c:catAx>
      <c:valAx>
        <c:axId val="1494866555"/>
        <c:scaling>
          <c:orientation val="minMax"/>
        </c:scaling>
        <c:delete val="0"/>
        <c:axPos val="l"/>
        <c:numFmt formatCode="General" sourceLinked="1"/>
        <c:majorTickMark val="cross"/>
        <c:minorTickMark val="cross"/>
        <c:tickLblPos val="nextTo"/>
        <c:spPr>
          <a:ln>
            <a:noFill/>
          </a:ln>
        </c:spPr>
        <c:crossAx val="19928524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Data de envio da FOLHA ROSTO, PTECNICO ou TERMO ANUN p/ pesquisador</a:t>
            </a:r>
          </a:p>
        </c:rich>
      </c:tx>
      <c:overlay val="0"/>
    </c:title>
    <c:autoTitleDeleted val="0"/>
    <c:plotArea>
      <c:layout/>
      <c:barChart>
        <c:barDir val="col"/>
        <c:grouping val="clustered"/>
        <c:varyColors val="1"/>
        <c:ser>
          <c:idx val="0"/>
          <c:order val="0"/>
          <c:tx>
            <c:strRef>
              <c:f>'GRÁFICOS 2025'!$J$1</c:f>
              <c:strCache>
                <c:ptCount val="1"/>
                <c:pt idx="0">
                  <c:v>Data da assinatura da FOLHA ROSTO  OU do  TERMO DE ANUENCIA</c:v>
                </c:pt>
              </c:strCache>
            </c:strRef>
          </c:tx>
          <c:spPr>
            <a:solidFill>
              <a:srgbClr val="4285F4"/>
            </a:solidFill>
            <a:ln cmpd="sng">
              <a:solidFill>
                <a:srgbClr val="000000"/>
              </a:solidFill>
            </a:ln>
          </c:spPr>
          <c:invertIfNegative val="1"/>
          <c:val>
            <c:numRef>
              <c:f>'GRÁFICOS 2025'!$J$2:$J$90</c:f>
              <c:numCache>
                <c:formatCode>General</c:formatCode>
                <c:ptCount val="89"/>
                <c:pt idx="0">
                  <c:v>0</c:v>
                </c:pt>
                <c:pt idx="1">
                  <c:v>0</c:v>
                </c:pt>
                <c:pt idx="2" formatCode="dd/mm/yyyy">
                  <c:v>45652</c:v>
                </c:pt>
                <c:pt idx="3" formatCode="dd/mm/yyyy">
                  <c:v>45602</c:v>
                </c:pt>
                <c:pt idx="4" formatCode="dd/mm/yyyy">
                  <c:v>45667</c:v>
                </c:pt>
                <c:pt idx="5">
                  <c:v>0</c:v>
                </c:pt>
                <c:pt idx="6" formatCode="dd/mm/yyyy">
                  <c:v>45671</c:v>
                </c:pt>
                <c:pt idx="7" formatCode="dd/mm/yyyy">
                  <c:v>45671</c:v>
                </c:pt>
                <c:pt idx="8" formatCode="dd/mm/yyyy">
                  <c:v>45693</c:v>
                </c:pt>
                <c:pt idx="9" formatCode="dd/mm/yyyy">
                  <c:v>45716</c:v>
                </c:pt>
                <c:pt idx="10" formatCode="dd/mm/yyyy">
                  <c:v>45709</c:v>
                </c:pt>
                <c:pt idx="11" formatCode="dd/mm/yyyy">
                  <c:v>45842</c:v>
                </c:pt>
                <c:pt idx="12" formatCode="dd/mm/yyyy">
                  <c:v>45743</c:v>
                </c:pt>
                <c:pt idx="13" formatCode="dd/mm/yyyy">
                  <c:v>45760</c:v>
                </c:pt>
                <c:pt idx="14" formatCode="dd/mm/yyyy">
                  <c:v>45713</c:v>
                </c:pt>
                <c:pt idx="15" formatCode="dd/mm/yyyy">
                  <c:v>45695</c:v>
                </c:pt>
                <c:pt idx="16">
                  <c:v>0</c:v>
                </c:pt>
                <c:pt idx="17" formatCode="dd/mm/yyyy">
                  <c:v>45804</c:v>
                </c:pt>
                <c:pt idx="18" formatCode="dd/mm/yyyy">
                  <c:v>45304</c:v>
                </c:pt>
                <c:pt idx="19" formatCode="dd/mm/yyyy">
                  <c:v>45670</c:v>
                </c:pt>
                <c:pt idx="20" formatCode="dd/mm/yyyy">
                  <c:v>45671</c:v>
                </c:pt>
                <c:pt idx="21" formatCode="dd/mm/yyyy">
                  <c:v>45670</c:v>
                </c:pt>
                <c:pt idx="22" formatCode="dd/mm/yyyy">
                  <c:v>45671</c:v>
                </c:pt>
                <c:pt idx="23" formatCode="dd/mm/yyyy">
                  <c:v>45709</c:v>
                </c:pt>
                <c:pt idx="24" formatCode="dd/mm/yyyy">
                  <c:v>45709</c:v>
                </c:pt>
                <c:pt idx="25" formatCode="dd/mm/yyyy">
                  <c:v>45716</c:v>
                </c:pt>
                <c:pt idx="26">
                  <c:v>0</c:v>
                </c:pt>
                <c:pt idx="27" formatCode="dd/mm/yyyy">
                  <c:v>45734</c:v>
                </c:pt>
                <c:pt idx="28" formatCode="dd/mm/yyyy">
                  <c:v>45693</c:v>
                </c:pt>
                <c:pt idx="29" formatCode="dd/mm/yyyy">
                  <c:v>45713</c:v>
                </c:pt>
                <c:pt idx="30" formatCode="dd/mm/yyyy">
                  <c:v>45709</c:v>
                </c:pt>
                <c:pt idx="31" formatCode="dd/mm/yyyy">
                  <c:v>45709</c:v>
                </c:pt>
                <c:pt idx="32" formatCode="dd/mm/yyyy">
                  <c:v>45743</c:v>
                </c:pt>
                <c:pt idx="33" formatCode="dd/mm/yyyy">
                  <c:v>45693</c:v>
                </c:pt>
                <c:pt idx="34" formatCode="dd/mm/yyyy">
                  <c:v>45693</c:v>
                </c:pt>
                <c:pt idx="35">
                  <c:v>0</c:v>
                </c:pt>
                <c:pt idx="36" formatCode="dd/mm/yyyy">
                  <c:v>45698</c:v>
                </c:pt>
                <c:pt idx="37" formatCode="dd/mm/yyyy">
                  <c:v>45713</c:v>
                </c:pt>
                <c:pt idx="38" formatCode="dd/mm/yyyy">
                  <c:v>45760</c:v>
                </c:pt>
                <c:pt idx="39" formatCode="dd/mm/yyyy">
                  <c:v>45715</c:v>
                </c:pt>
                <c:pt idx="40" formatCode="dd/mm/yyyy">
                  <c:v>45713</c:v>
                </c:pt>
                <c:pt idx="41" formatCode="dd/mm/yyyy">
                  <c:v>45713</c:v>
                </c:pt>
                <c:pt idx="42" formatCode="dd/mm/yyyy">
                  <c:v>45713</c:v>
                </c:pt>
                <c:pt idx="43" formatCode="dd/mm/yyyy">
                  <c:v>45760</c:v>
                </c:pt>
                <c:pt idx="44" formatCode="dd/mm/yyyy">
                  <c:v>45734</c:v>
                </c:pt>
                <c:pt idx="45" formatCode="dd/mm/yyyy">
                  <c:v>45715</c:v>
                </c:pt>
                <c:pt idx="46" formatCode="dd/mm/yyyy">
                  <c:v>45713</c:v>
                </c:pt>
                <c:pt idx="47" formatCode="dd/mm/yyyy">
                  <c:v>45716</c:v>
                </c:pt>
                <c:pt idx="48" formatCode="dd/mm/yyyy">
                  <c:v>45734</c:v>
                </c:pt>
                <c:pt idx="49" formatCode="dd/mm/yyyy">
                  <c:v>45734</c:v>
                </c:pt>
                <c:pt idx="50" formatCode="dd/mm/yyyy">
                  <c:v>45716</c:v>
                </c:pt>
                <c:pt idx="51" formatCode="dd/mm/yyyy">
                  <c:v>45707</c:v>
                </c:pt>
                <c:pt idx="52" formatCode="dd/mm/yyyy">
                  <c:v>45734</c:v>
                </c:pt>
                <c:pt idx="53" formatCode="dd/mm/yyyy">
                  <c:v>45743</c:v>
                </c:pt>
                <c:pt idx="54" formatCode="dd/mm/yyyy">
                  <c:v>45743</c:v>
                </c:pt>
                <c:pt idx="55" formatCode="dd/mm/yyyy">
                  <c:v>45760</c:v>
                </c:pt>
                <c:pt idx="56">
                  <c:v>0</c:v>
                </c:pt>
                <c:pt idx="57" formatCode="dd/mm/yyyy">
                  <c:v>45776</c:v>
                </c:pt>
                <c:pt idx="58" formatCode="dd/mm/yyyy">
                  <c:v>45776</c:v>
                </c:pt>
                <c:pt idx="59">
                  <c:v>0</c:v>
                </c:pt>
                <c:pt idx="60" formatCode="dd/mm/yyyy">
                  <c:v>45835</c:v>
                </c:pt>
                <c:pt idx="61" formatCode="dd/mm/yyyy">
                  <c:v>45823</c:v>
                </c:pt>
                <c:pt idx="62">
                  <c:v>0</c:v>
                </c:pt>
                <c:pt idx="63">
                  <c:v>0</c:v>
                </c:pt>
                <c:pt idx="64" formatCode="dd/mm/yyyy">
                  <c:v>45693</c:v>
                </c:pt>
                <c:pt idx="65">
                  <c:v>0</c:v>
                </c:pt>
                <c:pt idx="66" formatCode="dd/mm/yyyy">
                  <c:v>45846</c:v>
                </c:pt>
                <c:pt idx="67" formatCode="dd/mm/yyyy">
                  <c:v>45835</c:v>
                </c:pt>
                <c:pt idx="68" formatCode="dd/mm/yyyy">
                  <c:v>45824</c:v>
                </c:pt>
                <c:pt idx="69" formatCode="dd/mm/yyyy">
                  <c:v>45823</c:v>
                </c:pt>
                <c:pt idx="70" formatCode="dd/mm/yyyy">
                  <c:v>45866</c:v>
                </c:pt>
                <c:pt idx="71" formatCode="dd/mm/yyyy">
                  <c:v>45824</c:v>
                </c:pt>
                <c:pt idx="72" formatCode="dd/mm/yyyy">
                  <c:v>45846</c:v>
                </c:pt>
                <c:pt idx="73" formatCode="dd/mm/yyyy">
                  <c:v>45846</c:v>
                </c:pt>
                <c:pt idx="74" formatCode="dd/mm/yyyy">
                  <c:v>45915</c:v>
                </c:pt>
                <c:pt idx="75">
                  <c:v>0</c:v>
                </c:pt>
                <c:pt idx="76" formatCode="d/m/yyyy">
                  <c:v>45978</c:v>
                </c:pt>
                <c:pt idx="77" formatCode="dd/mm/yyyy">
                  <c:v>45866</c:v>
                </c:pt>
                <c:pt idx="78" formatCode="dd/mm/yyyy">
                  <c:v>45877</c:v>
                </c:pt>
                <c:pt idx="79" formatCode="dd/mm/yyyy">
                  <c:v>45898</c:v>
                </c:pt>
                <c:pt idx="80" formatCode="dd/mm/yyyy">
                  <c:v>45896</c:v>
                </c:pt>
                <c:pt idx="81" formatCode="dd/mm/yyyy">
                  <c:v>45915</c:v>
                </c:pt>
                <c:pt idx="82" formatCode="dd/mm/yyyy">
                  <c:v>45894</c:v>
                </c:pt>
                <c:pt idx="83" formatCode="dd/mm/yyyy">
                  <c:v>45932</c:v>
                </c:pt>
                <c:pt idx="84">
                  <c:v>0</c:v>
                </c:pt>
                <c:pt idx="85">
                  <c:v>0</c:v>
                </c:pt>
                <c:pt idx="86" formatCode="d/m/yyyy">
                  <c:v>45960</c:v>
                </c:pt>
                <c:pt idx="87">
                  <c:v>0</c:v>
                </c:pt>
                <c:pt idx="8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B22-426C-9194-A2E13022AE1D}"/>
            </c:ext>
          </c:extLst>
        </c:ser>
        <c:dLbls>
          <c:showLegendKey val="0"/>
          <c:showVal val="0"/>
          <c:showCatName val="0"/>
          <c:showSerName val="0"/>
          <c:showPercent val="0"/>
          <c:showBubbleSize val="0"/>
        </c:dLbls>
        <c:gapWidth val="150"/>
        <c:axId val="1771224098"/>
        <c:axId val="212198001"/>
      </c:barChart>
      <c:catAx>
        <c:axId val="177122409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12198001"/>
        <c:crosses val="autoZero"/>
        <c:auto val="1"/>
        <c:lblAlgn val="ctr"/>
        <c:lblOffset val="100"/>
        <c:noMultiLvlLbl val="1"/>
      </c:catAx>
      <c:valAx>
        <c:axId val="2121980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Data de envio da FOLHA ROSTO, PTECNICO ou TERMO ANUN p/ pesquisador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7122409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Tempo de tramitação CEP APÓS ENVIO PT PARA PESQ</a:t>
            </a:r>
          </a:p>
        </c:rich>
      </c:tx>
      <c:overlay val="0"/>
    </c:title>
    <c:autoTitleDeleted val="0"/>
    <c:plotArea>
      <c:layout/>
      <c:barChart>
        <c:barDir val="col"/>
        <c:grouping val="clustered"/>
        <c:varyColors val="1"/>
        <c:ser>
          <c:idx val="0"/>
          <c:order val="0"/>
          <c:tx>
            <c:strRef>
              <c:f>'GRÁFICOS 2025'!$K$1</c:f>
              <c:strCache>
                <c:ptCount val="1"/>
                <c:pt idx="0">
                  <c:v>PROJETOS EXTERNOS     Inserir a data do envio do PTECNICO FINAL para o pesquisadores externos</c:v>
                </c:pt>
              </c:strCache>
            </c:strRef>
          </c:tx>
          <c:invertIfNegative val="1"/>
          <c:cat>
            <c:strRef>
              <c:f>'GRÁFICOS 2025'!$K$2:$K$90</c:f>
              <c:strCache>
                <c:ptCount val="89"/>
                <c:pt idx="0">
                  <c:v>NA</c:v>
                </c:pt>
                <c:pt idx="1">
                  <c:v>NA</c:v>
                </c:pt>
                <c:pt idx="2">
                  <c:v>15/09/2025</c:v>
                </c:pt>
                <c:pt idx="3">
                  <c:v>27/02/2025</c:v>
                </c:pt>
                <c:pt idx="4">
                  <c:v>06/05/2025</c:v>
                </c:pt>
                <c:pt idx="5">
                  <c:v>NA</c:v>
                </c:pt>
                <c:pt idx="6">
                  <c:v>NA</c:v>
                </c:pt>
                <c:pt idx="7">
                  <c:v>NA</c:v>
                </c:pt>
                <c:pt idx="8">
                  <c:v>NA</c:v>
                </c:pt>
                <c:pt idx="9">
                  <c:v>NA</c:v>
                </c:pt>
                <c:pt idx="10">
                  <c:v>NA</c:v>
                </c:pt>
                <c:pt idx="11">
                  <c:v>07/072025</c:v>
                </c:pt>
                <c:pt idx="12">
                  <c:v>NA</c:v>
                </c:pt>
                <c:pt idx="13">
                  <c:v>NA</c:v>
                </c:pt>
                <c:pt idx="14">
                  <c:v>NA</c:v>
                </c:pt>
                <c:pt idx="15">
                  <c:v>14/10/2025</c:v>
                </c:pt>
                <c:pt idx="16">
                  <c:v>NA</c:v>
                </c:pt>
                <c:pt idx="17">
                  <c:v>NA</c:v>
                </c:pt>
                <c:pt idx="18">
                  <c:v>NA</c:v>
                </c:pt>
                <c:pt idx="19">
                  <c:v>NA</c:v>
                </c:pt>
                <c:pt idx="20">
                  <c:v>NA</c:v>
                </c:pt>
                <c:pt idx="21">
                  <c:v>NA</c:v>
                </c:pt>
                <c:pt idx="22">
                  <c:v>10/02/2025</c:v>
                </c:pt>
                <c:pt idx="23">
                  <c:v>NA</c:v>
                </c:pt>
                <c:pt idx="24">
                  <c:v>NA</c:v>
                </c:pt>
                <c:pt idx="25">
                  <c:v>NA</c:v>
                </c:pt>
                <c:pt idx="26">
                  <c:v>NA</c:v>
                </c:pt>
                <c:pt idx="27">
                  <c:v>29/10/2025</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28/04/2025</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01/12/2025</c:v>
                </c:pt>
                <c:pt idx="78">
                  <c:v>NA</c:v>
                </c:pt>
                <c:pt idx="79">
                  <c:v>NA</c:v>
                </c:pt>
                <c:pt idx="80">
                  <c:v>NA</c:v>
                </c:pt>
                <c:pt idx="81">
                  <c:v>NA</c:v>
                </c:pt>
                <c:pt idx="82">
                  <c:v>NA</c:v>
                </c:pt>
                <c:pt idx="83">
                  <c:v>NA</c:v>
                </c:pt>
                <c:pt idx="84">
                  <c:v>NA</c:v>
                </c:pt>
                <c:pt idx="85">
                  <c:v>NA</c:v>
                </c:pt>
                <c:pt idx="86">
                  <c:v>NA</c:v>
                </c:pt>
                <c:pt idx="87">
                  <c:v>NA</c:v>
                </c:pt>
                <c:pt idx="88">
                  <c:v>NA</c:v>
                </c:pt>
              </c:strCache>
            </c:strRef>
          </c:cat>
          <c:val>
            <c:numRef>
              <c:f>'GRÁFICOS 2025'!$K$2:$K$90</c:f>
              <c:numCache>
                <c:formatCode>General</c:formatCode>
                <c:ptCount val="89"/>
                <c:pt idx="0">
                  <c:v>0</c:v>
                </c:pt>
                <c:pt idx="1">
                  <c:v>0</c:v>
                </c:pt>
                <c:pt idx="2" formatCode="dd/mm/yyyy">
                  <c:v>45915</c:v>
                </c:pt>
                <c:pt idx="3" formatCode="dd/mm/yyyy">
                  <c:v>45715</c:v>
                </c:pt>
                <c:pt idx="4" formatCode="dd/mm/yyyy">
                  <c:v>45783</c:v>
                </c:pt>
                <c:pt idx="5">
                  <c:v>0</c:v>
                </c:pt>
                <c:pt idx="6">
                  <c:v>0</c:v>
                </c:pt>
                <c:pt idx="7">
                  <c:v>0</c:v>
                </c:pt>
                <c:pt idx="8">
                  <c:v>0</c:v>
                </c:pt>
                <c:pt idx="9">
                  <c:v>0</c:v>
                </c:pt>
                <c:pt idx="10">
                  <c:v>0</c:v>
                </c:pt>
                <c:pt idx="11">
                  <c:v>0</c:v>
                </c:pt>
                <c:pt idx="12">
                  <c:v>0</c:v>
                </c:pt>
                <c:pt idx="13">
                  <c:v>0</c:v>
                </c:pt>
                <c:pt idx="14">
                  <c:v>0</c:v>
                </c:pt>
                <c:pt idx="15" formatCode="d/m/yyyy">
                  <c:v>45944</c:v>
                </c:pt>
                <c:pt idx="16">
                  <c:v>0</c:v>
                </c:pt>
                <c:pt idx="17">
                  <c:v>0</c:v>
                </c:pt>
                <c:pt idx="18">
                  <c:v>0</c:v>
                </c:pt>
                <c:pt idx="19">
                  <c:v>0</c:v>
                </c:pt>
                <c:pt idx="20">
                  <c:v>0</c:v>
                </c:pt>
                <c:pt idx="21">
                  <c:v>0</c:v>
                </c:pt>
                <c:pt idx="22" formatCode="dd/mm/yyyy">
                  <c:v>45698</c:v>
                </c:pt>
                <c:pt idx="23">
                  <c:v>0</c:v>
                </c:pt>
                <c:pt idx="24">
                  <c:v>0</c:v>
                </c:pt>
                <c:pt idx="25">
                  <c:v>0</c:v>
                </c:pt>
                <c:pt idx="26">
                  <c:v>0</c:v>
                </c:pt>
                <c:pt idx="27" formatCode="d/m/yyyy">
                  <c:v>45959</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formatCode="dd/mm/yyyy">
                  <c:v>45775</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formatCode="dd/mm/yyyy">
                  <c:v>45992</c:v>
                </c:pt>
                <c:pt idx="78">
                  <c:v>0</c:v>
                </c:pt>
                <c:pt idx="79">
                  <c:v>0</c:v>
                </c:pt>
                <c:pt idx="80">
                  <c:v>0</c:v>
                </c:pt>
                <c:pt idx="81">
                  <c:v>0</c:v>
                </c:pt>
                <c:pt idx="82">
                  <c:v>0</c:v>
                </c:pt>
                <c:pt idx="83">
                  <c:v>0</c:v>
                </c:pt>
                <c:pt idx="84">
                  <c:v>0</c:v>
                </c:pt>
                <c:pt idx="85">
                  <c:v>0</c:v>
                </c:pt>
                <c:pt idx="86">
                  <c:v>0</c:v>
                </c:pt>
                <c:pt idx="87">
                  <c:v>0</c:v>
                </c:pt>
                <c:pt idx="88">
                  <c:v>0</c:v>
                </c:pt>
              </c:numCache>
            </c:numRef>
          </c:val>
          <c:extLst>
            <c:ext xmlns:c16="http://schemas.microsoft.com/office/drawing/2014/chart" uri="{C3380CC4-5D6E-409C-BE32-E72D297353CC}">
              <c16:uniqueId val="{00000000-D7A0-47EA-9D20-C3274C932852}"/>
            </c:ext>
          </c:extLst>
        </c:ser>
        <c:dLbls>
          <c:showLegendKey val="0"/>
          <c:showVal val="0"/>
          <c:showCatName val="0"/>
          <c:showSerName val="0"/>
          <c:showPercent val="0"/>
          <c:showBubbleSize val="0"/>
        </c:dLbls>
        <c:gapWidth val="150"/>
        <c:axId val="2022602747"/>
        <c:axId val="178195379"/>
      </c:barChart>
      <c:catAx>
        <c:axId val="202260274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8195379"/>
        <c:crosses val="autoZero"/>
        <c:auto val="1"/>
        <c:lblAlgn val="ctr"/>
        <c:lblOffset val="100"/>
        <c:noMultiLvlLbl val="1"/>
      </c:catAx>
      <c:valAx>
        <c:axId val="178195379"/>
        <c:scaling>
          <c:orientation val="minMax"/>
        </c:scaling>
        <c:delete val="0"/>
        <c:axPos val="l"/>
        <c:numFmt formatCode="General" sourceLinked="1"/>
        <c:majorTickMark val="cross"/>
        <c:minorTickMark val="cross"/>
        <c:tickLblPos val="nextTo"/>
        <c:spPr>
          <a:ln>
            <a:noFill/>
          </a:ln>
        </c:spPr>
        <c:crossAx val="20226027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A4C2F4"/>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Tempo TOTAL DE TRAMITAÇÃO DATA DE APROVAÇÃO PELO CEP FHEMIG após criação e assinatura do memorando</a:t>
            </a:r>
          </a:p>
        </c:rich>
      </c:tx>
      <c:overlay val="0"/>
    </c:title>
    <c:autoTitleDeleted val="0"/>
    <c:plotArea>
      <c:layout/>
      <c:barChart>
        <c:barDir val="col"/>
        <c:grouping val="clustered"/>
        <c:varyColors val="1"/>
        <c:ser>
          <c:idx val="0"/>
          <c:order val="0"/>
          <c:tx>
            <c:strRef>
              <c:f>'GRÁFICOS 2025'!$L$1</c:f>
              <c:strCache>
                <c:ptCount val="1"/>
                <c:pt idx="0">
                  <c:v> DATA DE aprovação do CEP FHEMIG</c:v>
                </c:pt>
              </c:strCache>
            </c:strRef>
          </c:tx>
          <c:invertIfNegative val="1"/>
          <c:cat>
            <c:strRef>
              <c:f>'GRÁFICOS 2025'!$L$2:$L$90</c:f>
              <c:strCache>
                <c:ptCount val="89"/>
                <c:pt idx="0">
                  <c:v>01/06/2025</c:v>
                </c:pt>
                <c:pt idx="1">
                  <c:v>04/11/2024</c:v>
                </c:pt>
                <c:pt idx="2">
                  <c:v>12/10/2025</c:v>
                </c:pt>
                <c:pt idx="3">
                  <c:v>23/04/2025</c:v>
                </c:pt>
                <c:pt idx="4">
                  <c:v>NA</c:v>
                </c:pt>
                <c:pt idx="5">
                  <c:v>NA</c:v>
                </c:pt>
                <c:pt idx="6">
                  <c:v>NA</c:v>
                </c:pt>
                <c:pt idx="7">
                  <c:v>NA</c:v>
                </c:pt>
                <c:pt idx="8">
                  <c:v>NA</c:v>
                </c:pt>
                <c:pt idx="9">
                  <c:v>21/03/2025</c:v>
                </c:pt>
                <c:pt idx="10">
                  <c:v>NA</c:v>
                </c:pt>
                <c:pt idx="11">
                  <c:v>NA</c:v>
                </c:pt>
                <c:pt idx="12">
                  <c:v>NA</c:v>
                </c:pt>
                <c:pt idx="13">
                  <c:v>24/04/2025</c:v>
                </c:pt>
                <c:pt idx="14">
                  <c:v>NA</c:v>
                </c:pt>
                <c:pt idx="16">
                  <c:v>NA</c:v>
                </c:pt>
                <c:pt idx="17">
                  <c:v>06/06/2025</c:v>
                </c:pt>
                <c:pt idx="18">
                  <c:v>NA</c:v>
                </c:pt>
                <c:pt idx="19">
                  <c:v>06/02/2025</c:v>
                </c:pt>
                <c:pt idx="20">
                  <c:v>NA</c:v>
                </c:pt>
                <c:pt idx="21">
                  <c:v>NA</c:v>
                </c:pt>
                <c:pt idx="22">
                  <c:v>23/04/2025</c:v>
                </c:pt>
                <c:pt idx="23">
                  <c:v>21/03/2025</c:v>
                </c:pt>
                <c:pt idx="24">
                  <c:v>NA</c:v>
                </c:pt>
                <c:pt idx="25">
                  <c:v>07/03/2025</c:v>
                </c:pt>
                <c:pt idx="26">
                  <c:v>25/03/2025</c:v>
                </c:pt>
                <c:pt idx="27">
                  <c:v>NA</c:v>
                </c:pt>
                <c:pt idx="28">
                  <c:v>NA</c:v>
                </c:pt>
                <c:pt idx="29">
                  <c:v>22/04/2025</c:v>
                </c:pt>
                <c:pt idx="30">
                  <c:v>07/03/2025</c:v>
                </c:pt>
                <c:pt idx="31">
                  <c:v>06/03/2025</c:v>
                </c:pt>
                <c:pt idx="32">
                  <c:v>01/04/2025</c:v>
                </c:pt>
                <c:pt idx="33">
                  <c:v>18/05/2025</c:v>
                </c:pt>
                <c:pt idx="34">
                  <c:v>NA</c:v>
                </c:pt>
                <c:pt idx="35">
                  <c:v>NA</c:v>
                </c:pt>
                <c:pt idx="36">
                  <c:v>20/02/2025</c:v>
                </c:pt>
                <c:pt idx="37">
                  <c:v>06/03/2025</c:v>
                </c:pt>
                <c:pt idx="38">
                  <c:v>18/05/2025</c:v>
                </c:pt>
                <c:pt idx="39">
                  <c:v>NA</c:v>
                </c:pt>
                <c:pt idx="40">
                  <c:v>04/04/2025</c:v>
                </c:pt>
                <c:pt idx="41">
                  <c:v>NA</c:v>
                </c:pt>
                <c:pt idx="42">
                  <c:v>NA</c:v>
                </c:pt>
                <c:pt idx="43">
                  <c:v>20/05/2025</c:v>
                </c:pt>
                <c:pt idx="44">
                  <c:v>NA</c:v>
                </c:pt>
                <c:pt idx="45">
                  <c:v>NA</c:v>
                </c:pt>
                <c:pt idx="46">
                  <c:v>NA</c:v>
                </c:pt>
                <c:pt idx="47">
                  <c:v>08/05/2025</c:v>
                </c:pt>
                <c:pt idx="48">
                  <c:v>18/02/2026</c:v>
                </c:pt>
                <c:pt idx="49">
                  <c:v>NA</c:v>
                </c:pt>
                <c:pt idx="50">
                  <c:v>03/04/2025</c:v>
                </c:pt>
                <c:pt idx="51">
                  <c:v>01/06/2025</c:v>
                </c:pt>
                <c:pt idx="52">
                  <c:v>03/04/2025</c:v>
                </c:pt>
                <c:pt idx="53">
                  <c:v>22/04/2025</c:v>
                </c:pt>
                <c:pt idx="54">
                  <c:v>18/05/2025</c:v>
                </c:pt>
                <c:pt idx="55">
                  <c:v>NA</c:v>
                </c:pt>
                <c:pt idx="56">
                  <c:v>NA</c:v>
                </c:pt>
                <c:pt idx="57">
                  <c:v>01/06/2025</c:v>
                </c:pt>
                <c:pt idx="58">
                  <c:v>06/06/2025</c:v>
                </c:pt>
                <c:pt idx="59">
                  <c:v>14/02/2025</c:v>
                </c:pt>
                <c:pt idx="60">
                  <c:v>NA</c:v>
                </c:pt>
                <c:pt idx="61">
                  <c:v>NA</c:v>
                </c:pt>
                <c:pt idx="62">
                  <c:v>NA</c:v>
                </c:pt>
                <c:pt idx="63">
                  <c:v>NA</c:v>
                </c:pt>
                <c:pt idx="64">
                  <c:v>07/03/2025</c:v>
                </c:pt>
                <c:pt idx="65">
                  <c:v>NA</c:v>
                </c:pt>
                <c:pt idx="66">
                  <c:v>NA</c:v>
                </c:pt>
                <c:pt idx="67">
                  <c:v>45848</c:v>
                </c:pt>
                <c:pt idx="68">
                  <c:v>27/06/2025</c:v>
                </c:pt>
                <c:pt idx="69">
                  <c:v>23/06/2025</c:v>
                </c:pt>
                <c:pt idx="70">
                  <c:v>22/08/2025</c:v>
                </c:pt>
                <c:pt idx="71">
                  <c:v>17/06/2025</c:v>
                </c:pt>
                <c:pt idx="72">
                  <c:v>NA</c:v>
                </c:pt>
                <c:pt idx="73">
                  <c:v>NA</c:v>
                </c:pt>
                <c:pt idx="74">
                  <c:v>NA</c:v>
                </c:pt>
                <c:pt idx="75">
                  <c:v>NA</c:v>
                </c:pt>
                <c:pt idx="76">
                  <c:v>NA</c:v>
                </c:pt>
                <c:pt idx="77">
                  <c:v>21/12/2025</c:v>
                </c:pt>
                <c:pt idx="78">
                  <c:v>12/09/2025</c:v>
                </c:pt>
                <c:pt idx="79">
                  <c:v>18/09/2025</c:v>
                </c:pt>
                <c:pt idx="80">
                  <c:v>18/09/2025</c:v>
                </c:pt>
                <c:pt idx="81">
                  <c:v>NA</c:v>
                </c:pt>
                <c:pt idx="82">
                  <c:v>15/09/2025</c:v>
                </c:pt>
                <c:pt idx="83">
                  <c:v>NA</c:v>
                </c:pt>
                <c:pt idx="84">
                  <c:v>NA</c:v>
                </c:pt>
                <c:pt idx="85">
                  <c:v>NA</c:v>
                </c:pt>
                <c:pt idx="86">
                  <c:v>NA</c:v>
                </c:pt>
                <c:pt idx="87">
                  <c:v>NA</c:v>
                </c:pt>
                <c:pt idx="88">
                  <c:v>NA</c:v>
                </c:pt>
              </c:strCache>
            </c:strRef>
          </c:cat>
          <c:val>
            <c:numRef>
              <c:f>'GRÁFICOS 2025'!$L$2:$L$90</c:f>
              <c:numCache>
                <c:formatCode>dd/mm/yyyy</c:formatCode>
                <c:ptCount val="89"/>
                <c:pt idx="0">
                  <c:v>45809</c:v>
                </c:pt>
                <c:pt idx="1">
                  <c:v>45600</c:v>
                </c:pt>
                <c:pt idx="2">
                  <c:v>45942</c:v>
                </c:pt>
                <c:pt idx="3">
                  <c:v>45770</c:v>
                </c:pt>
                <c:pt idx="4" formatCode="General">
                  <c:v>0</c:v>
                </c:pt>
                <c:pt idx="5" formatCode="General">
                  <c:v>0</c:v>
                </c:pt>
                <c:pt idx="6" formatCode="General">
                  <c:v>0</c:v>
                </c:pt>
                <c:pt idx="7" formatCode="General">
                  <c:v>0</c:v>
                </c:pt>
                <c:pt idx="8" formatCode="General">
                  <c:v>0</c:v>
                </c:pt>
                <c:pt idx="9">
                  <c:v>45737</c:v>
                </c:pt>
                <c:pt idx="10" formatCode="General">
                  <c:v>0</c:v>
                </c:pt>
                <c:pt idx="11" formatCode="General">
                  <c:v>0</c:v>
                </c:pt>
                <c:pt idx="12" formatCode="General">
                  <c:v>0</c:v>
                </c:pt>
                <c:pt idx="13">
                  <c:v>45771</c:v>
                </c:pt>
                <c:pt idx="14" formatCode="General">
                  <c:v>0</c:v>
                </c:pt>
                <c:pt idx="16" formatCode="General">
                  <c:v>0</c:v>
                </c:pt>
                <c:pt idx="17">
                  <c:v>45814</c:v>
                </c:pt>
                <c:pt idx="18" formatCode="General">
                  <c:v>0</c:v>
                </c:pt>
                <c:pt idx="19">
                  <c:v>45694</c:v>
                </c:pt>
                <c:pt idx="20" formatCode="General">
                  <c:v>0</c:v>
                </c:pt>
                <c:pt idx="21" formatCode="General">
                  <c:v>0</c:v>
                </c:pt>
                <c:pt idx="22">
                  <c:v>45770</c:v>
                </c:pt>
                <c:pt idx="23">
                  <c:v>45737</c:v>
                </c:pt>
                <c:pt idx="24" formatCode="General">
                  <c:v>0</c:v>
                </c:pt>
                <c:pt idx="25">
                  <c:v>45723</c:v>
                </c:pt>
                <c:pt idx="26">
                  <c:v>45741</c:v>
                </c:pt>
                <c:pt idx="27" formatCode="General">
                  <c:v>0</c:v>
                </c:pt>
                <c:pt idx="28" formatCode="General">
                  <c:v>0</c:v>
                </c:pt>
                <c:pt idx="29">
                  <c:v>45769</c:v>
                </c:pt>
                <c:pt idx="30">
                  <c:v>45723</c:v>
                </c:pt>
                <c:pt idx="31">
                  <c:v>45722</c:v>
                </c:pt>
                <c:pt idx="32">
                  <c:v>45748</c:v>
                </c:pt>
                <c:pt idx="33">
                  <c:v>45795</c:v>
                </c:pt>
                <c:pt idx="34" formatCode="General">
                  <c:v>0</c:v>
                </c:pt>
                <c:pt idx="35" formatCode="General">
                  <c:v>0</c:v>
                </c:pt>
                <c:pt idx="36">
                  <c:v>45708</c:v>
                </c:pt>
                <c:pt idx="37">
                  <c:v>45722</c:v>
                </c:pt>
                <c:pt idx="38">
                  <c:v>45795</c:v>
                </c:pt>
                <c:pt idx="39" formatCode="General">
                  <c:v>0</c:v>
                </c:pt>
                <c:pt idx="40">
                  <c:v>45751</c:v>
                </c:pt>
                <c:pt idx="41" formatCode="General">
                  <c:v>0</c:v>
                </c:pt>
                <c:pt idx="42" formatCode="General">
                  <c:v>0</c:v>
                </c:pt>
                <c:pt idx="43">
                  <c:v>45797</c:v>
                </c:pt>
                <c:pt idx="44" formatCode="General">
                  <c:v>0</c:v>
                </c:pt>
                <c:pt idx="45" formatCode="General">
                  <c:v>0</c:v>
                </c:pt>
                <c:pt idx="46" formatCode="General">
                  <c:v>0</c:v>
                </c:pt>
                <c:pt idx="47">
                  <c:v>45785</c:v>
                </c:pt>
                <c:pt idx="48">
                  <c:v>46071</c:v>
                </c:pt>
                <c:pt idx="49" formatCode="General">
                  <c:v>0</c:v>
                </c:pt>
                <c:pt idx="50">
                  <c:v>45750</c:v>
                </c:pt>
                <c:pt idx="51">
                  <c:v>45809</c:v>
                </c:pt>
                <c:pt idx="52">
                  <c:v>45750</c:v>
                </c:pt>
                <c:pt idx="53">
                  <c:v>45769</c:v>
                </c:pt>
                <c:pt idx="54">
                  <c:v>45795</c:v>
                </c:pt>
                <c:pt idx="55" formatCode="General">
                  <c:v>0</c:v>
                </c:pt>
                <c:pt idx="56" formatCode="General">
                  <c:v>0</c:v>
                </c:pt>
                <c:pt idx="57">
                  <c:v>45809</c:v>
                </c:pt>
                <c:pt idx="58">
                  <c:v>45814</c:v>
                </c:pt>
                <c:pt idx="59">
                  <c:v>45702</c:v>
                </c:pt>
                <c:pt idx="60" formatCode="General">
                  <c:v>0</c:v>
                </c:pt>
                <c:pt idx="61" formatCode="General">
                  <c:v>0</c:v>
                </c:pt>
                <c:pt idx="62" formatCode="General">
                  <c:v>0</c:v>
                </c:pt>
                <c:pt idx="63" formatCode="General">
                  <c:v>0</c:v>
                </c:pt>
                <c:pt idx="64">
                  <c:v>45723</c:v>
                </c:pt>
                <c:pt idx="65" formatCode="General">
                  <c:v>0</c:v>
                </c:pt>
                <c:pt idx="66" formatCode="General">
                  <c:v>0</c:v>
                </c:pt>
                <c:pt idx="67" formatCode="General">
                  <c:v>45848</c:v>
                </c:pt>
                <c:pt idx="68">
                  <c:v>45835</c:v>
                </c:pt>
                <c:pt idx="69">
                  <c:v>45831</c:v>
                </c:pt>
                <c:pt idx="70">
                  <c:v>45891</c:v>
                </c:pt>
                <c:pt idx="71">
                  <c:v>45825</c:v>
                </c:pt>
                <c:pt idx="72" formatCode="General">
                  <c:v>0</c:v>
                </c:pt>
                <c:pt idx="73" formatCode="General">
                  <c:v>0</c:v>
                </c:pt>
                <c:pt idx="74" formatCode="General">
                  <c:v>0</c:v>
                </c:pt>
                <c:pt idx="75" formatCode="General">
                  <c:v>0</c:v>
                </c:pt>
                <c:pt idx="76" formatCode="General">
                  <c:v>0</c:v>
                </c:pt>
                <c:pt idx="77" formatCode="d/m/yyyy">
                  <c:v>46012</c:v>
                </c:pt>
                <c:pt idx="78">
                  <c:v>45912</c:v>
                </c:pt>
                <c:pt idx="79">
                  <c:v>45918</c:v>
                </c:pt>
                <c:pt idx="80">
                  <c:v>45918</c:v>
                </c:pt>
                <c:pt idx="81" formatCode="General">
                  <c:v>0</c:v>
                </c:pt>
                <c:pt idx="82">
                  <c:v>45915</c:v>
                </c:pt>
                <c:pt idx="83" formatCode="General">
                  <c:v>0</c:v>
                </c:pt>
                <c:pt idx="84" formatCode="General">
                  <c:v>0</c:v>
                </c:pt>
                <c:pt idx="85" formatCode="General">
                  <c:v>0</c:v>
                </c:pt>
                <c:pt idx="86" formatCode="General">
                  <c:v>0</c:v>
                </c:pt>
                <c:pt idx="87" formatCode="General">
                  <c:v>0</c:v>
                </c:pt>
                <c:pt idx="88" formatCode="General">
                  <c:v>0</c:v>
                </c:pt>
              </c:numCache>
            </c:numRef>
          </c:val>
          <c:extLst>
            <c:ext xmlns:c16="http://schemas.microsoft.com/office/drawing/2014/chart" uri="{C3380CC4-5D6E-409C-BE32-E72D297353CC}">
              <c16:uniqueId val="{00000000-9D9C-4578-A80C-A43A342723F1}"/>
            </c:ext>
          </c:extLst>
        </c:ser>
        <c:dLbls>
          <c:showLegendKey val="0"/>
          <c:showVal val="0"/>
          <c:showCatName val="0"/>
          <c:showSerName val="0"/>
          <c:showPercent val="0"/>
          <c:showBubbleSize val="0"/>
        </c:dLbls>
        <c:gapWidth val="150"/>
        <c:axId val="711141304"/>
        <c:axId val="6863307"/>
      </c:barChart>
      <c:catAx>
        <c:axId val="7111413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863307"/>
        <c:crosses val="autoZero"/>
        <c:auto val="1"/>
        <c:lblAlgn val="ctr"/>
        <c:lblOffset val="100"/>
        <c:noMultiLvlLbl val="1"/>
      </c:catAx>
      <c:valAx>
        <c:axId val="6863307"/>
        <c:scaling>
          <c:orientation val="minMax"/>
        </c:scaling>
        <c:delete val="0"/>
        <c:axPos val="l"/>
        <c:numFmt formatCode="dd/mm/yyyy" sourceLinked="1"/>
        <c:majorTickMark val="cross"/>
        <c:minorTickMark val="cross"/>
        <c:tickLblPos val="nextTo"/>
        <c:spPr>
          <a:ln>
            <a:noFill/>
          </a:ln>
        </c:spPr>
        <c:crossAx val="71114130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Propósito da pesquisa</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6716-4DEC-9EBB-A6910ADE7324}"/>
              </c:ext>
            </c:extLst>
          </c:dPt>
          <c:dPt>
            <c:idx val="1"/>
            <c:bubble3D val="0"/>
            <c:spPr>
              <a:solidFill>
                <a:schemeClr val="accent2"/>
              </a:solidFill>
            </c:spPr>
            <c:extLst>
              <c:ext xmlns:c16="http://schemas.microsoft.com/office/drawing/2014/chart" uri="{C3380CC4-5D6E-409C-BE32-E72D297353CC}">
                <c16:uniqueId val="{00000003-6716-4DEC-9EBB-A6910ADE7324}"/>
              </c:ext>
            </c:extLst>
          </c:dPt>
          <c:dPt>
            <c:idx val="2"/>
            <c:bubble3D val="0"/>
            <c:spPr>
              <a:solidFill>
                <a:schemeClr val="accent3"/>
              </a:solidFill>
            </c:spPr>
            <c:extLst>
              <c:ext xmlns:c16="http://schemas.microsoft.com/office/drawing/2014/chart" uri="{C3380CC4-5D6E-409C-BE32-E72D297353CC}">
                <c16:uniqueId val="{00000005-6716-4DEC-9EBB-A6910ADE7324}"/>
              </c:ext>
            </c:extLst>
          </c:dPt>
          <c:dPt>
            <c:idx val="3"/>
            <c:bubble3D val="0"/>
            <c:spPr>
              <a:solidFill>
                <a:schemeClr val="accent4"/>
              </a:solidFill>
            </c:spPr>
            <c:extLst>
              <c:ext xmlns:c16="http://schemas.microsoft.com/office/drawing/2014/chart" uri="{C3380CC4-5D6E-409C-BE32-E72D297353CC}">
                <c16:uniqueId val="{00000007-6716-4DEC-9EBB-A6910ADE7324}"/>
              </c:ext>
            </c:extLst>
          </c:dPt>
          <c:dPt>
            <c:idx val="4"/>
            <c:bubble3D val="0"/>
            <c:spPr>
              <a:solidFill>
                <a:schemeClr val="accent5"/>
              </a:solidFill>
            </c:spPr>
            <c:extLst>
              <c:ext xmlns:c16="http://schemas.microsoft.com/office/drawing/2014/chart" uri="{C3380CC4-5D6E-409C-BE32-E72D297353CC}">
                <c16:uniqueId val="{00000009-6716-4DEC-9EBB-A6910ADE7324}"/>
              </c:ext>
            </c:extLst>
          </c:dPt>
          <c:dPt>
            <c:idx val="5"/>
            <c:bubble3D val="0"/>
            <c:spPr>
              <a:solidFill>
                <a:schemeClr val="accent6"/>
              </a:solidFill>
            </c:spPr>
            <c:extLst>
              <c:ext xmlns:c16="http://schemas.microsoft.com/office/drawing/2014/chart" uri="{C3380CC4-5D6E-409C-BE32-E72D297353CC}">
                <c16:uniqueId val="{0000000B-6716-4DEC-9EBB-A6910ADE7324}"/>
              </c:ext>
            </c:extLst>
          </c:dPt>
          <c:cat>
            <c:strRef>
              <c:f>'Cópia de RELATÓRIO SEMESTRAL 20'!$B$22:$B$27</c:f>
              <c:strCache>
                <c:ptCount val="6"/>
                <c:pt idx="0">
                  <c:v>Iniciação Científica</c:v>
                </c:pt>
                <c:pt idx="1">
                  <c:v>TCC</c:v>
                </c:pt>
                <c:pt idx="2">
                  <c:v>TCR</c:v>
                </c:pt>
                <c:pt idx="3">
                  <c:v>Mestrado</c:v>
                </c:pt>
                <c:pt idx="4">
                  <c:v>Doutorado</c:v>
                </c:pt>
                <c:pt idx="5">
                  <c:v>Publicação</c:v>
                </c:pt>
              </c:strCache>
            </c:strRef>
          </c:cat>
          <c:val>
            <c:numRef>
              <c:f>'Cópia de RELATÓRIO SEMESTRAL 20'!$C$22:$C$27</c:f>
              <c:numCache>
                <c:formatCode>General</c:formatCode>
                <c:ptCount val="6"/>
                <c:pt idx="0">
                  <c:v>1</c:v>
                </c:pt>
                <c:pt idx="1">
                  <c:v>2</c:v>
                </c:pt>
                <c:pt idx="2">
                  <c:v>35</c:v>
                </c:pt>
                <c:pt idx="3">
                  <c:v>7</c:v>
                </c:pt>
                <c:pt idx="4">
                  <c:v>2</c:v>
                </c:pt>
                <c:pt idx="5">
                  <c:v>19</c:v>
                </c:pt>
              </c:numCache>
            </c:numRef>
          </c:val>
          <c:extLst>
            <c:ext xmlns:c16="http://schemas.microsoft.com/office/drawing/2014/chart" uri="{C3380CC4-5D6E-409C-BE32-E72D297353CC}">
              <c16:uniqueId val="{0000000C-6716-4DEC-9EBB-A6910ADE73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SEMESTRAL 20'!$B$30:$B$34</c:f>
              <c:strCache>
                <c:ptCount val="5"/>
                <c:pt idx="0">
                  <c:v>Nº PROJETOS  APROVADOS</c:v>
                </c:pt>
                <c:pt idx="1">
                  <c:v>1 PT</c:v>
                </c:pt>
                <c:pt idx="2">
                  <c:v>2 PT</c:v>
                </c:pt>
                <c:pt idx="3">
                  <c:v>3 PT</c:v>
                </c:pt>
                <c:pt idx="4">
                  <c:v>4 PT</c:v>
                </c:pt>
              </c:strCache>
            </c:strRef>
          </c:cat>
          <c:val>
            <c:numRef>
              <c:f>'Cópia de RELATÓRIO SEMESTRAL 20'!$C$30:$C$34</c:f>
              <c:numCache>
                <c:formatCode>General</c:formatCode>
                <c:ptCount val="5"/>
                <c:pt idx="0">
                  <c:v>53</c:v>
                </c:pt>
                <c:pt idx="1">
                  <c:v>37</c:v>
                </c:pt>
                <c:pt idx="2">
                  <c:v>14</c:v>
                </c:pt>
                <c:pt idx="3">
                  <c:v>1</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30C-4993-8C08-7F258A9ED89C}"/>
            </c:ext>
          </c:extLst>
        </c:ser>
        <c:dLbls>
          <c:showLegendKey val="0"/>
          <c:showVal val="0"/>
          <c:showCatName val="0"/>
          <c:showSerName val="0"/>
          <c:showPercent val="0"/>
          <c:showBubbleSize val="0"/>
        </c:dLbls>
        <c:gapWidth val="150"/>
        <c:axId val="944564550"/>
        <c:axId val="427597610"/>
      </c:barChart>
      <c:lineChart>
        <c:grouping val="standard"/>
        <c:varyColors val="0"/>
        <c:ser>
          <c:idx val="1"/>
          <c:order val="1"/>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SEMESTRAL 20'!$B$30:$B$34</c:f>
              <c:strCache>
                <c:ptCount val="5"/>
                <c:pt idx="0">
                  <c:v>Nº PROJETOS  APROVADOS</c:v>
                </c:pt>
                <c:pt idx="1">
                  <c:v>1 PT</c:v>
                </c:pt>
                <c:pt idx="2">
                  <c:v>2 PT</c:v>
                </c:pt>
                <c:pt idx="3">
                  <c:v>3 PT</c:v>
                </c:pt>
                <c:pt idx="4">
                  <c:v>4 PT</c:v>
                </c:pt>
              </c:strCache>
            </c:strRef>
          </c:cat>
          <c:val>
            <c:numRef>
              <c:f>'Cópia de RELATÓRIO SEMESTRAL 20'!$D$30:$D$34</c:f>
              <c:numCache>
                <c:formatCode>0.00%</c:formatCode>
                <c:ptCount val="5"/>
                <c:pt idx="0">
                  <c:v>1</c:v>
                </c:pt>
                <c:pt idx="1">
                  <c:v>0.70499999999999996</c:v>
                </c:pt>
                <c:pt idx="2" formatCode="0%">
                  <c:v>0.39</c:v>
                </c:pt>
                <c:pt idx="3">
                  <c:v>7.0999999999999994E-2</c:v>
                </c:pt>
                <c:pt idx="4" formatCode="0%">
                  <c:v>0.04</c:v>
                </c:pt>
              </c:numCache>
            </c:numRef>
          </c:val>
          <c:smooth val="0"/>
          <c:extLst>
            <c:ext xmlns:c16="http://schemas.microsoft.com/office/drawing/2014/chart" uri="{C3380CC4-5D6E-409C-BE32-E72D297353CC}">
              <c16:uniqueId val="{00000001-330C-4993-8C08-7F258A9ED89C}"/>
            </c:ext>
          </c:extLst>
        </c:ser>
        <c:dLbls>
          <c:showLegendKey val="0"/>
          <c:showVal val="0"/>
          <c:showCatName val="0"/>
          <c:showSerName val="0"/>
          <c:showPercent val="0"/>
          <c:showBubbleSize val="0"/>
        </c:dLbls>
        <c:marker val="1"/>
        <c:smooth val="0"/>
        <c:axId val="944564550"/>
        <c:axId val="427597610"/>
      </c:lineChart>
      <c:catAx>
        <c:axId val="94456455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27597610"/>
        <c:crosses val="autoZero"/>
        <c:auto val="1"/>
        <c:lblAlgn val="ctr"/>
        <c:lblOffset val="100"/>
        <c:noMultiLvlLbl val="1"/>
      </c:catAx>
      <c:valAx>
        <c:axId val="4275976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4456455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SEMESTRAL 20'!$E$30:$E$34</c:f>
              <c:strCache>
                <c:ptCount val="5"/>
                <c:pt idx="0">
                  <c:v>Nº PROJETOS</c:v>
                </c:pt>
                <c:pt idx="1">
                  <c:v>APROVADOS</c:v>
                </c:pt>
                <c:pt idx="2">
                  <c:v>NÃO SE APLICA</c:v>
                </c:pt>
                <c:pt idx="3">
                  <c:v>PENDÊNCIAS</c:v>
                </c:pt>
                <c:pt idx="4">
                  <c:v>REPROVADOS</c:v>
                </c:pt>
              </c:strCache>
            </c:strRef>
          </c:cat>
          <c:val>
            <c:numRef>
              <c:f>'Cópia de RELATÓRIO SEMESTRAL 20'!$F$30:$F$34</c:f>
              <c:numCache>
                <c:formatCode>General</c:formatCode>
                <c:ptCount val="5"/>
                <c:pt idx="0">
                  <c:v>66</c:v>
                </c:pt>
                <c:pt idx="1">
                  <c:v>53</c:v>
                </c:pt>
                <c:pt idx="2">
                  <c:v>5</c:v>
                </c:pt>
                <c:pt idx="3">
                  <c:v>6</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393-4E05-B983-BE0342A7961E}"/>
            </c:ext>
          </c:extLst>
        </c:ser>
        <c:ser>
          <c:idx val="1"/>
          <c:order val="1"/>
          <c:spPr>
            <a:solidFill>
              <a:srgbClr val="EA433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SEMESTRAL 20'!$E$30:$E$34</c:f>
              <c:strCache>
                <c:ptCount val="5"/>
                <c:pt idx="0">
                  <c:v>Nº PROJETOS</c:v>
                </c:pt>
                <c:pt idx="1">
                  <c:v>APROVADOS</c:v>
                </c:pt>
                <c:pt idx="2">
                  <c:v>NÃO SE APLICA</c:v>
                </c:pt>
                <c:pt idx="3">
                  <c:v>PENDÊNCIAS</c:v>
                </c:pt>
                <c:pt idx="4">
                  <c:v>REPROVADOS</c:v>
                </c:pt>
              </c:strCache>
            </c:strRef>
          </c:cat>
          <c:val>
            <c:numRef>
              <c:f>'Cópia de RELATÓRIO SEMESTRAL 20'!$H$30:$H$34</c:f>
              <c:numCache>
                <c:formatCode>0.0%</c:formatCode>
                <c:ptCount val="5"/>
                <c:pt idx="0" formatCode="0.00%">
                  <c:v>1</c:v>
                </c:pt>
                <c:pt idx="1">
                  <c:v>0.81499999999999995</c:v>
                </c:pt>
                <c:pt idx="2" formatCode="0%">
                  <c:v>0.08</c:v>
                </c:pt>
                <c:pt idx="3" formatCode="0%">
                  <c:v>0.08</c:v>
                </c:pt>
                <c:pt idx="4" formatCode="0%">
                  <c:v>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393-4E05-B983-BE0342A7961E}"/>
            </c:ext>
          </c:extLst>
        </c:ser>
        <c:dLbls>
          <c:showLegendKey val="0"/>
          <c:showVal val="0"/>
          <c:showCatName val="0"/>
          <c:showSerName val="0"/>
          <c:showPercent val="0"/>
          <c:showBubbleSize val="0"/>
        </c:dLbls>
        <c:gapWidth val="150"/>
        <c:axId val="556102877"/>
        <c:axId val="1081570238"/>
      </c:barChart>
      <c:catAx>
        <c:axId val="55610287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81570238"/>
        <c:crosses val="autoZero"/>
        <c:auto val="1"/>
        <c:lblAlgn val="ctr"/>
        <c:lblOffset val="100"/>
        <c:noMultiLvlLbl val="1"/>
      </c:catAx>
      <c:valAx>
        <c:axId val="1081570238"/>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55610287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rgbClr val="757575"/>
                </a:solidFill>
                <a:latin typeface="+mn-lt"/>
              </a:defRPr>
            </a:pPr>
            <a:r>
              <a:rPr sz="1600" b="1" i="0">
                <a:solidFill>
                  <a:srgbClr val="757575"/>
                </a:solidFill>
                <a:latin typeface="+mn-lt"/>
              </a:rPr>
              <a:t>Estado de apreciação dos projetos </a:t>
            </a:r>
          </a:p>
        </c:rich>
      </c:tx>
      <c:layout>
        <c:manualLayout>
          <c:xMode val="edge"/>
          <c:yMode val="edge"/>
          <c:x val="0.14722222222222223"/>
          <c:y val="4.6296296296296294E-2"/>
        </c:manualLayout>
      </c:layout>
      <c:overlay val="0"/>
    </c:title>
    <c:autoTitleDeleted val="0"/>
    <c:plotArea>
      <c:layout/>
      <c:barChart>
        <c:barDir val="col"/>
        <c:grouping val="stacked"/>
        <c:varyColors val="1"/>
        <c:ser>
          <c:idx val="0"/>
          <c:order val="0"/>
          <c:spPr>
            <a:solidFill>
              <a:srgbClr val="4285F4"/>
            </a:solidFill>
            <a:ln cmpd="sng">
              <a:solidFill>
                <a:srgbClr val="000000"/>
              </a:solidFill>
            </a:ln>
          </c:spPr>
          <c:invertIfNegative val="1"/>
          <c:cat>
            <c:strRef>
              <c:f>'Cópia de RELATÓRIO SEMESTRAL 20'!$E$30:$E$34</c:f>
              <c:strCache>
                <c:ptCount val="5"/>
                <c:pt idx="0">
                  <c:v>Nº PROJETOS</c:v>
                </c:pt>
                <c:pt idx="1">
                  <c:v>APROVADOS</c:v>
                </c:pt>
                <c:pt idx="2">
                  <c:v>NÃO SE APLICA</c:v>
                </c:pt>
                <c:pt idx="3">
                  <c:v>PENDÊNCIAS</c:v>
                </c:pt>
                <c:pt idx="4">
                  <c:v>REPROVADOS</c:v>
                </c:pt>
              </c:strCache>
            </c:strRef>
          </c:cat>
          <c:val>
            <c:numRef>
              <c:f>'Cópia de RELATÓRIO SEMESTRAL 20'!$F$30:$F$34</c:f>
              <c:numCache>
                <c:formatCode>General</c:formatCode>
                <c:ptCount val="5"/>
                <c:pt idx="0">
                  <c:v>66</c:v>
                </c:pt>
                <c:pt idx="1">
                  <c:v>53</c:v>
                </c:pt>
                <c:pt idx="2">
                  <c:v>5</c:v>
                </c:pt>
                <c:pt idx="3">
                  <c:v>6</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D61-4E3D-A8E8-0A6F4D11FFEB}"/>
            </c:ext>
          </c:extLst>
        </c:ser>
        <c:ser>
          <c:idx val="1"/>
          <c:order val="1"/>
          <c:spPr>
            <a:solidFill>
              <a:srgbClr val="EA4335"/>
            </a:solidFill>
            <a:ln cmpd="sng">
              <a:solidFill>
                <a:srgbClr val="000000"/>
              </a:solidFill>
            </a:ln>
          </c:spPr>
          <c:invertIfNegative val="1"/>
          <c:cat>
            <c:strRef>
              <c:f>'Cópia de RELATÓRIO SEMESTRAL 20'!$E$30:$E$34</c:f>
              <c:strCache>
                <c:ptCount val="5"/>
                <c:pt idx="0">
                  <c:v>Nº PROJETOS</c:v>
                </c:pt>
                <c:pt idx="1">
                  <c:v>APROVADOS</c:v>
                </c:pt>
                <c:pt idx="2">
                  <c:v>NÃO SE APLICA</c:v>
                </c:pt>
                <c:pt idx="3">
                  <c:v>PENDÊNCIAS</c:v>
                </c:pt>
                <c:pt idx="4">
                  <c:v>REPROVADOS</c:v>
                </c:pt>
              </c:strCache>
            </c:strRef>
          </c:cat>
          <c:val>
            <c:numRef>
              <c:f>'Cópia de RELATÓRIO SEMESTRAL 20'!$H$30:$H$34</c:f>
              <c:numCache>
                <c:formatCode>0.0%</c:formatCode>
                <c:ptCount val="5"/>
                <c:pt idx="0" formatCode="0.00%">
                  <c:v>1</c:v>
                </c:pt>
                <c:pt idx="1">
                  <c:v>0.81499999999999995</c:v>
                </c:pt>
                <c:pt idx="2" formatCode="0%">
                  <c:v>0.08</c:v>
                </c:pt>
                <c:pt idx="3" formatCode="0%">
                  <c:v>0.08</c:v>
                </c:pt>
                <c:pt idx="4" formatCode="0%">
                  <c:v>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D61-4E3D-A8E8-0A6F4D11FFEB}"/>
            </c:ext>
          </c:extLst>
        </c:ser>
        <c:dLbls>
          <c:showLegendKey val="0"/>
          <c:showVal val="0"/>
          <c:showCatName val="0"/>
          <c:showSerName val="0"/>
          <c:showPercent val="0"/>
          <c:showBubbleSize val="0"/>
        </c:dLbls>
        <c:gapWidth val="150"/>
        <c:overlap val="100"/>
        <c:axId val="380145859"/>
        <c:axId val="251366939"/>
      </c:barChart>
      <c:catAx>
        <c:axId val="38014585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51366939"/>
        <c:crosses val="autoZero"/>
        <c:auto val="1"/>
        <c:lblAlgn val="ctr"/>
        <c:lblOffset val="100"/>
        <c:noMultiLvlLbl val="1"/>
      </c:catAx>
      <c:valAx>
        <c:axId val="2513669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380145859"/>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Projetos de pesquisa 2023</a:t>
            </a:r>
          </a:p>
        </c:rich>
      </c:tx>
      <c:overlay val="0"/>
    </c:title>
    <c:autoTitleDeleted val="0"/>
    <c:plotArea>
      <c:layout/>
      <c:barChart>
        <c:barDir val="col"/>
        <c:grouping val="clustered"/>
        <c:varyColors val="1"/>
        <c:ser>
          <c:idx val="0"/>
          <c:order val="0"/>
          <c:tx>
            <c:v>65</c:v>
          </c:tx>
          <c:spPr>
            <a:solidFill>
              <a:srgbClr val="4285F4"/>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9B45-4395-ACF6-0EDC74ED5840}"/>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9B45-4395-ACF6-0EDC74ED5840}"/>
              </c:ext>
            </c:extLst>
          </c:dPt>
          <c:dPt>
            <c:idx val="2"/>
            <c:invertIfNegative val="1"/>
            <c:bubble3D val="0"/>
            <c:spPr>
              <a:solidFill>
                <a:schemeClr val="accent3"/>
              </a:solidFill>
              <a:ln cmpd="sng">
                <a:solidFill>
                  <a:srgbClr val="000000"/>
                </a:solidFill>
              </a:ln>
            </c:spPr>
            <c:extLst>
              <c:ext xmlns:c16="http://schemas.microsoft.com/office/drawing/2014/chart" uri="{C3380CC4-5D6E-409C-BE32-E72D297353CC}">
                <c16:uniqueId val="{00000005-9B45-4395-ACF6-0EDC74ED5840}"/>
              </c:ext>
            </c:extLst>
          </c:dPt>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ANUAL 2023'!$B$2:$B$5</c:f>
              <c:strCache>
                <c:ptCount val="4"/>
                <c:pt idx="0">
                  <c:v>PROJETOS 2023</c:v>
                </c:pt>
                <c:pt idx="1">
                  <c:v>EMENDAS 2023</c:v>
                </c:pt>
                <c:pt idx="2">
                  <c:v>PROJETOS 2022</c:v>
                </c:pt>
                <c:pt idx="3">
                  <c:v>PROJ PENDENC DOC</c:v>
                </c:pt>
              </c:strCache>
            </c:strRef>
          </c:cat>
          <c:val>
            <c:numRef>
              <c:f>'Cópia de RELATÓRIO ANUAL 2023'!$C$2:$C$5</c:f>
              <c:numCache>
                <c:formatCode>General</c:formatCode>
                <c:ptCount val="4"/>
                <c:pt idx="0">
                  <c:v>58</c:v>
                </c:pt>
                <c:pt idx="1">
                  <c:v>5</c:v>
                </c:pt>
                <c:pt idx="2">
                  <c:v>4</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B45-4395-ACF6-0EDC74ED5840}"/>
            </c:ext>
          </c:extLst>
        </c:ser>
        <c:dLbls>
          <c:showLegendKey val="0"/>
          <c:showVal val="0"/>
          <c:showCatName val="0"/>
          <c:showSerName val="0"/>
          <c:showPercent val="0"/>
          <c:showBubbleSize val="0"/>
        </c:dLbls>
        <c:gapWidth val="150"/>
        <c:axId val="973152504"/>
        <c:axId val="1989923053"/>
      </c:barChart>
      <c:catAx>
        <c:axId val="9731525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1989923053"/>
        <c:crosses val="autoZero"/>
        <c:auto val="1"/>
        <c:lblAlgn val="ctr"/>
        <c:lblOffset val="100"/>
        <c:noMultiLvlLbl val="1"/>
      </c:catAx>
      <c:valAx>
        <c:axId val="198992305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973152504"/>
        <c:crosses val="autoZero"/>
        <c:crossBetween val="between"/>
      </c:valAx>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chemeClr val="lt1"/>
                </a:solidFill>
                <a:latin typeface="+mn-lt"/>
              </a:defRPr>
            </a:pPr>
            <a:r>
              <a:rPr sz="1600" b="1" i="0">
                <a:solidFill>
                  <a:schemeClr val="lt1"/>
                </a:solidFill>
                <a:latin typeface="+mn-lt"/>
              </a:rPr>
              <a:t>Instituições Proponentes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ANUAL 2023'!$B$8:$B$18</c:f>
              <c:strCache>
                <c:ptCount val="11"/>
                <c:pt idx="0">
                  <c:v>FHEMIG</c:v>
                </c:pt>
                <c:pt idx="1">
                  <c:v>UFMG</c:v>
                </c:pt>
                <c:pt idx="2">
                  <c:v>RENE RACHOU</c:v>
                </c:pt>
                <c:pt idx="3">
                  <c:v>CIÊNCIAS MÉDICAS</c:v>
                </c:pt>
                <c:pt idx="4">
                  <c:v>UNIV FED FLUM</c:v>
                </c:pt>
                <c:pt idx="5">
                  <c:v>Universidade Europea</c:v>
                </c:pt>
                <c:pt idx="6">
                  <c:v>MOINHOS DE VENTO</c:v>
                </c:pt>
                <c:pt idx="7">
                  <c:v>BOTUCATU</c:v>
                </c:pt>
                <c:pt idx="8">
                  <c:v>PUCMINAS</c:v>
                </c:pt>
                <c:pt idx="9">
                  <c:v>EINSTEIN</c:v>
                </c:pt>
                <c:pt idx="10">
                  <c:v>NATIONWIDE CHILF H</c:v>
                </c:pt>
              </c:strCache>
            </c:strRef>
          </c:cat>
          <c:val>
            <c:numRef>
              <c:f>'Cópia de RELATÓRIO ANUAL 2023'!$C$8:$C$18</c:f>
              <c:numCache>
                <c:formatCode>General</c:formatCode>
                <c:ptCount val="11"/>
                <c:pt idx="0">
                  <c:v>68</c:v>
                </c:pt>
                <c:pt idx="1">
                  <c:v>10</c:v>
                </c:pt>
                <c:pt idx="2">
                  <c:v>1</c:v>
                </c:pt>
                <c:pt idx="3">
                  <c:v>1</c:v>
                </c:pt>
                <c:pt idx="4">
                  <c:v>1</c:v>
                </c:pt>
                <c:pt idx="5">
                  <c:v>1</c:v>
                </c:pt>
                <c:pt idx="6">
                  <c:v>1</c:v>
                </c:pt>
                <c:pt idx="7">
                  <c:v>1</c:v>
                </c:pt>
                <c:pt idx="8">
                  <c:v>1</c:v>
                </c:pt>
                <c:pt idx="9">
                  <c:v>1</c:v>
                </c:pt>
                <c:pt idx="1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8B3-4FA9-9E57-161E9BCA7BEA}"/>
            </c:ext>
          </c:extLst>
        </c:ser>
        <c:dLbls>
          <c:showLegendKey val="0"/>
          <c:showVal val="0"/>
          <c:showCatName val="0"/>
          <c:showSerName val="0"/>
          <c:showPercent val="0"/>
          <c:showBubbleSize val="0"/>
        </c:dLbls>
        <c:gapWidth val="150"/>
        <c:axId val="893622972"/>
        <c:axId val="842342912"/>
      </c:barChart>
      <c:catAx>
        <c:axId val="89362297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842342912"/>
        <c:crosses val="autoZero"/>
        <c:auto val="1"/>
        <c:lblAlgn val="ctr"/>
        <c:lblOffset val="100"/>
        <c:noMultiLvlLbl val="1"/>
      </c:catAx>
      <c:valAx>
        <c:axId val="8423429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893622972"/>
        <c:crosses val="autoZero"/>
        <c:crossBetween val="between"/>
      </c:valAx>
    </c:plotArea>
    <c:plotVisOnly val="1"/>
    <c:dispBlanksAs val="zero"/>
    <c:showDLblsOverMax val="1"/>
  </c:chart>
  <c:spPr>
    <a:solidFill>
      <a:schemeClr val="dk1"/>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Propósito da pesquisa</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3F1-4CEC-89E7-80DBE606F395}"/>
              </c:ext>
            </c:extLst>
          </c:dPt>
          <c:dPt>
            <c:idx val="1"/>
            <c:bubble3D val="0"/>
            <c:spPr>
              <a:solidFill>
                <a:schemeClr val="accent2"/>
              </a:solidFill>
            </c:spPr>
            <c:extLst>
              <c:ext xmlns:c16="http://schemas.microsoft.com/office/drawing/2014/chart" uri="{C3380CC4-5D6E-409C-BE32-E72D297353CC}">
                <c16:uniqueId val="{00000003-73F1-4CEC-89E7-80DBE606F395}"/>
              </c:ext>
            </c:extLst>
          </c:dPt>
          <c:dPt>
            <c:idx val="2"/>
            <c:bubble3D val="0"/>
            <c:spPr>
              <a:solidFill>
                <a:schemeClr val="accent3"/>
              </a:solidFill>
            </c:spPr>
            <c:extLst>
              <c:ext xmlns:c16="http://schemas.microsoft.com/office/drawing/2014/chart" uri="{C3380CC4-5D6E-409C-BE32-E72D297353CC}">
                <c16:uniqueId val="{00000005-73F1-4CEC-89E7-80DBE606F395}"/>
              </c:ext>
            </c:extLst>
          </c:dPt>
          <c:dPt>
            <c:idx val="3"/>
            <c:bubble3D val="0"/>
            <c:spPr>
              <a:solidFill>
                <a:schemeClr val="accent4"/>
              </a:solidFill>
            </c:spPr>
            <c:extLst>
              <c:ext xmlns:c16="http://schemas.microsoft.com/office/drawing/2014/chart" uri="{C3380CC4-5D6E-409C-BE32-E72D297353CC}">
                <c16:uniqueId val="{00000007-73F1-4CEC-89E7-80DBE606F395}"/>
              </c:ext>
            </c:extLst>
          </c:dPt>
          <c:dPt>
            <c:idx val="4"/>
            <c:bubble3D val="0"/>
            <c:spPr>
              <a:solidFill>
                <a:schemeClr val="accent5"/>
              </a:solidFill>
            </c:spPr>
            <c:extLst>
              <c:ext xmlns:c16="http://schemas.microsoft.com/office/drawing/2014/chart" uri="{C3380CC4-5D6E-409C-BE32-E72D297353CC}">
                <c16:uniqueId val="{00000009-73F1-4CEC-89E7-80DBE606F395}"/>
              </c:ext>
            </c:extLst>
          </c:dPt>
          <c:dPt>
            <c:idx val="5"/>
            <c:bubble3D val="0"/>
            <c:spPr>
              <a:solidFill>
                <a:schemeClr val="accent6"/>
              </a:solidFill>
            </c:spPr>
            <c:extLst>
              <c:ext xmlns:c16="http://schemas.microsoft.com/office/drawing/2014/chart" uri="{C3380CC4-5D6E-409C-BE32-E72D297353CC}">
                <c16:uniqueId val="{0000000B-73F1-4CEC-89E7-80DBE606F395}"/>
              </c:ext>
            </c:extLst>
          </c:dPt>
          <c:cat>
            <c:strRef>
              <c:f>'Cópia de RELATÓRIO ANUAL 2023'!$B$25:$B$30</c:f>
              <c:strCache>
                <c:ptCount val="6"/>
                <c:pt idx="0">
                  <c:v>Iniciação Científica</c:v>
                </c:pt>
                <c:pt idx="1">
                  <c:v>TCC</c:v>
                </c:pt>
                <c:pt idx="2">
                  <c:v>TCR</c:v>
                </c:pt>
                <c:pt idx="3">
                  <c:v>Mestrado</c:v>
                </c:pt>
                <c:pt idx="4">
                  <c:v>Doutorado</c:v>
                </c:pt>
                <c:pt idx="5">
                  <c:v>Publicação</c:v>
                </c:pt>
              </c:strCache>
            </c:strRef>
          </c:cat>
          <c:val>
            <c:numRef>
              <c:f>'Cópia de RELATÓRIO ANUAL 2023'!$C$25:$C$30</c:f>
              <c:numCache>
                <c:formatCode>General</c:formatCode>
                <c:ptCount val="6"/>
                <c:pt idx="0">
                  <c:v>2</c:v>
                </c:pt>
                <c:pt idx="1">
                  <c:v>2</c:v>
                </c:pt>
                <c:pt idx="2">
                  <c:v>37</c:v>
                </c:pt>
                <c:pt idx="3">
                  <c:v>7</c:v>
                </c:pt>
                <c:pt idx="4">
                  <c:v>2</c:v>
                </c:pt>
                <c:pt idx="5">
                  <c:v>37</c:v>
                </c:pt>
              </c:numCache>
            </c:numRef>
          </c:val>
          <c:extLst>
            <c:ext xmlns:c16="http://schemas.microsoft.com/office/drawing/2014/chart" uri="{C3380CC4-5D6E-409C-BE32-E72D297353CC}">
              <c16:uniqueId val="{0000000C-73F1-4CEC-89E7-80DBE606F395}"/>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ANUAL 2023'!$B$33:$B$37</c:f>
              <c:strCache>
                <c:ptCount val="5"/>
                <c:pt idx="0">
                  <c:v>Nº PROJETOS  APROVADOS</c:v>
                </c:pt>
                <c:pt idx="1">
                  <c:v>1 PT</c:v>
                </c:pt>
                <c:pt idx="2">
                  <c:v>2 PT</c:v>
                </c:pt>
                <c:pt idx="3">
                  <c:v>3 PT</c:v>
                </c:pt>
                <c:pt idx="4">
                  <c:v>4 PT</c:v>
                </c:pt>
              </c:strCache>
            </c:strRef>
          </c:cat>
          <c:val>
            <c:numRef>
              <c:f>'Cópia de RELATÓRIO ANUAL 2023'!$C$33:$C$37</c:f>
              <c:numCache>
                <c:formatCode>General</c:formatCode>
                <c:ptCount val="5"/>
                <c:pt idx="0">
                  <c:v>53</c:v>
                </c:pt>
                <c:pt idx="1">
                  <c:v>37</c:v>
                </c:pt>
                <c:pt idx="2">
                  <c:v>14</c:v>
                </c:pt>
                <c:pt idx="3">
                  <c:v>1</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DCE-470A-BB53-197033365400}"/>
            </c:ext>
          </c:extLst>
        </c:ser>
        <c:dLbls>
          <c:showLegendKey val="0"/>
          <c:showVal val="0"/>
          <c:showCatName val="0"/>
          <c:showSerName val="0"/>
          <c:showPercent val="0"/>
          <c:showBubbleSize val="0"/>
        </c:dLbls>
        <c:gapWidth val="150"/>
        <c:axId val="1703940444"/>
        <c:axId val="1138728484"/>
      </c:barChart>
      <c:lineChart>
        <c:grouping val="standard"/>
        <c:varyColors val="0"/>
        <c:ser>
          <c:idx val="1"/>
          <c:order val="1"/>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ANUAL 2023'!$B$33:$B$37</c:f>
              <c:strCache>
                <c:ptCount val="5"/>
                <c:pt idx="0">
                  <c:v>Nº PROJETOS  APROVADOS</c:v>
                </c:pt>
                <c:pt idx="1">
                  <c:v>1 PT</c:v>
                </c:pt>
                <c:pt idx="2">
                  <c:v>2 PT</c:v>
                </c:pt>
                <c:pt idx="3">
                  <c:v>3 PT</c:v>
                </c:pt>
                <c:pt idx="4">
                  <c:v>4 PT</c:v>
                </c:pt>
              </c:strCache>
            </c:strRef>
          </c:cat>
          <c:val>
            <c:numRef>
              <c:f>'Cópia de RELATÓRIO ANUAL 2023'!$D$33:$D$37</c:f>
              <c:numCache>
                <c:formatCode>0.00%</c:formatCode>
                <c:ptCount val="5"/>
                <c:pt idx="0">
                  <c:v>1</c:v>
                </c:pt>
                <c:pt idx="1">
                  <c:v>0.70499999999999996</c:v>
                </c:pt>
                <c:pt idx="2" formatCode="0%">
                  <c:v>0.39</c:v>
                </c:pt>
                <c:pt idx="3">
                  <c:v>7.0999999999999994E-2</c:v>
                </c:pt>
                <c:pt idx="4" formatCode="0%">
                  <c:v>0.04</c:v>
                </c:pt>
              </c:numCache>
            </c:numRef>
          </c:val>
          <c:smooth val="0"/>
          <c:extLst>
            <c:ext xmlns:c16="http://schemas.microsoft.com/office/drawing/2014/chart" uri="{C3380CC4-5D6E-409C-BE32-E72D297353CC}">
              <c16:uniqueId val="{00000001-ADCE-470A-BB53-197033365400}"/>
            </c:ext>
          </c:extLst>
        </c:ser>
        <c:dLbls>
          <c:showLegendKey val="0"/>
          <c:showVal val="0"/>
          <c:showCatName val="0"/>
          <c:showSerName val="0"/>
          <c:showPercent val="0"/>
          <c:showBubbleSize val="0"/>
        </c:dLbls>
        <c:marker val="1"/>
        <c:smooth val="0"/>
        <c:axId val="1703940444"/>
        <c:axId val="1138728484"/>
      </c:lineChart>
      <c:catAx>
        <c:axId val="170394044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38728484"/>
        <c:crosses val="autoZero"/>
        <c:auto val="1"/>
        <c:lblAlgn val="ctr"/>
        <c:lblOffset val="100"/>
        <c:noMultiLvlLbl val="1"/>
      </c:catAx>
      <c:valAx>
        <c:axId val="11387284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70394044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rgbClr val="757575"/>
                </a:solidFill>
                <a:latin typeface="+mn-lt"/>
              </a:defRPr>
            </a:pPr>
            <a:r>
              <a:rPr sz="1600" b="1" i="0">
                <a:solidFill>
                  <a:srgbClr val="757575"/>
                </a:solidFill>
                <a:latin typeface="+mn-lt"/>
              </a:rPr>
              <a:t>Estado de apreciação dos projetos </a:t>
            </a:r>
          </a:p>
        </c:rich>
      </c:tx>
      <c:layout>
        <c:manualLayout>
          <c:xMode val="edge"/>
          <c:yMode val="edge"/>
          <c:x val="0.14722222222222223"/>
          <c:y val="4.6296296296296294E-2"/>
        </c:manualLayout>
      </c:layout>
      <c:overlay val="0"/>
    </c:title>
    <c:autoTitleDeleted val="0"/>
    <c:plotArea>
      <c:layout/>
      <c:barChart>
        <c:barDir val="col"/>
        <c:grouping val="stacked"/>
        <c:varyColors val="1"/>
        <c:ser>
          <c:idx val="0"/>
          <c:order val="0"/>
          <c:spPr>
            <a:solidFill>
              <a:srgbClr val="4285F4"/>
            </a:solidFill>
            <a:ln cmpd="sng">
              <a:solidFill>
                <a:srgbClr val="000000"/>
              </a:solidFill>
            </a:ln>
          </c:spPr>
          <c:invertIfNegative val="1"/>
          <c:cat>
            <c:strRef>
              <c:f>'Cópia de RELATÓRIO ANUAL 2023'!$E$33:$E$37</c:f>
              <c:strCache>
                <c:ptCount val="5"/>
                <c:pt idx="0">
                  <c:v>Nº PROJETOS</c:v>
                </c:pt>
                <c:pt idx="1">
                  <c:v>APROVADOS</c:v>
                </c:pt>
                <c:pt idx="2">
                  <c:v>NÃO SE APLICA</c:v>
                </c:pt>
                <c:pt idx="3">
                  <c:v>PENDÊNCIAS</c:v>
                </c:pt>
                <c:pt idx="4">
                  <c:v>REPROVADOS</c:v>
                </c:pt>
              </c:strCache>
            </c:strRef>
          </c:cat>
          <c:val>
            <c:numRef>
              <c:f>'Cópia de RELATÓRIO ANUAL 2023'!$F$33:$F$37</c:f>
              <c:numCache>
                <c:formatCode>General</c:formatCode>
                <c:ptCount val="5"/>
                <c:pt idx="0">
                  <c:v>66</c:v>
                </c:pt>
                <c:pt idx="1">
                  <c:v>53</c:v>
                </c:pt>
                <c:pt idx="2">
                  <c:v>5</c:v>
                </c:pt>
                <c:pt idx="3">
                  <c:v>6</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DF1-47B9-8956-32C034314C52}"/>
            </c:ext>
          </c:extLst>
        </c:ser>
        <c:ser>
          <c:idx val="1"/>
          <c:order val="1"/>
          <c:spPr>
            <a:solidFill>
              <a:srgbClr val="EA4335"/>
            </a:solidFill>
            <a:ln cmpd="sng">
              <a:solidFill>
                <a:srgbClr val="000000"/>
              </a:solidFill>
            </a:ln>
          </c:spPr>
          <c:invertIfNegative val="1"/>
          <c:cat>
            <c:strRef>
              <c:f>'Cópia de RELATÓRIO ANUAL 2023'!$E$33:$E$37</c:f>
              <c:strCache>
                <c:ptCount val="5"/>
                <c:pt idx="0">
                  <c:v>Nº PROJETOS</c:v>
                </c:pt>
                <c:pt idx="1">
                  <c:v>APROVADOS</c:v>
                </c:pt>
                <c:pt idx="2">
                  <c:v>NÃO SE APLICA</c:v>
                </c:pt>
                <c:pt idx="3">
                  <c:v>PENDÊNCIAS</c:v>
                </c:pt>
                <c:pt idx="4">
                  <c:v>REPROVADOS</c:v>
                </c:pt>
              </c:strCache>
            </c:strRef>
          </c:cat>
          <c:val>
            <c:numRef>
              <c:f>'Cópia de RELATÓRIO ANUAL 2023'!$G$32:$G$36</c:f>
              <c:numCache>
                <c:formatCode>0.0%</c:formatCode>
                <c:ptCount val="5"/>
                <c:pt idx="0" formatCode="0.00%">
                  <c:v>1</c:v>
                </c:pt>
                <c:pt idx="1">
                  <c:v>0.81499999999999995</c:v>
                </c:pt>
                <c:pt idx="2" formatCode="0%">
                  <c:v>0.08</c:v>
                </c:pt>
                <c:pt idx="3" formatCode="0%">
                  <c:v>0.08</c:v>
                </c:pt>
                <c:pt idx="4" formatCode="0%">
                  <c:v>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DF1-47B9-8956-32C034314C52}"/>
            </c:ext>
          </c:extLst>
        </c:ser>
        <c:dLbls>
          <c:showLegendKey val="0"/>
          <c:showVal val="0"/>
          <c:showCatName val="0"/>
          <c:showSerName val="0"/>
          <c:showPercent val="0"/>
          <c:showBubbleSize val="0"/>
        </c:dLbls>
        <c:gapWidth val="150"/>
        <c:overlap val="100"/>
        <c:axId val="1533560450"/>
        <c:axId val="671727109"/>
      </c:barChart>
      <c:catAx>
        <c:axId val="153356045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71727109"/>
        <c:crosses val="autoZero"/>
        <c:auto val="1"/>
        <c:lblAlgn val="ctr"/>
        <c:lblOffset val="100"/>
        <c:noMultiLvlLbl val="1"/>
      </c:catAx>
      <c:valAx>
        <c:axId val="67172710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33560450"/>
        <c:crosses val="autoZero"/>
        <c:crossBetween val="between"/>
      </c:val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77BD-4474-9535-68ED72506C86}"/>
              </c:ext>
            </c:extLst>
          </c:dPt>
          <c:dPt>
            <c:idx val="1"/>
            <c:bubble3D val="0"/>
            <c:spPr>
              <a:solidFill>
                <a:srgbClr val="EA4335"/>
              </a:solidFill>
            </c:spPr>
            <c:extLst>
              <c:ext xmlns:c16="http://schemas.microsoft.com/office/drawing/2014/chart" uri="{C3380CC4-5D6E-409C-BE32-E72D297353CC}">
                <c16:uniqueId val="{00000003-77BD-4474-9535-68ED72506C86}"/>
              </c:ext>
            </c:extLst>
          </c:dPt>
          <c:dPt>
            <c:idx val="2"/>
            <c:bubble3D val="0"/>
            <c:spPr>
              <a:solidFill>
                <a:srgbClr val="FBBC04"/>
              </a:solidFill>
            </c:spPr>
            <c:extLst>
              <c:ext xmlns:c16="http://schemas.microsoft.com/office/drawing/2014/chart" uri="{C3380CC4-5D6E-409C-BE32-E72D297353CC}">
                <c16:uniqueId val="{00000005-77BD-4474-9535-68ED72506C86}"/>
              </c:ext>
            </c:extLst>
          </c:dPt>
          <c:cat>
            <c:strRef>
              <c:f>'Cópia de RELATÓRIO ANUAL 2023'!$B$20:$B$22</c:f>
              <c:strCache>
                <c:ptCount val="3"/>
                <c:pt idx="0">
                  <c:v>HJXXIII</c:v>
                </c:pt>
                <c:pt idx="1">
                  <c:v>HIJPII</c:v>
                </c:pt>
                <c:pt idx="2">
                  <c:v>HMAL</c:v>
                </c:pt>
              </c:strCache>
            </c:strRef>
          </c:cat>
          <c:val>
            <c:numRef>
              <c:f>'Cópia de RELATÓRIO ANUAL 2023'!$C$20:$C$22</c:f>
              <c:numCache>
                <c:formatCode>General</c:formatCode>
                <c:ptCount val="3"/>
                <c:pt idx="0">
                  <c:v>54</c:v>
                </c:pt>
                <c:pt idx="1">
                  <c:v>31</c:v>
                </c:pt>
                <c:pt idx="2">
                  <c:v>2</c:v>
                </c:pt>
              </c:numCache>
            </c:numRef>
          </c:val>
          <c:extLst>
            <c:ext xmlns:c16="http://schemas.microsoft.com/office/drawing/2014/chart" uri="{C3380CC4-5D6E-409C-BE32-E72D297353CC}">
              <c16:uniqueId val="{00000006-77BD-4474-9535-68ED72506C8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i="0">
                <a:solidFill>
                  <a:srgbClr val="757575"/>
                </a:solidFill>
                <a:latin typeface="+mn-lt"/>
              </a:defRPr>
            </a:pPr>
            <a:r>
              <a:rPr b="0" i="0">
                <a:solidFill>
                  <a:srgbClr val="757575"/>
                </a:solidFill>
                <a:latin typeface="+mn-lt"/>
              </a:rPr>
              <a:t>87              PROJETOS  DE PESQUISA</a:t>
            </a:r>
          </a:p>
        </c:rich>
      </c:tx>
      <c:overlay val="0"/>
    </c:title>
    <c:autoTitleDeleted val="0"/>
    <c:plotArea>
      <c:layout/>
      <c:pieChart>
        <c:varyColors val="1"/>
        <c:ser>
          <c:idx val="0"/>
          <c:order val="0"/>
          <c:tx>
            <c:strRef>
              <c:f>'Cópia de RELATÓRIO ANUAL 2023'!$C$24</c:f>
              <c:strCache>
                <c:ptCount val="1"/>
                <c:pt idx="0">
                  <c:v>              PROJETOS  DE PESQUISA</c:v>
                </c:pt>
              </c:strCache>
            </c:strRef>
          </c:tx>
          <c:dPt>
            <c:idx val="0"/>
            <c:bubble3D val="0"/>
            <c:spPr>
              <a:solidFill>
                <a:srgbClr val="4285F4"/>
              </a:solidFill>
            </c:spPr>
            <c:extLst>
              <c:ext xmlns:c16="http://schemas.microsoft.com/office/drawing/2014/chart" uri="{C3380CC4-5D6E-409C-BE32-E72D297353CC}">
                <c16:uniqueId val="{00000001-3DA5-450B-AC42-E55F7C369B2C}"/>
              </c:ext>
            </c:extLst>
          </c:dPt>
          <c:dPt>
            <c:idx val="1"/>
            <c:bubble3D val="0"/>
            <c:spPr>
              <a:solidFill>
                <a:srgbClr val="EA4335"/>
              </a:solidFill>
            </c:spPr>
            <c:extLst>
              <c:ext xmlns:c16="http://schemas.microsoft.com/office/drawing/2014/chart" uri="{C3380CC4-5D6E-409C-BE32-E72D297353CC}">
                <c16:uniqueId val="{00000003-3DA5-450B-AC42-E55F7C369B2C}"/>
              </c:ext>
            </c:extLst>
          </c:dPt>
          <c:dPt>
            <c:idx val="2"/>
            <c:bubble3D val="0"/>
            <c:spPr>
              <a:solidFill>
                <a:srgbClr val="FBBC04"/>
              </a:solidFill>
            </c:spPr>
            <c:extLst>
              <c:ext xmlns:c16="http://schemas.microsoft.com/office/drawing/2014/chart" uri="{C3380CC4-5D6E-409C-BE32-E72D297353CC}">
                <c16:uniqueId val="{00000005-3DA5-450B-AC42-E55F7C369B2C}"/>
              </c:ext>
            </c:extLst>
          </c:dPt>
          <c:dPt>
            <c:idx val="3"/>
            <c:bubble3D val="0"/>
            <c:spPr>
              <a:solidFill>
                <a:srgbClr val="34A853"/>
              </a:solidFill>
            </c:spPr>
            <c:extLst>
              <c:ext xmlns:c16="http://schemas.microsoft.com/office/drawing/2014/chart" uri="{C3380CC4-5D6E-409C-BE32-E72D297353CC}">
                <c16:uniqueId val="{00000007-3DA5-450B-AC42-E55F7C369B2C}"/>
              </c:ext>
            </c:extLst>
          </c:dPt>
          <c:dPt>
            <c:idx val="4"/>
            <c:bubble3D val="0"/>
            <c:spPr>
              <a:solidFill>
                <a:srgbClr val="FF6D01"/>
              </a:solidFill>
            </c:spPr>
            <c:extLst>
              <c:ext xmlns:c16="http://schemas.microsoft.com/office/drawing/2014/chart" uri="{C3380CC4-5D6E-409C-BE32-E72D297353CC}">
                <c16:uniqueId val="{00000009-3DA5-450B-AC42-E55F7C369B2C}"/>
              </c:ext>
            </c:extLst>
          </c:dPt>
          <c:dPt>
            <c:idx val="5"/>
            <c:bubble3D val="0"/>
            <c:spPr>
              <a:solidFill>
                <a:srgbClr val="46BDC6"/>
              </a:solidFill>
            </c:spPr>
            <c:extLst>
              <c:ext xmlns:c16="http://schemas.microsoft.com/office/drawing/2014/chart" uri="{C3380CC4-5D6E-409C-BE32-E72D297353CC}">
                <c16:uniqueId val="{0000000B-3DA5-450B-AC42-E55F7C369B2C}"/>
              </c:ext>
            </c:extLst>
          </c:dPt>
          <c:cat>
            <c:strRef>
              <c:f>'Cópia de RELATÓRIO ANUAL 2023'!$B$25:$B$30</c:f>
              <c:strCache>
                <c:ptCount val="6"/>
                <c:pt idx="0">
                  <c:v>Iniciação Científica</c:v>
                </c:pt>
                <c:pt idx="1">
                  <c:v>TCC</c:v>
                </c:pt>
                <c:pt idx="2">
                  <c:v>TCR</c:v>
                </c:pt>
                <c:pt idx="3">
                  <c:v>Mestrado</c:v>
                </c:pt>
                <c:pt idx="4">
                  <c:v>Doutorado</c:v>
                </c:pt>
                <c:pt idx="5">
                  <c:v>Publicação</c:v>
                </c:pt>
              </c:strCache>
            </c:strRef>
          </c:cat>
          <c:val>
            <c:numRef>
              <c:f>'Cópia de RELATÓRIO ANUAL 2023'!$C$25:$C$30</c:f>
              <c:numCache>
                <c:formatCode>General</c:formatCode>
                <c:ptCount val="6"/>
                <c:pt idx="0">
                  <c:v>2</c:v>
                </c:pt>
                <c:pt idx="1">
                  <c:v>2</c:v>
                </c:pt>
                <c:pt idx="2">
                  <c:v>37</c:v>
                </c:pt>
                <c:pt idx="3">
                  <c:v>7</c:v>
                </c:pt>
                <c:pt idx="4">
                  <c:v>2</c:v>
                </c:pt>
                <c:pt idx="5">
                  <c:v>37</c:v>
                </c:pt>
              </c:numCache>
            </c:numRef>
          </c:val>
          <c:extLst>
            <c:ext xmlns:c16="http://schemas.microsoft.com/office/drawing/2014/chart" uri="{C3380CC4-5D6E-409C-BE32-E72D297353CC}">
              <c16:uniqueId val="{0000000C-3DA5-450B-AC42-E55F7C369B2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D905-4850-839E-F5128F704862}"/>
              </c:ext>
            </c:extLst>
          </c:dPt>
          <c:dPt>
            <c:idx val="1"/>
            <c:invertIfNegative val="1"/>
            <c:bubble3D val="0"/>
            <c:extLst>
              <c:ext xmlns:c16="http://schemas.microsoft.com/office/drawing/2014/chart" uri="{C3380CC4-5D6E-409C-BE32-E72D297353CC}">
                <c16:uniqueId val="{00000001-D905-4850-839E-F5128F704862}"/>
              </c:ext>
            </c:extLst>
          </c:dPt>
          <c:dPt>
            <c:idx val="2"/>
            <c:invertIfNegative val="1"/>
            <c:bubble3D val="0"/>
            <c:extLst>
              <c:ext xmlns:c16="http://schemas.microsoft.com/office/drawing/2014/chart" uri="{C3380CC4-5D6E-409C-BE32-E72D297353CC}">
                <c16:uniqueId val="{00000002-D905-4850-839E-F5128F704862}"/>
              </c:ext>
            </c:extLst>
          </c:dPt>
          <c:dPt>
            <c:idx val="3"/>
            <c:invertIfNegative val="1"/>
            <c:bubble3D val="0"/>
            <c:extLst>
              <c:ext xmlns:c16="http://schemas.microsoft.com/office/drawing/2014/chart" uri="{C3380CC4-5D6E-409C-BE32-E72D297353CC}">
                <c16:uniqueId val="{00000003-D905-4850-839E-F5128F704862}"/>
              </c:ext>
            </c:extLst>
          </c:dPt>
          <c:dLbls>
            <c:dLbl>
              <c:idx val="0"/>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0-D905-4850-839E-F5128F704862}"/>
                </c:ext>
              </c:extLst>
            </c:dLbl>
            <c:dLbl>
              <c:idx val="1"/>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1-D905-4850-839E-F5128F704862}"/>
                </c:ext>
              </c:extLst>
            </c:dLbl>
            <c:dLbl>
              <c:idx val="2"/>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905-4850-839E-F5128F704862}"/>
                </c:ext>
              </c:extLst>
            </c:dLbl>
            <c:dLbl>
              <c:idx val="3"/>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3-D905-4850-839E-F5128F704862}"/>
                </c:ext>
              </c:extLst>
            </c:dLbl>
            <c:spPr>
              <a:noFill/>
              <a:ln>
                <a:noFill/>
              </a:ln>
              <a:effectLst/>
            </c:spPr>
            <c:txPr>
              <a:bodyPr/>
              <a:lstStyle/>
              <a:p>
                <a:pPr lvl="0">
                  <a:defRPr sz="900" b="1"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ANUAL 2023'!$B$1:$B$5</c:f>
              <c:strCache>
                <c:ptCount val="5"/>
                <c:pt idx="0">
                  <c:v>PROJETOS</c:v>
                </c:pt>
                <c:pt idx="1">
                  <c:v>PROJETOS 2023</c:v>
                </c:pt>
                <c:pt idx="2">
                  <c:v>EMENDAS 2023</c:v>
                </c:pt>
                <c:pt idx="3">
                  <c:v>PROJETOS 2022</c:v>
                </c:pt>
                <c:pt idx="4">
                  <c:v>PROJ PENDENC DOC</c:v>
                </c:pt>
              </c:strCache>
            </c:strRef>
          </c:cat>
          <c:val>
            <c:numRef>
              <c:f>'Cópia de RELATÓRIO ANUAL 2023'!$C$1:$C$5</c:f>
              <c:numCache>
                <c:formatCode>General</c:formatCode>
                <c:ptCount val="5"/>
                <c:pt idx="0">
                  <c:v>87</c:v>
                </c:pt>
                <c:pt idx="1">
                  <c:v>58</c:v>
                </c:pt>
                <c:pt idx="2">
                  <c:v>5</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905-4850-839E-F5128F704862}"/>
            </c:ext>
          </c:extLst>
        </c:ser>
        <c:dLbls>
          <c:showLegendKey val="0"/>
          <c:showVal val="0"/>
          <c:showCatName val="0"/>
          <c:showSerName val="0"/>
          <c:showPercent val="0"/>
          <c:showBubbleSize val="0"/>
        </c:dLbls>
        <c:gapWidth val="150"/>
        <c:axId val="1393070358"/>
        <c:axId val="108629477"/>
      </c:barChart>
      <c:catAx>
        <c:axId val="139307035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108629477"/>
        <c:crosses val="autoZero"/>
        <c:auto val="1"/>
        <c:lblAlgn val="ctr"/>
        <c:lblOffset val="100"/>
        <c:noMultiLvlLbl val="1"/>
      </c:catAx>
      <c:valAx>
        <c:axId val="108629477"/>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393070358"/>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cat>
            <c:strRef>
              <c:f>'Cópia de RELATÓRIO ANUAL 2023'!$B$7:$B$18</c:f>
              <c:strCache>
                <c:ptCount val="12"/>
                <c:pt idx="0">
                  <c:v>Projetos tramitados</c:v>
                </c:pt>
                <c:pt idx="1">
                  <c:v>FHEMIG</c:v>
                </c:pt>
                <c:pt idx="2">
                  <c:v>UFMG</c:v>
                </c:pt>
                <c:pt idx="3">
                  <c:v>RENE RACHOU</c:v>
                </c:pt>
                <c:pt idx="4">
                  <c:v>CIÊNCIAS MÉDICAS</c:v>
                </c:pt>
                <c:pt idx="5">
                  <c:v>UNIV FED FLUM</c:v>
                </c:pt>
                <c:pt idx="6">
                  <c:v>Universidade Europea</c:v>
                </c:pt>
                <c:pt idx="7">
                  <c:v>MOINHOS DE VENTO</c:v>
                </c:pt>
                <c:pt idx="8">
                  <c:v>BOTUCATU</c:v>
                </c:pt>
                <c:pt idx="9">
                  <c:v>PUCMINAS</c:v>
                </c:pt>
                <c:pt idx="10">
                  <c:v>EINSTEIN</c:v>
                </c:pt>
                <c:pt idx="11">
                  <c:v>NATIONWIDE CHILF H</c:v>
                </c:pt>
              </c:strCache>
            </c:strRef>
          </c:cat>
          <c:val>
            <c:numRef>
              <c:f>'Cópia de RELATÓRIO ANUAL 2023'!$C$7:$C$18</c:f>
              <c:numCache>
                <c:formatCode>General</c:formatCode>
                <c:ptCount val="12"/>
                <c:pt idx="0">
                  <c:v>87</c:v>
                </c:pt>
                <c:pt idx="1">
                  <c:v>68</c:v>
                </c:pt>
                <c:pt idx="2">
                  <c:v>10</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630-41B7-9244-58ED666E8AD8}"/>
            </c:ext>
          </c:extLst>
        </c:ser>
        <c:dLbls>
          <c:showLegendKey val="0"/>
          <c:showVal val="0"/>
          <c:showCatName val="0"/>
          <c:showSerName val="0"/>
          <c:showPercent val="0"/>
          <c:showBubbleSize val="0"/>
        </c:dLbls>
        <c:gapWidth val="150"/>
        <c:axId val="1304862257"/>
        <c:axId val="1234612228"/>
      </c:barChart>
      <c:catAx>
        <c:axId val="130486225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34612228"/>
        <c:crosses val="autoZero"/>
        <c:auto val="1"/>
        <c:lblAlgn val="ctr"/>
        <c:lblOffset val="100"/>
        <c:noMultiLvlLbl val="1"/>
      </c:catAx>
      <c:valAx>
        <c:axId val="12346122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304862257"/>
        <c:crosses val="autoZero"/>
        <c:crossBetween val="between"/>
      </c:valAx>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manualLayout>
          <c:xMode val="edge"/>
          <c:yMode val="edge"/>
          <c:x val="9.7916885389326316E-2"/>
          <c:y val="7.407407407407407E-2"/>
          <c:w val="0.9020831146106737"/>
          <c:h val="0.54991360454943128"/>
        </c:manualLayout>
      </c:layout>
      <c:barChart>
        <c:barDir val="col"/>
        <c:grouping val="clustered"/>
        <c:varyColors val="1"/>
        <c:ser>
          <c:idx val="0"/>
          <c:order val="0"/>
          <c:spPr>
            <a:solidFill>
              <a:srgbClr val="4285F4"/>
            </a:solidFill>
            <a:ln cmpd="sng">
              <a:solidFill>
                <a:srgbClr val="000000"/>
              </a:solidFill>
            </a:ln>
          </c:spPr>
          <c:invertIfNegative val="1"/>
          <c:cat>
            <c:strRef>
              <c:f>'Cópia de RELATÓRIO ANUAL 2023'!$B$8:$B$18</c:f>
              <c:strCache>
                <c:ptCount val="11"/>
                <c:pt idx="0">
                  <c:v>FHEMIG</c:v>
                </c:pt>
                <c:pt idx="1">
                  <c:v>UFMG</c:v>
                </c:pt>
                <c:pt idx="2">
                  <c:v>RENE RACHOU</c:v>
                </c:pt>
                <c:pt idx="3">
                  <c:v>CIÊNCIAS MÉDICAS</c:v>
                </c:pt>
                <c:pt idx="4">
                  <c:v>UNIV FED FLUM</c:v>
                </c:pt>
                <c:pt idx="5">
                  <c:v>Universidade Europea</c:v>
                </c:pt>
                <c:pt idx="6">
                  <c:v>MOINHOS DE VENTO</c:v>
                </c:pt>
                <c:pt idx="7">
                  <c:v>BOTUCATU</c:v>
                </c:pt>
                <c:pt idx="8">
                  <c:v>PUCMINAS</c:v>
                </c:pt>
                <c:pt idx="9">
                  <c:v>EINSTEIN</c:v>
                </c:pt>
                <c:pt idx="10">
                  <c:v>NATIONWIDE CHILF H</c:v>
                </c:pt>
              </c:strCache>
            </c:strRef>
          </c:cat>
          <c:val>
            <c:numRef>
              <c:f>'Cópia de RELATÓRIO ANUAL 2023'!$C$8:$C$18</c:f>
              <c:numCache>
                <c:formatCode>General</c:formatCode>
                <c:ptCount val="11"/>
                <c:pt idx="0">
                  <c:v>68</c:v>
                </c:pt>
                <c:pt idx="1">
                  <c:v>10</c:v>
                </c:pt>
                <c:pt idx="2">
                  <c:v>1</c:v>
                </c:pt>
                <c:pt idx="3">
                  <c:v>1</c:v>
                </c:pt>
                <c:pt idx="4">
                  <c:v>1</c:v>
                </c:pt>
                <c:pt idx="5">
                  <c:v>1</c:v>
                </c:pt>
                <c:pt idx="6">
                  <c:v>1</c:v>
                </c:pt>
                <c:pt idx="7">
                  <c:v>1</c:v>
                </c:pt>
                <c:pt idx="8">
                  <c:v>1</c:v>
                </c:pt>
                <c:pt idx="9">
                  <c:v>1</c:v>
                </c:pt>
                <c:pt idx="1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371-4405-81BA-4CCBEC27D855}"/>
            </c:ext>
          </c:extLst>
        </c:ser>
        <c:dLbls>
          <c:showLegendKey val="0"/>
          <c:showVal val="0"/>
          <c:showCatName val="0"/>
          <c:showSerName val="0"/>
          <c:showPercent val="0"/>
          <c:showBubbleSize val="0"/>
        </c:dLbls>
        <c:gapWidth val="150"/>
        <c:axId val="1641907241"/>
        <c:axId val="403979824"/>
      </c:barChart>
      <c:catAx>
        <c:axId val="164190724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03979824"/>
        <c:crosses val="autoZero"/>
        <c:auto val="1"/>
        <c:lblAlgn val="ctr"/>
        <c:lblOffset val="100"/>
        <c:noMultiLvlLbl val="1"/>
      </c:catAx>
      <c:valAx>
        <c:axId val="4039798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641907241"/>
        <c:crosses val="autoZero"/>
        <c:crossBetween val="between"/>
      </c:valAx>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tx>
            <c:v>              PROJETOS  DE PESQUISA</c:v>
          </c:tx>
          <c:spPr>
            <a:solidFill>
              <a:srgbClr val="4285F4"/>
            </a:solidFill>
            <a:ln cmpd="sng">
              <a:solidFill>
                <a:srgbClr val="000000"/>
              </a:solidFill>
            </a:ln>
          </c:spPr>
          <c:invertIfNegative val="1"/>
          <c:dLbls>
            <c:spPr>
              <a:noFill/>
              <a:ln>
                <a:noFill/>
              </a:ln>
              <a:effectLst/>
            </c:spPr>
            <c:txPr>
              <a:bodyPr/>
              <a:lstStyle/>
              <a:p>
                <a:pPr lvl="0">
                  <a:defRPr sz="1000" b="1"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ANUAL 2023'!$B$25:$B$30</c:f>
              <c:strCache>
                <c:ptCount val="6"/>
                <c:pt idx="0">
                  <c:v>Iniciação Científica</c:v>
                </c:pt>
                <c:pt idx="1">
                  <c:v>TCC</c:v>
                </c:pt>
                <c:pt idx="2">
                  <c:v>TCR</c:v>
                </c:pt>
                <c:pt idx="3">
                  <c:v>Mestrado</c:v>
                </c:pt>
                <c:pt idx="4">
                  <c:v>Doutorado</c:v>
                </c:pt>
                <c:pt idx="5">
                  <c:v>Publicação</c:v>
                </c:pt>
              </c:strCache>
            </c:strRef>
          </c:cat>
          <c:val>
            <c:numRef>
              <c:f>'Cópia de RELATÓRIO ANUAL 2023'!$C$25:$C$30</c:f>
              <c:numCache>
                <c:formatCode>General</c:formatCode>
                <c:ptCount val="6"/>
                <c:pt idx="0">
                  <c:v>2</c:v>
                </c:pt>
                <c:pt idx="1">
                  <c:v>2</c:v>
                </c:pt>
                <c:pt idx="2">
                  <c:v>37</c:v>
                </c:pt>
                <c:pt idx="3">
                  <c:v>7</c:v>
                </c:pt>
                <c:pt idx="4">
                  <c:v>2</c:v>
                </c:pt>
                <c:pt idx="5">
                  <c:v>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12-4C41-AC87-17D9F4326F10}"/>
            </c:ext>
          </c:extLst>
        </c:ser>
        <c:dLbls>
          <c:showLegendKey val="0"/>
          <c:showVal val="0"/>
          <c:showCatName val="0"/>
          <c:showSerName val="0"/>
          <c:showPercent val="0"/>
          <c:showBubbleSize val="0"/>
        </c:dLbls>
        <c:gapWidth val="150"/>
        <c:axId val="1688040745"/>
        <c:axId val="1814293455"/>
      </c:barChart>
      <c:catAx>
        <c:axId val="168804074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1814293455"/>
        <c:crosses val="autoZero"/>
        <c:auto val="1"/>
        <c:lblAlgn val="ctr"/>
        <c:lblOffset val="100"/>
        <c:noMultiLvlLbl val="1"/>
      </c:catAx>
      <c:valAx>
        <c:axId val="1814293455"/>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68804074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RELATÓRIO ANUAL 2023'!$N$46:$N$50</c:f>
              <c:strCache>
                <c:ptCount val="5"/>
                <c:pt idx="0">
                  <c:v>Aprovados CIP</c:v>
                </c:pt>
                <c:pt idx="1">
                  <c:v>Pendências</c:v>
                </c:pt>
                <c:pt idx="2">
                  <c:v>Reprovados</c:v>
                </c:pt>
                <c:pt idx="3">
                  <c:v>Não se Aplica</c:v>
                </c:pt>
                <c:pt idx="4">
                  <c:v>Pend Doc NEP</c:v>
                </c:pt>
              </c:strCache>
            </c:strRef>
          </c:cat>
          <c:val>
            <c:numRef>
              <c:f>'Cópia de RELATÓRIO ANUAL 2023'!$O$46:$O$50</c:f>
              <c:numCache>
                <c:formatCode>General</c:formatCode>
                <c:ptCount val="5"/>
                <c:pt idx="0">
                  <c:v>72</c:v>
                </c:pt>
                <c:pt idx="1">
                  <c:v>5</c:v>
                </c:pt>
                <c:pt idx="2">
                  <c:v>3</c:v>
                </c:pt>
                <c:pt idx="3">
                  <c:v>4</c:v>
                </c:pt>
                <c:pt idx="4">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00-4462-BFCA-A5C1B3D6A1F7}"/>
            </c:ext>
          </c:extLst>
        </c:ser>
        <c:dLbls>
          <c:showLegendKey val="0"/>
          <c:showVal val="0"/>
          <c:showCatName val="0"/>
          <c:showSerName val="0"/>
          <c:showPercent val="0"/>
          <c:showBubbleSize val="0"/>
        </c:dLbls>
        <c:gapWidth val="150"/>
        <c:axId val="267860733"/>
        <c:axId val="98174020"/>
      </c:barChart>
      <c:catAx>
        <c:axId val="26786073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98174020"/>
        <c:crosses val="autoZero"/>
        <c:auto val="1"/>
        <c:lblAlgn val="ctr"/>
        <c:lblOffset val="100"/>
        <c:noMultiLvlLbl val="1"/>
      </c:catAx>
      <c:valAx>
        <c:axId val="981740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67860733"/>
        <c:crosses val="autoZero"/>
        <c:crossBetween val="between"/>
      </c:valAx>
    </c:plotArea>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Pt>
            <c:idx val="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A9B-46D2-9BC2-1858EF0DABB3}"/>
              </c:ext>
            </c:extLst>
          </c:dPt>
          <c:cat>
            <c:strRef>
              <c:f>'Cópia de RELATÓRIO ANUAL 2023'!$B$1:$B$5</c:f>
              <c:strCache>
                <c:ptCount val="5"/>
                <c:pt idx="0">
                  <c:v>PROJETOS</c:v>
                </c:pt>
                <c:pt idx="1">
                  <c:v>PROJETOS 2023</c:v>
                </c:pt>
                <c:pt idx="2">
                  <c:v>EMENDAS 2023</c:v>
                </c:pt>
                <c:pt idx="3">
                  <c:v>PROJETOS 2022</c:v>
                </c:pt>
                <c:pt idx="4">
                  <c:v>PROJ PENDENC DOC</c:v>
                </c:pt>
              </c:strCache>
            </c:strRef>
          </c:cat>
          <c:val>
            <c:numRef>
              <c:f>'Cópia de RELATÓRIO ANUAL 2023'!$C$1:$C$5</c:f>
              <c:numCache>
                <c:formatCode>General</c:formatCode>
                <c:ptCount val="5"/>
                <c:pt idx="0">
                  <c:v>87</c:v>
                </c:pt>
                <c:pt idx="1">
                  <c:v>58</c:v>
                </c:pt>
                <c:pt idx="2">
                  <c:v>5</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A9B-46D2-9BC2-1858EF0DABB3}"/>
            </c:ext>
          </c:extLst>
        </c:ser>
        <c:dLbls>
          <c:showLegendKey val="0"/>
          <c:showVal val="0"/>
          <c:showCatName val="0"/>
          <c:showSerName val="0"/>
          <c:showPercent val="0"/>
          <c:showBubbleSize val="0"/>
        </c:dLbls>
        <c:gapWidth val="150"/>
        <c:axId val="1437235519"/>
        <c:axId val="288903007"/>
      </c:barChart>
      <c:catAx>
        <c:axId val="143723551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288903007"/>
        <c:crosses val="autoZero"/>
        <c:auto val="1"/>
        <c:lblAlgn val="ctr"/>
        <c:lblOffset val="100"/>
        <c:noMultiLvlLbl val="1"/>
      </c:catAx>
      <c:valAx>
        <c:axId val="2889030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437235519"/>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400" b="1">
                <a:solidFill>
                  <a:srgbClr val="0000FF"/>
                </a:solidFill>
                <a:latin typeface="Arial"/>
              </a:defRPr>
            </a:pPr>
            <a:r>
              <a:rPr sz="1400" b="1">
                <a:solidFill>
                  <a:srgbClr val="0000FF"/>
                </a:solidFill>
                <a:latin typeface="Arial"/>
              </a:rPr>
              <a:t>N° de projetos tramitados </a:t>
            </a:r>
          </a:p>
        </c:rich>
      </c:tx>
      <c:overlay val="0"/>
    </c:title>
    <c:autoTitleDeleted val="0"/>
    <c:plotArea>
      <c:layout/>
      <c:barChart>
        <c:barDir val="col"/>
        <c:grouping val="clustered"/>
        <c:varyColors val="1"/>
        <c:ser>
          <c:idx val="0"/>
          <c:order val="0"/>
          <c:tx>
            <c:strRef>
              <c:f>'Cópia de RELATÓRIO ANUAL 2023'!$E$9</c:f>
              <c:strCache>
                <c:ptCount val="1"/>
                <c:pt idx="0">
                  <c:v>N° de projetos</c:v>
                </c:pt>
              </c:strCache>
            </c:strRef>
          </c:tx>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B65F-44EF-A4D0-67AB3FCE9898}"/>
              </c:ext>
            </c:extLst>
          </c:dPt>
          <c:dPt>
            <c:idx val="1"/>
            <c:invertIfNegative val="1"/>
            <c:bubble3D val="0"/>
            <c:extLst>
              <c:ext xmlns:c16="http://schemas.microsoft.com/office/drawing/2014/chart" uri="{C3380CC4-5D6E-409C-BE32-E72D297353CC}">
                <c16:uniqueId val="{00000001-B65F-44EF-A4D0-67AB3FCE9898}"/>
              </c:ext>
            </c:extLst>
          </c:dPt>
          <c:val>
            <c:numRef>
              <c:f>'Cópia de RELATÓRIO ANUAL 2023'!$E$10:$E$12</c:f>
              <c:numCache>
                <c:formatCode>General</c:formatCode>
                <c:ptCount val="3"/>
                <c:pt idx="0">
                  <c:v>87</c:v>
                </c:pt>
                <c:pt idx="1">
                  <c:v>111</c:v>
                </c:pt>
                <c:pt idx="2">
                  <c:v>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65F-44EF-A4D0-67AB3FCE9898}"/>
            </c:ext>
          </c:extLst>
        </c:ser>
        <c:dLbls>
          <c:showLegendKey val="0"/>
          <c:showVal val="0"/>
          <c:showCatName val="0"/>
          <c:showSerName val="0"/>
          <c:showPercent val="0"/>
          <c:showBubbleSize val="0"/>
        </c:dLbls>
        <c:gapWidth val="150"/>
        <c:axId val="1756865365"/>
        <c:axId val="316518843"/>
      </c:barChart>
      <c:catAx>
        <c:axId val="175686536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16518843"/>
        <c:crosses val="autoZero"/>
        <c:auto val="1"/>
        <c:lblAlgn val="ctr"/>
        <c:lblOffset val="100"/>
        <c:noMultiLvlLbl val="1"/>
      </c:catAx>
      <c:valAx>
        <c:axId val="3165188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56865365"/>
        <c:crosses val="autoZero"/>
        <c:crossBetween val="between"/>
      </c:valAx>
    </c:plotArea>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2000" b="1" i="0">
                <a:solidFill>
                  <a:schemeClr val="dk1"/>
                </a:solidFill>
                <a:latin typeface="+mn-lt"/>
              </a:defRPr>
            </a:pPr>
            <a:r>
              <a:rPr sz="2000" b="1" i="0">
                <a:solidFill>
                  <a:schemeClr val="dk1"/>
                </a:solidFill>
                <a:latin typeface="+mn-lt"/>
              </a:rPr>
              <a:t>N° de projetos de pesquisa - CHU</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v>65</c:v>
          </c:tx>
          <c:spPr>
            <a:solidFill>
              <a:srgbClr val="4285F4"/>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41DD-4B4A-839C-325F0EBFC664}"/>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41DD-4B4A-839C-325F0EBFC664}"/>
              </c:ext>
            </c:extLst>
          </c:dPt>
          <c:dPt>
            <c:idx val="2"/>
            <c:invertIfNegative val="1"/>
            <c:bubble3D val="0"/>
            <c:spPr>
              <a:solidFill>
                <a:schemeClr val="accent3"/>
              </a:solidFill>
              <a:ln cmpd="sng">
                <a:solidFill>
                  <a:srgbClr val="000000"/>
                </a:solidFill>
              </a:ln>
            </c:spPr>
            <c:extLst>
              <c:ext xmlns:c16="http://schemas.microsoft.com/office/drawing/2014/chart" uri="{C3380CC4-5D6E-409C-BE32-E72D297353CC}">
                <c16:uniqueId val="{00000005-41DD-4B4A-839C-325F0EBFC664}"/>
              </c:ext>
            </c:extLst>
          </c:dPt>
          <c:dLbls>
            <c:dLbl>
              <c:idx val="0"/>
              <c:spPr/>
              <c:txPr>
                <a:bodyPr/>
                <a:lstStyle/>
                <a:p>
                  <a:pPr lvl="0">
                    <a:defRPr sz="1800"/>
                  </a:pPr>
                  <a:endParaRPr lang="en-US"/>
                </a:p>
              </c:txPr>
              <c:showLegendKey val="0"/>
              <c:showVal val="1"/>
              <c:showCatName val="0"/>
              <c:showSerName val="0"/>
              <c:showPercent val="0"/>
              <c:showBubbleSize val="0"/>
              <c:extLst>
                <c:ext xmlns:c16="http://schemas.microsoft.com/office/drawing/2014/chart" uri="{C3380CC4-5D6E-409C-BE32-E72D297353CC}">
                  <c16:uniqueId val="{00000001-41DD-4B4A-839C-325F0EBFC664}"/>
                </c:ext>
              </c:extLst>
            </c:dLbl>
            <c:dLbl>
              <c:idx val="1"/>
              <c:spPr/>
              <c:txPr>
                <a:bodyPr/>
                <a:lstStyle/>
                <a:p>
                  <a:pPr lvl="0">
                    <a:defRPr sz="1800"/>
                  </a:pPr>
                  <a:endParaRPr lang="en-US"/>
                </a:p>
              </c:txPr>
              <c:showLegendKey val="0"/>
              <c:showVal val="1"/>
              <c:showCatName val="0"/>
              <c:showSerName val="0"/>
              <c:showPercent val="0"/>
              <c:showBubbleSize val="0"/>
              <c:extLst>
                <c:ext xmlns:c16="http://schemas.microsoft.com/office/drawing/2014/chart" uri="{C3380CC4-5D6E-409C-BE32-E72D297353CC}">
                  <c16:uniqueId val="{00000003-41DD-4B4A-839C-325F0EBFC664}"/>
                </c:ext>
              </c:extLst>
            </c:dLbl>
            <c:dLbl>
              <c:idx val="2"/>
              <c:spPr/>
              <c:txPr>
                <a:bodyPr/>
                <a:lstStyle/>
                <a:p>
                  <a:pPr lvl="0">
                    <a:defRPr sz="1800"/>
                  </a:pPr>
                  <a:endParaRPr lang="en-US"/>
                </a:p>
              </c:txPr>
              <c:showLegendKey val="0"/>
              <c:showVal val="1"/>
              <c:showCatName val="0"/>
              <c:showSerName val="0"/>
              <c:showPercent val="0"/>
              <c:showBubbleSize val="0"/>
              <c:extLst>
                <c:ext xmlns:c16="http://schemas.microsoft.com/office/drawing/2014/chart" uri="{C3380CC4-5D6E-409C-BE32-E72D297353CC}">
                  <c16:uniqueId val="{00000005-41DD-4B4A-839C-325F0EBFC664}"/>
                </c:ext>
              </c:extLst>
            </c:dLbl>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'RELATÓRIO TRIMESTRAL 2023'!$B$2:$B$4</c:f>
              <c:numCache>
                <c:formatCode>General</c:formatCode>
                <c:ptCount val="3"/>
                <c:pt idx="0">
                  <c:v>2023</c:v>
                </c:pt>
                <c:pt idx="1">
                  <c:v>2024</c:v>
                </c:pt>
                <c:pt idx="2">
                  <c:v>2025</c:v>
                </c:pt>
              </c:numCache>
            </c:numRef>
          </c:cat>
          <c:val>
            <c:numRef>
              <c:f>'RELATÓRIO TRIMESTRAL 2023'!$C$2:$C$4</c:f>
              <c:numCache>
                <c:formatCode>General</c:formatCode>
                <c:ptCount val="3"/>
                <c:pt idx="0">
                  <c:v>87</c:v>
                </c:pt>
                <c:pt idx="1">
                  <c:v>111</c:v>
                </c:pt>
                <c:pt idx="2">
                  <c:v>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41DD-4B4A-839C-325F0EBFC664}"/>
            </c:ext>
          </c:extLst>
        </c:ser>
        <c:dLbls>
          <c:showLegendKey val="0"/>
          <c:showVal val="0"/>
          <c:showCatName val="0"/>
          <c:showSerName val="0"/>
          <c:showPercent val="0"/>
          <c:showBubbleSize val="0"/>
        </c:dLbls>
        <c:gapWidth val="150"/>
        <c:shape val="box"/>
        <c:axId val="1360447334"/>
        <c:axId val="1236616867"/>
        <c:axId val="0"/>
      </c:bar3DChart>
      <c:catAx>
        <c:axId val="136044733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400" b="1" i="0">
                <a:solidFill>
                  <a:schemeClr val="dk1"/>
                </a:solidFill>
                <a:latin typeface="+mn-lt"/>
              </a:defRPr>
            </a:pPr>
            <a:endParaRPr lang="en-US"/>
          </a:p>
        </c:txPr>
        <c:crossAx val="1236616867"/>
        <c:crosses val="autoZero"/>
        <c:auto val="1"/>
        <c:lblAlgn val="ctr"/>
        <c:lblOffset val="100"/>
        <c:noMultiLvlLbl val="1"/>
      </c:catAx>
      <c:valAx>
        <c:axId val="123661686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1360447334"/>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Projetos por unidade</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6684-4D86-B04F-2F19240316F3}"/>
              </c:ext>
            </c:extLst>
          </c:dPt>
          <c:dPt>
            <c:idx val="1"/>
            <c:bubble3D val="0"/>
            <c:spPr>
              <a:solidFill>
                <a:schemeClr val="accent2"/>
              </a:solidFill>
            </c:spPr>
            <c:extLst>
              <c:ext xmlns:c16="http://schemas.microsoft.com/office/drawing/2014/chart" uri="{C3380CC4-5D6E-409C-BE32-E72D297353CC}">
                <c16:uniqueId val="{00000003-6684-4D86-B04F-2F19240316F3}"/>
              </c:ext>
            </c:extLst>
          </c:dPt>
          <c:dPt>
            <c:idx val="2"/>
            <c:bubble3D val="0"/>
            <c:spPr>
              <a:solidFill>
                <a:schemeClr val="accent3"/>
              </a:solidFill>
            </c:spPr>
            <c:extLst>
              <c:ext xmlns:c16="http://schemas.microsoft.com/office/drawing/2014/chart" uri="{C3380CC4-5D6E-409C-BE32-E72D297353CC}">
                <c16:uniqueId val="{00000005-6684-4D86-B04F-2F19240316F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'RELATÓRIO TRIMESTRAL 2023'!$B$6:$B$8</c:f>
              <c:strCache>
                <c:ptCount val="3"/>
                <c:pt idx="0">
                  <c:v>HJXXIII</c:v>
                </c:pt>
                <c:pt idx="1">
                  <c:v>HIJPII</c:v>
                </c:pt>
                <c:pt idx="2">
                  <c:v>HMAL</c:v>
                </c:pt>
              </c:strCache>
            </c:strRef>
          </c:cat>
          <c:val>
            <c:numRef>
              <c:f>'RELATÓRIO TRIMESTRAL 2023'!$C$6:$C$8</c:f>
              <c:numCache>
                <c:formatCode>General</c:formatCode>
                <c:ptCount val="3"/>
                <c:pt idx="0">
                  <c:v>48</c:v>
                </c:pt>
                <c:pt idx="1">
                  <c:v>16</c:v>
                </c:pt>
                <c:pt idx="2">
                  <c:v>2</c:v>
                </c:pt>
              </c:numCache>
            </c:numRef>
          </c:val>
          <c:extLst>
            <c:ext xmlns:c16="http://schemas.microsoft.com/office/drawing/2014/chart" uri="{C3380CC4-5D6E-409C-BE32-E72D297353CC}">
              <c16:uniqueId val="{00000006-6684-4D86-B04F-2F19240316F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Propósito da pesquisa</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B826-4806-82B9-3D7E2ABD6718}"/>
              </c:ext>
            </c:extLst>
          </c:dPt>
          <c:dPt>
            <c:idx val="1"/>
            <c:bubble3D val="0"/>
            <c:spPr>
              <a:solidFill>
                <a:schemeClr val="accent2"/>
              </a:solidFill>
            </c:spPr>
            <c:extLst>
              <c:ext xmlns:c16="http://schemas.microsoft.com/office/drawing/2014/chart" uri="{C3380CC4-5D6E-409C-BE32-E72D297353CC}">
                <c16:uniqueId val="{00000003-B826-4806-82B9-3D7E2ABD6718}"/>
              </c:ext>
            </c:extLst>
          </c:dPt>
          <c:dPt>
            <c:idx val="2"/>
            <c:bubble3D val="0"/>
            <c:spPr>
              <a:solidFill>
                <a:schemeClr val="accent3"/>
              </a:solidFill>
            </c:spPr>
            <c:extLst>
              <c:ext xmlns:c16="http://schemas.microsoft.com/office/drawing/2014/chart" uri="{C3380CC4-5D6E-409C-BE32-E72D297353CC}">
                <c16:uniqueId val="{00000005-B826-4806-82B9-3D7E2ABD6718}"/>
              </c:ext>
            </c:extLst>
          </c:dPt>
          <c:dPt>
            <c:idx val="3"/>
            <c:bubble3D val="0"/>
            <c:spPr>
              <a:solidFill>
                <a:schemeClr val="accent4"/>
              </a:solidFill>
            </c:spPr>
            <c:extLst>
              <c:ext xmlns:c16="http://schemas.microsoft.com/office/drawing/2014/chart" uri="{C3380CC4-5D6E-409C-BE32-E72D297353CC}">
                <c16:uniqueId val="{00000007-B826-4806-82B9-3D7E2ABD6718}"/>
              </c:ext>
            </c:extLst>
          </c:dPt>
          <c:dPt>
            <c:idx val="4"/>
            <c:bubble3D val="0"/>
            <c:spPr>
              <a:solidFill>
                <a:schemeClr val="accent5"/>
              </a:solidFill>
            </c:spPr>
            <c:extLst>
              <c:ext xmlns:c16="http://schemas.microsoft.com/office/drawing/2014/chart" uri="{C3380CC4-5D6E-409C-BE32-E72D297353CC}">
                <c16:uniqueId val="{00000009-B826-4806-82B9-3D7E2ABD6718}"/>
              </c:ext>
            </c:extLst>
          </c:dPt>
          <c:dPt>
            <c:idx val="5"/>
            <c:bubble3D val="0"/>
            <c:spPr>
              <a:solidFill>
                <a:schemeClr val="accent6"/>
              </a:solidFill>
            </c:spPr>
            <c:extLst>
              <c:ext xmlns:c16="http://schemas.microsoft.com/office/drawing/2014/chart" uri="{C3380CC4-5D6E-409C-BE32-E72D297353CC}">
                <c16:uniqueId val="{0000000B-B826-4806-82B9-3D7E2ABD6718}"/>
              </c:ext>
            </c:extLst>
          </c:dPt>
          <c:cat>
            <c:strRef>
              <c:f>'RELATÓRIO TRIMESTRAL 2023'!$B$22:$B$27</c:f>
              <c:strCache>
                <c:ptCount val="6"/>
                <c:pt idx="0">
                  <c:v>Iniciação Científica</c:v>
                </c:pt>
                <c:pt idx="1">
                  <c:v>TCC</c:v>
                </c:pt>
                <c:pt idx="2">
                  <c:v>TCR</c:v>
                </c:pt>
                <c:pt idx="3">
                  <c:v>Mestrado</c:v>
                </c:pt>
                <c:pt idx="4">
                  <c:v>Doutorado</c:v>
                </c:pt>
                <c:pt idx="5">
                  <c:v>Publicação</c:v>
                </c:pt>
              </c:strCache>
            </c:strRef>
          </c:cat>
          <c:val>
            <c:numRef>
              <c:f>'RELATÓRIO TRIMESTRAL 2023'!$C$22:$C$27</c:f>
              <c:numCache>
                <c:formatCode>General</c:formatCode>
                <c:ptCount val="6"/>
                <c:pt idx="0">
                  <c:v>1</c:v>
                </c:pt>
                <c:pt idx="1">
                  <c:v>2</c:v>
                </c:pt>
                <c:pt idx="2">
                  <c:v>35</c:v>
                </c:pt>
                <c:pt idx="3">
                  <c:v>7</c:v>
                </c:pt>
                <c:pt idx="4">
                  <c:v>2</c:v>
                </c:pt>
                <c:pt idx="5">
                  <c:v>19</c:v>
                </c:pt>
              </c:numCache>
            </c:numRef>
          </c:val>
          <c:extLst>
            <c:ext xmlns:c16="http://schemas.microsoft.com/office/drawing/2014/chart" uri="{C3380CC4-5D6E-409C-BE32-E72D297353CC}">
              <c16:uniqueId val="{0000000C-B826-4806-82B9-3D7E2ABD6718}"/>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'RELATÓRIO TRIMESTRAL 2023'!$B$30:$B$34</c:f>
              <c:strCache>
                <c:ptCount val="5"/>
                <c:pt idx="0">
                  <c:v>Nº PROJETOS  APROVADOS</c:v>
                </c:pt>
                <c:pt idx="1">
                  <c:v>1 PT</c:v>
                </c:pt>
                <c:pt idx="2">
                  <c:v>2 PT</c:v>
                </c:pt>
                <c:pt idx="3">
                  <c:v>3 PT</c:v>
                </c:pt>
                <c:pt idx="4">
                  <c:v>4 PT</c:v>
                </c:pt>
              </c:strCache>
            </c:strRef>
          </c:cat>
          <c:val>
            <c:numRef>
              <c:f>'RELATÓRIO TRIMESTRAL 2023'!$C$30:$C$34</c:f>
              <c:numCache>
                <c:formatCode>General</c:formatCode>
                <c:ptCount val="5"/>
                <c:pt idx="0">
                  <c:v>53</c:v>
                </c:pt>
                <c:pt idx="1">
                  <c:v>37</c:v>
                </c:pt>
                <c:pt idx="2">
                  <c:v>14</c:v>
                </c:pt>
                <c:pt idx="3">
                  <c:v>1</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748-4216-A516-50FEC139C951}"/>
            </c:ext>
          </c:extLst>
        </c:ser>
        <c:dLbls>
          <c:showLegendKey val="0"/>
          <c:showVal val="0"/>
          <c:showCatName val="0"/>
          <c:showSerName val="0"/>
          <c:showPercent val="0"/>
          <c:showBubbleSize val="0"/>
        </c:dLbls>
        <c:gapWidth val="150"/>
        <c:axId val="538104268"/>
        <c:axId val="279096739"/>
      </c:barChart>
      <c:lineChart>
        <c:grouping val="standard"/>
        <c:varyColors val="0"/>
        <c:ser>
          <c:idx val="1"/>
          <c:order val="1"/>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'RELATÓRIO TRIMESTRAL 2023'!$B$30:$B$34</c:f>
              <c:strCache>
                <c:ptCount val="5"/>
                <c:pt idx="0">
                  <c:v>Nº PROJETOS  APROVADOS</c:v>
                </c:pt>
                <c:pt idx="1">
                  <c:v>1 PT</c:v>
                </c:pt>
                <c:pt idx="2">
                  <c:v>2 PT</c:v>
                </c:pt>
                <c:pt idx="3">
                  <c:v>3 PT</c:v>
                </c:pt>
                <c:pt idx="4">
                  <c:v>4 PT</c:v>
                </c:pt>
              </c:strCache>
            </c:strRef>
          </c:cat>
          <c:val>
            <c:numRef>
              <c:f>'RELATÓRIO TRIMESTRAL 2023'!$D$30:$D$34</c:f>
              <c:numCache>
                <c:formatCode>0.00%</c:formatCode>
                <c:ptCount val="5"/>
                <c:pt idx="0">
                  <c:v>1</c:v>
                </c:pt>
                <c:pt idx="1">
                  <c:v>0.70499999999999996</c:v>
                </c:pt>
                <c:pt idx="2" formatCode="0%">
                  <c:v>0.39</c:v>
                </c:pt>
                <c:pt idx="3">
                  <c:v>7.0999999999999994E-2</c:v>
                </c:pt>
                <c:pt idx="4" formatCode="0%">
                  <c:v>0.04</c:v>
                </c:pt>
              </c:numCache>
            </c:numRef>
          </c:val>
          <c:smooth val="0"/>
          <c:extLst>
            <c:ext xmlns:c16="http://schemas.microsoft.com/office/drawing/2014/chart" uri="{C3380CC4-5D6E-409C-BE32-E72D297353CC}">
              <c16:uniqueId val="{00000001-C748-4216-A516-50FEC139C951}"/>
            </c:ext>
          </c:extLst>
        </c:ser>
        <c:dLbls>
          <c:showLegendKey val="0"/>
          <c:showVal val="0"/>
          <c:showCatName val="0"/>
          <c:showSerName val="0"/>
          <c:showPercent val="0"/>
          <c:showBubbleSize val="0"/>
        </c:dLbls>
        <c:marker val="1"/>
        <c:smooth val="0"/>
        <c:axId val="538104268"/>
        <c:axId val="279096739"/>
      </c:lineChart>
      <c:catAx>
        <c:axId val="53810426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79096739"/>
        <c:crosses val="autoZero"/>
        <c:auto val="1"/>
        <c:lblAlgn val="ctr"/>
        <c:lblOffset val="100"/>
        <c:noMultiLvlLbl val="1"/>
      </c:catAx>
      <c:valAx>
        <c:axId val="2790967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53810426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'RELATÓRIO TRIMESTRAL 2023'!$E$30:$E$34</c:f>
              <c:strCache>
                <c:ptCount val="5"/>
                <c:pt idx="0">
                  <c:v>Nº PROJETOS</c:v>
                </c:pt>
                <c:pt idx="1">
                  <c:v>APROVADOS</c:v>
                </c:pt>
                <c:pt idx="2">
                  <c:v>NÃO SE APLICA</c:v>
                </c:pt>
                <c:pt idx="3">
                  <c:v>PENDÊNCIAS</c:v>
                </c:pt>
                <c:pt idx="4">
                  <c:v>REPROVADOS</c:v>
                </c:pt>
              </c:strCache>
            </c:strRef>
          </c:cat>
          <c:val>
            <c:numRef>
              <c:f>'RELATÓRIO TRIMESTRAL 2023'!$F$30:$F$34</c:f>
              <c:numCache>
                <c:formatCode>General</c:formatCode>
                <c:ptCount val="5"/>
                <c:pt idx="0">
                  <c:v>66</c:v>
                </c:pt>
                <c:pt idx="1">
                  <c:v>53</c:v>
                </c:pt>
                <c:pt idx="2">
                  <c:v>5</c:v>
                </c:pt>
                <c:pt idx="3">
                  <c:v>6</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6EA-4E09-9C6C-0DC0EA7A92F8}"/>
            </c:ext>
          </c:extLst>
        </c:ser>
        <c:ser>
          <c:idx val="1"/>
          <c:order val="1"/>
          <c:spPr>
            <a:solidFill>
              <a:srgbClr val="EA433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'RELATÓRIO TRIMESTRAL 2023'!$E$30:$E$34</c:f>
              <c:strCache>
                <c:ptCount val="5"/>
                <c:pt idx="0">
                  <c:v>Nº PROJETOS</c:v>
                </c:pt>
                <c:pt idx="1">
                  <c:v>APROVADOS</c:v>
                </c:pt>
                <c:pt idx="2">
                  <c:v>NÃO SE APLICA</c:v>
                </c:pt>
                <c:pt idx="3">
                  <c:v>PENDÊNCIAS</c:v>
                </c:pt>
                <c:pt idx="4">
                  <c:v>REPROVADOS</c:v>
                </c:pt>
              </c:strCache>
            </c:strRef>
          </c:cat>
          <c:val>
            <c:numRef>
              <c:f>'RELATÓRIO TRIMESTRAL 2023'!$H$30:$H$34</c:f>
              <c:numCache>
                <c:formatCode>0.0%</c:formatCode>
                <c:ptCount val="5"/>
                <c:pt idx="0" formatCode="0.00%">
                  <c:v>1</c:v>
                </c:pt>
                <c:pt idx="1">
                  <c:v>0.81499999999999995</c:v>
                </c:pt>
                <c:pt idx="2" formatCode="0%">
                  <c:v>0.08</c:v>
                </c:pt>
                <c:pt idx="3" formatCode="0%">
                  <c:v>0.08</c:v>
                </c:pt>
                <c:pt idx="4" formatCode="0%">
                  <c:v>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6EA-4E09-9C6C-0DC0EA7A92F8}"/>
            </c:ext>
          </c:extLst>
        </c:ser>
        <c:dLbls>
          <c:showLegendKey val="0"/>
          <c:showVal val="0"/>
          <c:showCatName val="0"/>
          <c:showSerName val="0"/>
          <c:showPercent val="0"/>
          <c:showBubbleSize val="0"/>
        </c:dLbls>
        <c:gapWidth val="150"/>
        <c:axId val="677694731"/>
        <c:axId val="411349089"/>
      </c:barChart>
      <c:catAx>
        <c:axId val="677694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11349089"/>
        <c:crosses val="autoZero"/>
        <c:auto val="1"/>
        <c:lblAlgn val="ctr"/>
        <c:lblOffset val="100"/>
        <c:noMultiLvlLbl val="1"/>
      </c:catAx>
      <c:valAx>
        <c:axId val="411349089"/>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7769473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rgbClr val="757575"/>
                </a:solidFill>
                <a:latin typeface="+mn-lt"/>
              </a:defRPr>
            </a:pPr>
            <a:r>
              <a:rPr sz="1600" b="1" i="0">
                <a:solidFill>
                  <a:srgbClr val="757575"/>
                </a:solidFill>
                <a:latin typeface="+mn-lt"/>
              </a:rPr>
              <a:t>Estado de apreciação dos projetos </a:t>
            </a:r>
          </a:p>
        </c:rich>
      </c:tx>
      <c:layout>
        <c:manualLayout>
          <c:xMode val="edge"/>
          <c:yMode val="edge"/>
          <c:x val="0.14722222222222223"/>
          <c:y val="4.6296296296296294E-2"/>
        </c:manualLayout>
      </c:layout>
      <c:overlay val="0"/>
    </c:title>
    <c:autoTitleDeleted val="0"/>
    <c:plotArea>
      <c:layout/>
      <c:barChart>
        <c:barDir val="col"/>
        <c:grouping val="stacked"/>
        <c:varyColors val="1"/>
        <c:ser>
          <c:idx val="0"/>
          <c:order val="0"/>
          <c:spPr>
            <a:solidFill>
              <a:srgbClr val="4285F4"/>
            </a:solidFill>
            <a:ln cmpd="sng">
              <a:solidFill>
                <a:srgbClr val="000000"/>
              </a:solidFill>
            </a:ln>
          </c:spPr>
          <c:invertIfNegative val="1"/>
          <c:cat>
            <c:strRef>
              <c:f>'RELATÓRIO TRIMESTRAL 2023'!$E$30:$E$34</c:f>
              <c:strCache>
                <c:ptCount val="5"/>
                <c:pt idx="0">
                  <c:v>Nº PROJETOS</c:v>
                </c:pt>
                <c:pt idx="1">
                  <c:v>APROVADOS</c:v>
                </c:pt>
                <c:pt idx="2">
                  <c:v>NÃO SE APLICA</c:v>
                </c:pt>
                <c:pt idx="3">
                  <c:v>PENDÊNCIAS</c:v>
                </c:pt>
                <c:pt idx="4">
                  <c:v>REPROVADOS</c:v>
                </c:pt>
              </c:strCache>
            </c:strRef>
          </c:cat>
          <c:val>
            <c:numRef>
              <c:f>'RELATÓRIO TRIMESTRAL 2023'!$F$30:$F$34</c:f>
              <c:numCache>
                <c:formatCode>General</c:formatCode>
                <c:ptCount val="5"/>
                <c:pt idx="0">
                  <c:v>66</c:v>
                </c:pt>
                <c:pt idx="1">
                  <c:v>53</c:v>
                </c:pt>
                <c:pt idx="2">
                  <c:v>5</c:v>
                </c:pt>
                <c:pt idx="3">
                  <c:v>6</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7C0-46B6-AA08-8F23E80C4674}"/>
            </c:ext>
          </c:extLst>
        </c:ser>
        <c:ser>
          <c:idx val="1"/>
          <c:order val="1"/>
          <c:spPr>
            <a:solidFill>
              <a:srgbClr val="EA4335"/>
            </a:solidFill>
            <a:ln cmpd="sng">
              <a:solidFill>
                <a:srgbClr val="000000"/>
              </a:solidFill>
            </a:ln>
          </c:spPr>
          <c:invertIfNegative val="1"/>
          <c:cat>
            <c:strRef>
              <c:f>'RELATÓRIO TRIMESTRAL 2023'!$E$30:$E$34</c:f>
              <c:strCache>
                <c:ptCount val="5"/>
                <c:pt idx="0">
                  <c:v>Nº PROJETOS</c:v>
                </c:pt>
                <c:pt idx="1">
                  <c:v>APROVADOS</c:v>
                </c:pt>
                <c:pt idx="2">
                  <c:v>NÃO SE APLICA</c:v>
                </c:pt>
                <c:pt idx="3">
                  <c:v>PENDÊNCIAS</c:v>
                </c:pt>
                <c:pt idx="4">
                  <c:v>REPROVADOS</c:v>
                </c:pt>
              </c:strCache>
            </c:strRef>
          </c:cat>
          <c:val>
            <c:numRef>
              <c:f>'RELATÓRIO TRIMESTRAL 2023'!$H$30:$H$34</c:f>
              <c:numCache>
                <c:formatCode>0.0%</c:formatCode>
                <c:ptCount val="5"/>
                <c:pt idx="0" formatCode="0.00%">
                  <c:v>1</c:v>
                </c:pt>
                <c:pt idx="1">
                  <c:v>0.81499999999999995</c:v>
                </c:pt>
                <c:pt idx="2" formatCode="0%">
                  <c:v>0.08</c:v>
                </c:pt>
                <c:pt idx="3" formatCode="0%">
                  <c:v>0.08</c:v>
                </c:pt>
                <c:pt idx="4" formatCode="0%">
                  <c:v>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7C0-46B6-AA08-8F23E80C4674}"/>
            </c:ext>
          </c:extLst>
        </c:ser>
        <c:dLbls>
          <c:showLegendKey val="0"/>
          <c:showVal val="0"/>
          <c:showCatName val="0"/>
          <c:showSerName val="0"/>
          <c:showPercent val="0"/>
          <c:showBubbleSize val="0"/>
        </c:dLbls>
        <c:gapWidth val="150"/>
        <c:overlap val="100"/>
        <c:axId val="2038442880"/>
        <c:axId val="1965941649"/>
      </c:barChart>
      <c:catAx>
        <c:axId val="203844288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65941649"/>
        <c:crosses val="autoZero"/>
        <c:auto val="1"/>
        <c:lblAlgn val="ctr"/>
        <c:lblOffset val="100"/>
        <c:noMultiLvlLbl val="1"/>
      </c:catAx>
      <c:valAx>
        <c:axId val="19659416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038442880"/>
        <c:crosses val="autoZero"/>
        <c:crossBetween val="between"/>
      </c:valAx>
    </c:plotArea>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Projetos de pesquisa 2023</a:t>
            </a:r>
          </a:p>
        </c:rich>
      </c:tx>
      <c:overlay val="0"/>
    </c:title>
    <c:autoTitleDeleted val="0"/>
    <c:plotArea>
      <c:layout/>
      <c:barChart>
        <c:barDir val="col"/>
        <c:grouping val="clustered"/>
        <c:varyColors val="1"/>
        <c:ser>
          <c:idx val="0"/>
          <c:order val="0"/>
          <c:tx>
            <c:v>65</c:v>
          </c:tx>
          <c:spPr>
            <a:solidFill>
              <a:srgbClr val="4285F4"/>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AC1B-4B7B-8F8F-0432914FF2DC}"/>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AC1B-4B7B-8F8F-0432914FF2DC}"/>
              </c:ext>
            </c:extLst>
          </c:dPt>
          <c:dPt>
            <c:idx val="2"/>
            <c:invertIfNegative val="1"/>
            <c:bubble3D val="0"/>
            <c:spPr>
              <a:solidFill>
                <a:schemeClr val="accent3"/>
              </a:solidFill>
              <a:ln cmpd="sng">
                <a:solidFill>
                  <a:srgbClr val="000000"/>
                </a:solidFill>
              </a:ln>
            </c:spPr>
            <c:extLst>
              <c:ext xmlns:c16="http://schemas.microsoft.com/office/drawing/2014/chart" uri="{C3380CC4-5D6E-409C-BE32-E72D297353CC}">
                <c16:uniqueId val="{00000005-AC1B-4B7B-8F8F-0432914FF2DC}"/>
              </c:ext>
            </c:extLst>
          </c:dPt>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'2024 Cópia de Cópia de RELATÓRI'!$B$2:$B$5</c:f>
              <c:strCache>
                <c:ptCount val="4"/>
                <c:pt idx="0">
                  <c:v>PROJETOS 2023</c:v>
                </c:pt>
                <c:pt idx="1">
                  <c:v>EMENDAS 2023</c:v>
                </c:pt>
                <c:pt idx="2">
                  <c:v>PROJETOS 2022</c:v>
                </c:pt>
                <c:pt idx="3">
                  <c:v>PROJ PENDENC DOC</c:v>
                </c:pt>
              </c:strCache>
            </c:strRef>
          </c:cat>
          <c:val>
            <c:numRef>
              <c:f>'2024 Cópia de Cópia de RELATÓRI'!$C$2:$C$5</c:f>
              <c:numCache>
                <c:formatCode>General</c:formatCode>
                <c:ptCount val="4"/>
                <c:pt idx="0">
                  <c:v>58</c:v>
                </c:pt>
                <c:pt idx="1">
                  <c:v>5</c:v>
                </c:pt>
                <c:pt idx="2">
                  <c:v>4</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C1B-4B7B-8F8F-0432914FF2DC}"/>
            </c:ext>
          </c:extLst>
        </c:ser>
        <c:dLbls>
          <c:showLegendKey val="0"/>
          <c:showVal val="0"/>
          <c:showCatName val="0"/>
          <c:showSerName val="0"/>
          <c:showPercent val="0"/>
          <c:showBubbleSize val="0"/>
        </c:dLbls>
        <c:gapWidth val="150"/>
        <c:axId val="2133128362"/>
        <c:axId val="472845406"/>
      </c:barChart>
      <c:catAx>
        <c:axId val="213312836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472845406"/>
        <c:crosses val="autoZero"/>
        <c:auto val="1"/>
        <c:lblAlgn val="ctr"/>
        <c:lblOffset val="100"/>
        <c:noMultiLvlLbl val="1"/>
      </c:catAx>
      <c:valAx>
        <c:axId val="4728454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2133128362"/>
        <c:crosses val="autoZero"/>
        <c:crossBetween val="between"/>
      </c:valAx>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chemeClr val="lt1"/>
                </a:solidFill>
                <a:latin typeface="+mn-lt"/>
              </a:defRPr>
            </a:pPr>
            <a:r>
              <a:rPr sz="1600" b="1" i="0">
                <a:solidFill>
                  <a:schemeClr val="lt1"/>
                </a:solidFill>
                <a:latin typeface="+mn-lt"/>
              </a:rPr>
              <a:t>Instituições Proponentes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'2024 Cópia de Cópia de RELATÓRI'!$B$8:$B$18</c:f>
              <c:strCache>
                <c:ptCount val="11"/>
                <c:pt idx="0">
                  <c:v>FHEMIG</c:v>
                </c:pt>
                <c:pt idx="1">
                  <c:v>UFMG</c:v>
                </c:pt>
                <c:pt idx="2">
                  <c:v>RENE RACHOU</c:v>
                </c:pt>
                <c:pt idx="3">
                  <c:v>CIÊNCIAS MÉDICAS</c:v>
                </c:pt>
                <c:pt idx="4">
                  <c:v>UNIV FED FLUM</c:v>
                </c:pt>
                <c:pt idx="5">
                  <c:v>Universidade Europea</c:v>
                </c:pt>
                <c:pt idx="6">
                  <c:v>MOINHOS DE VENTO</c:v>
                </c:pt>
                <c:pt idx="7">
                  <c:v>BOTUCATU</c:v>
                </c:pt>
                <c:pt idx="8">
                  <c:v>PUCMINAS</c:v>
                </c:pt>
                <c:pt idx="9">
                  <c:v>EINSTEIN</c:v>
                </c:pt>
                <c:pt idx="10">
                  <c:v>NATIONWIDE CHILF H</c:v>
                </c:pt>
              </c:strCache>
            </c:strRef>
          </c:cat>
          <c:val>
            <c:numRef>
              <c:f>'2024 Cópia de Cópia de RELATÓRI'!$C$8:$C$18</c:f>
              <c:numCache>
                <c:formatCode>General</c:formatCode>
                <c:ptCount val="11"/>
                <c:pt idx="0">
                  <c:v>68</c:v>
                </c:pt>
                <c:pt idx="1">
                  <c:v>10</c:v>
                </c:pt>
                <c:pt idx="2">
                  <c:v>1</c:v>
                </c:pt>
                <c:pt idx="3">
                  <c:v>1</c:v>
                </c:pt>
                <c:pt idx="4">
                  <c:v>1</c:v>
                </c:pt>
                <c:pt idx="5">
                  <c:v>1</c:v>
                </c:pt>
                <c:pt idx="6">
                  <c:v>1</c:v>
                </c:pt>
                <c:pt idx="7">
                  <c:v>1</c:v>
                </c:pt>
                <c:pt idx="8">
                  <c:v>1</c:v>
                </c:pt>
                <c:pt idx="9">
                  <c:v>1</c:v>
                </c:pt>
                <c:pt idx="1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30-4980-8E7E-A0D002416480}"/>
            </c:ext>
          </c:extLst>
        </c:ser>
        <c:dLbls>
          <c:showLegendKey val="0"/>
          <c:showVal val="0"/>
          <c:showCatName val="0"/>
          <c:showSerName val="0"/>
          <c:showPercent val="0"/>
          <c:showBubbleSize val="0"/>
        </c:dLbls>
        <c:gapWidth val="150"/>
        <c:axId val="1639124163"/>
        <c:axId val="58970448"/>
      </c:barChart>
      <c:catAx>
        <c:axId val="163912416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58970448"/>
        <c:crosses val="autoZero"/>
        <c:auto val="1"/>
        <c:lblAlgn val="ctr"/>
        <c:lblOffset val="100"/>
        <c:noMultiLvlLbl val="1"/>
      </c:catAx>
      <c:valAx>
        <c:axId val="589704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1639124163"/>
        <c:crosses val="autoZero"/>
        <c:crossBetween val="between"/>
      </c:valAx>
    </c:plotArea>
    <c:plotVisOnly val="1"/>
    <c:dispBlanksAs val="zero"/>
    <c:showDLblsOverMax val="1"/>
  </c:chart>
  <c:spPr>
    <a:solidFill>
      <a:schemeClr val="dk1"/>
    </a:solidFill>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Propósito da pesquisa</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5023-4386-9F90-3B8E3B5E4F3D}"/>
              </c:ext>
            </c:extLst>
          </c:dPt>
          <c:dPt>
            <c:idx val="1"/>
            <c:bubble3D val="0"/>
            <c:spPr>
              <a:solidFill>
                <a:schemeClr val="accent2"/>
              </a:solidFill>
            </c:spPr>
            <c:extLst>
              <c:ext xmlns:c16="http://schemas.microsoft.com/office/drawing/2014/chart" uri="{C3380CC4-5D6E-409C-BE32-E72D297353CC}">
                <c16:uniqueId val="{00000003-5023-4386-9F90-3B8E3B5E4F3D}"/>
              </c:ext>
            </c:extLst>
          </c:dPt>
          <c:dPt>
            <c:idx val="2"/>
            <c:bubble3D val="0"/>
            <c:spPr>
              <a:solidFill>
                <a:schemeClr val="accent3"/>
              </a:solidFill>
            </c:spPr>
            <c:extLst>
              <c:ext xmlns:c16="http://schemas.microsoft.com/office/drawing/2014/chart" uri="{C3380CC4-5D6E-409C-BE32-E72D297353CC}">
                <c16:uniqueId val="{00000005-5023-4386-9F90-3B8E3B5E4F3D}"/>
              </c:ext>
            </c:extLst>
          </c:dPt>
          <c:dPt>
            <c:idx val="3"/>
            <c:bubble3D val="0"/>
            <c:spPr>
              <a:solidFill>
                <a:schemeClr val="accent4"/>
              </a:solidFill>
            </c:spPr>
            <c:extLst>
              <c:ext xmlns:c16="http://schemas.microsoft.com/office/drawing/2014/chart" uri="{C3380CC4-5D6E-409C-BE32-E72D297353CC}">
                <c16:uniqueId val="{00000007-5023-4386-9F90-3B8E3B5E4F3D}"/>
              </c:ext>
            </c:extLst>
          </c:dPt>
          <c:dPt>
            <c:idx val="4"/>
            <c:bubble3D val="0"/>
            <c:spPr>
              <a:solidFill>
                <a:schemeClr val="accent5"/>
              </a:solidFill>
            </c:spPr>
            <c:extLst>
              <c:ext xmlns:c16="http://schemas.microsoft.com/office/drawing/2014/chart" uri="{C3380CC4-5D6E-409C-BE32-E72D297353CC}">
                <c16:uniqueId val="{00000009-5023-4386-9F90-3B8E3B5E4F3D}"/>
              </c:ext>
            </c:extLst>
          </c:dPt>
          <c:dPt>
            <c:idx val="5"/>
            <c:bubble3D val="0"/>
            <c:spPr>
              <a:solidFill>
                <a:schemeClr val="accent6"/>
              </a:solidFill>
            </c:spPr>
            <c:extLst>
              <c:ext xmlns:c16="http://schemas.microsoft.com/office/drawing/2014/chart" uri="{C3380CC4-5D6E-409C-BE32-E72D297353CC}">
                <c16:uniqueId val="{0000000B-5023-4386-9F90-3B8E3B5E4F3D}"/>
              </c:ext>
            </c:extLst>
          </c:dPt>
          <c:cat>
            <c:strRef>
              <c:f>'2024 Cópia de Cópia de RELATÓRI'!$B$25:$B$30</c:f>
              <c:strCache>
                <c:ptCount val="6"/>
                <c:pt idx="0">
                  <c:v>Iniciação Científica</c:v>
                </c:pt>
                <c:pt idx="1">
                  <c:v>TCC</c:v>
                </c:pt>
                <c:pt idx="2">
                  <c:v>TCR</c:v>
                </c:pt>
                <c:pt idx="3">
                  <c:v>Mestrado</c:v>
                </c:pt>
                <c:pt idx="4">
                  <c:v>Doutorado</c:v>
                </c:pt>
                <c:pt idx="5">
                  <c:v>Publicação</c:v>
                </c:pt>
              </c:strCache>
            </c:strRef>
          </c:cat>
          <c:val>
            <c:numRef>
              <c:f>'2024 Cópia de Cópia de RELATÓRI'!$C$25:$C$30</c:f>
              <c:numCache>
                <c:formatCode>General</c:formatCode>
                <c:ptCount val="6"/>
                <c:pt idx="0">
                  <c:v>2</c:v>
                </c:pt>
                <c:pt idx="1">
                  <c:v>2</c:v>
                </c:pt>
                <c:pt idx="2">
                  <c:v>37</c:v>
                </c:pt>
                <c:pt idx="3">
                  <c:v>7</c:v>
                </c:pt>
                <c:pt idx="4">
                  <c:v>2</c:v>
                </c:pt>
                <c:pt idx="5">
                  <c:v>37</c:v>
                </c:pt>
              </c:numCache>
            </c:numRef>
          </c:val>
          <c:extLst>
            <c:ext xmlns:c16="http://schemas.microsoft.com/office/drawing/2014/chart" uri="{C3380CC4-5D6E-409C-BE32-E72D297353CC}">
              <c16:uniqueId val="{0000000C-5023-4386-9F90-3B8E3B5E4F3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'2024 Cópia de Cópia de RELATÓRI'!$B$33:$B$37</c:f>
              <c:strCache>
                <c:ptCount val="5"/>
                <c:pt idx="0">
                  <c:v>Nº PROJETOS  APROVADOS</c:v>
                </c:pt>
                <c:pt idx="1">
                  <c:v>1 PT</c:v>
                </c:pt>
                <c:pt idx="2">
                  <c:v>2 PT</c:v>
                </c:pt>
                <c:pt idx="3">
                  <c:v>3 PT</c:v>
                </c:pt>
                <c:pt idx="4">
                  <c:v>4 PT</c:v>
                </c:pt>
              </c:strCache>
            </c:strRef>
          </c:cat>
          <c:val>
            <c:numRef>
              <c:f>'2024 Cópia de Cópia de RELATÓRI'!$C$33:$C$37</c:f>
              <c:numCache>
                <c:formatCode>General</c:formatCode>
                <c:ptCount val="5"/>
                <c:pt idx="0">
                  <c:v>53</c:v>
                </c:pt>
                <c:pt idx="1">
                  <c:v>37</c:v>
                </c:pt>
                <c:pt idx="2">
                  <c:v>14</c:v>
                </c:pt>
                <c:pt idx="3">
                  <c:v>1</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87D-4B18-A4DA-DE14A09479BD}"/>
            </c:ext>
          </c:extLst>
        </c:ser>
        <c:dLbls>
          <c:showLegendKey val="0"/>
          <c:showVal val="0"/>
          <c:showCatName val="0"/>
          <c:showSerName val="0"/>
          <c:showPercent val="0"/>
          <c:showBubbleSize val="0"/>
        </c:dLbls>
        <c:gapWidth val="150"/>
        <c:axId val="2093762609"/>
        <c:axId val="1420142211"/>
      </c:barChart>
      <c:lineChart>
        <c:grouping val="standard"/>
        <c:varyColors val="0"/>
        <c:ser>
          <c:idx val="1"/>
          <c:order val="1"/>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'2024 Cópia de Cópia de RELATÓRI'!$B$33:$B$37</c:f>
              <c:strCache>
                <c:ptCount val="5"/>
                <c:pt idx="0">
                  <c:v>Nº PROJETOS  APROVADOS</c:v>
                </c:pt>
                <c:pt idx="1">
                  <c:v>1 PT</c:v>
                </c:pt>
                <c:pt idx="2">
                  <c:v>2 PT</c:v>
                </c:pt>
                <c:pt idx="3">
                  <c:v>3 PT</c:v>
                </c:pt>
                <c:pt idx="4">
                  <c:v>4 PT</c:v>
                </c:pt>
              </c:strCache>
            </c:strRef>
          </c:cat>
          <c:val>
            <c:numRef>
              <c:f>'2024 Cópia de Cópia de RELATÓRI'!$D$33:$D$37</c:f>
              <c:numCache>
                <c:formatCode>0.00%</c:formatCode>
                <c:ptCount val="5"/>
                <c:pt idx="0">
                  <c:v>1</c:v>
                </c:pt>
                <c:pt idx="1">
                  <c:v>0.70499999999999996</c:v>
                </c:pt>
                <c:pt idx="2" formatCode="0%">
                  <c:v>0.39</c:v>
                </c:pt>
                <c:pt idx="3">
                  <c:v>7.0999999999999994E-2</c:v>
                </c:pt>
                <c:pt idx="4" formatCode="0%">
                  <c:v>0.04</c:v>
                </c:pt>
              </c:numCache>
            </c:numRef>
          </c:val>
          <c:smooth val="0"/>
          <c:extLst>
            <c:ext xmlns:c16="http://schemas.microsoft.com/office/drawing/2014/chart" uri="{C3380CC4-5D6E-409C-BE32-E72D297353CC}">
              <c16:uniqueId val="{00000001-B87D-4B18-A4DA-DE14A09479BD}"/>
            </c:ext>
          </c:extLst>
        </c:ser>
        <c:dLbls>
          <c:showLegendKey val="0"/>
          <c:showVal val="0"/>
          <c:showCatName val="0"/>
          <c:showSerName val="0"/>
          <c:showPercent val="0"/>
          <c:showBubbleSize val="0"/>
        </c:dLbls>
        <c:marker val="1"/>
        <c:smooth val="0"/>
        <c:axId val="2093762609"/>
        <c:axId val="1420142211"/>
      </c:lineChart>
      <c:catAx>
        <c:axId val="20937626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420142211"/>
        <c:crosses val="autoZero"/>
        <c:auto val="1"/>
        <c:lblAlgn val="ctr"/>
        <c:lblOffset val="100"/>
        <c:noMultiLvlLbl val="1"/>
      </c:catAx>
      <c:valAx>
        <c:axId val="14201422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09376260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rgbClr val="757575"/>
                </a:solidFill>
                <a:latin typeface="+mn-lt"/>
              </a:defRPr>
            </a:pPr>
            <a:r>
              <a:rPr sz="1600" b="1" i="0">
                <a:solidFill>
                  <a:srgbClr val="757575"/>
                </a:solidFill>
                <a:latin typeface="+mn-lt"/>
              </a:rPr>
              <a:t>Estado de apreciação dos projetos </a:t>
            </a:r>
          </a:p>
        </c:rich>
      </c:tx>
      <c:layout>
        <c:manualLayout>
          <c:xMode val="edge"/>
          <c:yMode val="edge"/>
          <c:x val="0.14722222222222223"/>
          <c:y val="4.6296296296296294E-2"/>
        </c:manualLayout>
      </c:layout>
      <c:overlay val="0"/>
    </c:title>
    <c:autoTitleDeleted val="0"/>
    <c:plotArea>
      <c:layout/>
      <c:barChart>
        <c:barDir val="col"/>
        <c:grouping val="stacked"/>
        <c:varyColors val="1"/>
        <c:ser>
          <c:idx val="0"/>
          <c:order val="0"/>
          <c:spPr>
            <a:solidFill>
              <a:srgbClr val="4285F4"/>
            </a:solidFill>
            <a:ln cmpd="sng">
              <a:solidFill>
                <a:srgbClr val="000000"/>
              </a:solidFill>
            </a:ln>
          </c:spPr>
          <c:invertIfNegative val="1"/>
          <c:cat>
            <c:strRef>
              <c:f>'2024 Cópia de Cópia de RELATÓRI'!$E$33:$E$37</c:f>
              <c:strCache>
                <c:ptCount val="5"/>
                <c:pt idx="0">
                  <c:v>Nº PROJETOS</c:v>
                </c:pt>
                <c:pt idx="1">
                  <c:v>APROVADOS</c:v>
                </c:pt>
                <c:pt idx="2">
                  <c:v>NÃO SE APLICA</c:v>
                </c:pt>
                <c:pt idx="3">
                  <c:v>PENDÊNCIAS</c:v>
                </c:pt>
                <c:pt idx="4">
                  <c:v>REPROVADOS</c:v>
                </c:pt>
              </c:strCache>
            </c:strRef>
          </c:cat>
          <c:val>
            <c:numRef>
              <c:f>'2024 Cópia de Cópia de RELATÓRI'!$F$33:$F$37</c:f>
              <c:numCache>
                <c:formatCode>General</c:formatCode>
                <c:ptCount val="5"/>
                <c:pt idx="0">
                  <c:v>66</c:v>
                </c:pt>
                <c:pt idx="1">
                  <c:v>53</c:v>
                </c:pt>
                <c:pt idx="2">
                  <c:v>5</c:v>
                </c:pt>
                <c:pt idx="3">
                  <c:v>6</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2D-4F5C-ADBF-EF312F174D1C}"/>
            </c:ext>
          </c:extLst>
        </c:ser>
        <c:ser>
          <c:idx val="1"/>
          <c:order val="1"/>
          <c:spPr>
            <a:solidFill>
              <a:srgbClr val="EA4335"/>
            </a:solidFill>
            <a:ln cmpd="sng">
              <a:solidFill>
                <a:srgbClr val="000000"/>
              </a:solidFill>
            </a:ln>
          </c:spPr>
          <c:invertIfNegative val="1"/>
          <c:cat>
            <c:strRef>
              <c:f>'2024 Cópia de Cópia de RELATÓRI'!$E$33:$E$37</c:f>
              <c:strCache>
                <c:ptCount val="5"/>
                <c:pt idx="0">
                  <c:v>Nº PROJETOS</c:v>
                </c:pt>
                <c:pt idx="1">
                  <c:v>APROVADOS</c:v>
                </c:pt>
                <c:pt idx="2">
                  <c:v>NÃO SE APLICA</c:v>
                </c:pt>
                <c:pt idx="3">
                  <c:v>PENDÊNCIAS</c:v>
                </c:pt>
                <c:pt idx="4">
                  <c:v>REPROVADOS</c:v>
                </c:pt>
              </c:strCache>
            </c:strRef>
          </c:cat>
          <c:val>
            <c:numRef>
              <c:f>'2024 Cópia de Cópia de RELATÓRI'!$G$32:$G$36</c:f>
              <c:numCache>
                <c:formatCode>0.0%</c:formatCode>
                <c:ptCount val="5"/>
                <c:pt idx="0" formatCode="0.00%">
                  <c:v>1</c:v>
                </c:pt>
                <c:pt idx="1">
                  <c:v>0.81499999999999995</c:v>
                </c:pt>
                <c:pt idx="2" formatCode="0%">
                  <c:v>0.08</c:v>
                </c:pt>
                <c:pt idx="3" formatCode="0%">
                  <c:v>0.08</c:v>
                </c:pt>
                <c:pt idx="4" formatCode="0%">
                  <c:v>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72D-4F5C-ADBF-EF312F174D1C}"/>
            </c:ext>
          </c:extLst>
        </c:ser>
        <c:dLbls>
          <c:showLegendKey val="0"/>
          <c:showVal val="0"/>
          <c:showCatName val="0"/>
          <c:showSerName val="0"/>
          <c:showPercent val="0"/>
          <c:showBubbleSize val="0"/>
        </c:dLbls>
        <c:gapWidth val="150"/>
        <c:overlap val="100"/>
        <c:axId val="1121524961"/>
        <c:axId val="1132044236"/>
      </c:barChart>
      <c:catAx>
        <c:axId val="112152496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32044236"/>
        <c:crosses val="autoZero"/>
        <c:auto val="1"/>
        <c:lblAlgn val="ctr"/>
        <c:lblOffset val="100"/>
        <c:noMultiLvlLbl val="1"/>
      </c:catAx>
      <c:valAx>
        <c:axId val="11320442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21524961"/>
        <c:crosses val="autoZero"/>
        <c:crossBetween val="between"/>
      </c:valAx>
    </c:plotArea>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43C4-4190-9B55-07CCA9A6E6C1}"/>
              </c:ext>
            </c:extLst>
          </c:dPt>
          <c:dPt>
            <c:idx val="1"/>
            <c:bubble3D val="0"/>
            <c:spPr>
              <a:solidFill>
                <a:srgbClr val="EA4335"/>
              </a:solidFill>
            </c:spPr>
            <c:extLst>
              <c:ext xmlns:c16="http://schemas.microsoft.com/office/drawing/2014/chart" uri="{C3380CC4-5D6E-409C-BE32-E72D297353CC}">
                <c16:uniqueId val="{00000003-43C4-4190-9B55-07CCA9A6E6C1}"/>
              </c:ext>
            </c:extLst>
          </c:dPt>
          <c:dPt>
            <c:idx val="2"/>
            <c:bubble3D val="0"/>
            <c:spPr>
              <a:solidFill>
                <a:srgbClr val="FBBC04"/>
              </a:solidFill>
            </c:spPr>
            <c:extLst>
              <c:ext xmlns:c16="http://schemas.microsoft.com/office/drawing/2014/chart" uri="{C3380CC4-5D6E-409C-BE32-E72D297353CC}">
                <c16:uniqueId val="{00000005-43C4-4190-9B55-07CCA9A6E6C1}"/>
              </c:ext>
            </c:extLst>
          </c:dPt>
          <c:cat>
            <c:strRef>
              <c:f>'2024 Cópia de Cópia de RELATÓRI'!$B$20:$B$22</c:f>
              <c:strCache>
                <c:ptCount val="3"/>
                <c:pt idx="0">
                  <c:v>HJXXIII</c:v>
                </c:pt>
                <c:pt idx="1">
                  <c:v>HIJPII</c:v>
                </c:pt>
                <c:pt idx="2">
                  <c:v>HMAL</c:v>
                </c:pt>
              </c:strCache>
            </c:strRef>
          </c:cat>
          <c:val>
            <c:numRef>
              <c:f>'2024 Cópia de Cópia de RELATÓRI'!$C$20:$C$22</c:f>
              <c:numCache>
                <c:formatCode>General</c:formatCode>
                <c:ptCount val="3"/>
                <c:pt idx="0">
                  <c:v>54</c:v>
                </c:pt>
                <c:pt idx="1">
                  <c:v>31</c:v>
                </c:pt>
                <c:pt idx="2">
                  <c:v>2</c:v>
                </c:pt>
              </c:numCache>
            </c:numRef>
          </c:val>
          <c:extLst>
            <c:ext xmlns:c16="http://schemas.microsoft.com/office/drawing/2014/chart" uri="{C3380CC4-5D6E-409C-BE32-E72D297353CC}">
              <c16:uniqueId val="{00000006-43C4-4190-9B55-07CCA9A6E6C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i="0">
                <a:solidFill>
                  <a:srgbClr val="757575"/>
                </a:solidFill>
                <a:latin typeface="+mn-lt"/>
              </a:defRPr>
            </a:pPr>
            <a:r>
              <a:rPr b="0" i="0">
                <a:solidFill>
                  <a:srgbClr val="757575"/>
                </a:solidFill>
                <a:latin typeface="+mn-lt"/>
              </a:rPr>
              <a:t>87              PROJETOS  DE PESQUISA</a:t>
            </a:r>
          </a:p>
        </c:rich>
      </c:tx>
      <c:overlay val="0"/>
    </c:title>
    <c:autoTitleDeleted val="0"/>
    <c:plotArea>
      <c:layout/>
      <c:pieChart>
        <c:varyColors val="1"/>
        <c:ser>
          <c:idx val="0"/>
          <c:order val="0"/>
          <c:tx>
            <c:strRef>
              <c:f>'2024 Cópia de Cópia de RELATÓRI'!$C$24</c:f>
              <c:strCache>
                <c:ptCount val="1"/>
                <c:pt idx="0">
                  <c:v>              PROJETOS  DE PESQUISA</c:v>
                </c:pt>
              </c:strCache>
            </c:strRef>
          </c:tx>
          <c:dPt>
            <c:idx val="0"/>
            <c:bubble3D val="0"/>
            <c:spPr>
              <a:solidFill>
                <a:srgbClr val="4285F4"/>
              </a:solidFill>
            </c:spPr>
            <c:extLst>
              <c:ext xmlns:c16="http://schemas.microsoft.com/office/drawing/2014/chart" uri="{C3380CC4-5D6E-409C-BE32-E72D297353CC}">
                <c16:uniqueId val="{00000001-E34F-4CC4-8A19-BF177A5B709C}"/>
              </c:ext>
            </c:extLst>
          </c:dPt>
          <c:dPt>
            <c:idx val="1"/>
            <c:bubble3D val="0"/>
            <c:spPr>
              <a:solidFill>
                <a:srgbClr val="EA4335"/>
              </a:solidFill>
            </c:spPr>
            <c:extLst>
              <c:ext xmlns:c16="http://schemas.microsoft.com/office/drawing/2014/chart" uri="{C3380CC4-5D6E-409C-BE32-E72D297353CC}">
                <c16:uniqueId val="{00000003-E34F-4CC4-8A19-BF177A5B709C}"/>
              </c:ext>
            </c:extLst>
          </c:dPt>
          <c:dPt>
            <c:idx val="2"/>
            <c:bubble3D val="0"/>
            <c:spPr>
              <a:solidFill>
                <a:srgbClr val="FBBC04"/>
              </a:solidFill>
            </c:spPr>
            <c:extLst>
              <c:ext xmlns:c16="http://schemas.microsoft.com/office/drawing/2014/chart" uri="{C3380CC4-5D6E-409C-BE32-E72D297353CC}">
                <c16:uniqueId val="{00000005-E34F-4CC4-8A19-BF177A5B709C}"/>
              </c:ext>
            </c:extLst>
          </c:dPt>
          <c:dPt>
            <c:idx val="3"/>
            <c:bubble3D val="0"/>
            <c:spPr>
              <a:solidFill>
                <a:srgbClr val="34A853"/>
              </a:solidFill>
            </c:spPr>
            <c:extLst>
              <c:ext xmlns:c16="http://schemas.microsoft.com/office/drawing/2014/chart" uri="{C3380CC4-5D6E-409C-BE32-E72D297353CC}">
                <c16:uniqueId val="{00000007-E34F-4CC4-8A19-BF177A5B709C}"/>
              </c:ext>
            </c:extLst>
          </c:dPt>
          <c:dPt>
            <c:idx val="4"/>
            <c:bubble3D val="0"/>
            <c:spPr>
              <a:solidFill>
                <a:srgbClr val="FF6D01"/>
              </a:solidFill>
            </c:spPr>
            <c:extLst>
              <c:ext xmlns:c16="http://schemas.microsoft.com/office/drawing/2014/chart" uri="{C3380CC4-5D6E-409C-BE32-E72D297353CC}">
                <c16:uniqueId val="{00000009-E34F-4CC4-8A19-BF177A5B709C}"/>
              </c:ext>
            </c:extLst>
          </c:dPt>
          <c:dPt>
            <c:idx val="5"/>
            <c:bubble3D val="0"/>
            <c:spPr>
              <a:solidFill>
                <a:srgbClr val="46BDC6"/>
              </a:solidFill>
            </c:spPr>
            <c:extLst>
              <c:ext xmlns:c16="http://schemas.microsoft.com/office/drawing/2014/chart" uri="{C3380CC4-5D6E-409C-BE32-E72D297353CC}">
                <c16:uniqueId val="{0000000B-E34F-4CC4-8A19-BF177A5B709C}"/>
              </c:ext>
            </c:extLst>
          </c:dPt>
          <c:cat>
            <c:strRef>
              <c:f>'2024 Cópia de Cópia de RELATÓRI'!$B$25:$B$30</c:f>
              <c:strCache>
                <c:ptCount val="6"/>
                <c:pt idx="0">
                  <c:v>Iniciação Científica</c:v>
                </c:pt>
                <c:pt idx="1">
                  <c:v>TCC</c:v>
                </c:pt>
                <c:pt idx="2">
                  <c:v>TCR</c:v>
                </c:pt>
                <c:pt idx="3">
                  <c:v>Mestrado</c:v>
                </c:pt>
                <c:pt idx="4">
                  <c:v>Doutorado</c:v>
                </c:pt>
                <c:pt idx="5">
                  <c:v>Publicação</c:v>
                </c:pt>
              </c:strCache>
            </c:strRef>
          </c:cat>
          <c:val>
            <c:numRef>
              <c:f>'2024 Cópia de Cópia de RELATÓRI'!$C$25:$C$30</c:f>
              <c:numCache>
                <c:formatCode>General</c:formatCode>
                <c:ptCount val="6"/>
                <c:pt idx="0">
                  <c:v>2</c:v>
                </c:pt>
                <c:pt idx="1">
                  <c:v>2</c:v>
                </c:pt>
                <c:pt idx="2">
                  <c:v>37</c:v>
                </c:pt>
                <c:pt idx="3">
                  <c:v>7</c:v>
                </c:pt>
                <c:pt idx="4">
                  <c:v>2</c:v>
                </c:pt>
                <c:pt idx="5">
                  <c:v>37</c:v>
                </c:pt>
              </c:numCache>
            </c:numRef>
          </c:val>
          <c:extLst>
            <c:ext xmlns:c16="http://schemas.microsoft.com/office/drawing/2014/chart" uri="{C3380CC4-5D6E-409C-BE32-E72D297353CC}">
              <c16:uniqueId val="{0000000C-E34F-4CC4-8A19-BF177A5B709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CF1F-48C7-BA5F-21E61144E5B6}"/>
              </c:ext>
            </c:extLst>
          </c:dPt>
          <c:dPt>
            <c:idx val="1"/>
            <c:invertIfNegative val="1"/>
            <c:bubble3D val="0"/>
            <c:extLst>
              <c:ext xmlns:c16="http://schemas.microsoft.com/office/drawing/2014/chart" uri="{C3380CC4-5D6E-409C-BE32-E72D297353CC}">
                <c16:uniqueId val="{00000001-CF1F-48C7-BA5F-21E61144E5B6}"/>
              </c:ext>
            </c:extLst>
          </c:dPt>
          <c:dPt>
            <c:idx val="2"/>
            <c:invertIfNegative val="1"/>
            <c:bubble3D val="0"/>
            <c:extLst>
              <c:ext xmlns:c16="http://schemas.microsoft.com/office/drawing/2014/chart" uri="{C3380CC4-5D6E-409C-BE32-E72D297353CC}">
                <c16:uniqueId val="{00000002-CF1F-48C7-BA5F-21E61144E5B6}"/>
              </c:ext>
            </c:extLst>
          </c:dPt>
          <c:dPt>
            <c:idx val="3"/>
            <c:invertIfNegative val="1"/>
            <c:bubble3D val="0"/>
            <c:extLst>
              <c:ext xmlns:c16="http://schemas.microsoft.com/office/drawing/2014/chart" uri="{C3380CC4-5D6E-409C-BE32-E72D297353CC}">
                <c16:uniqueId val="{00000003-CF1F-48C7-BA5F-21E61144E5B6}"/>
              </c:ext>
            </c:extLst>
          </c:dPt>
          <c:dLbls>
            <c:dLbl>
              <c:idx val="0"/>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0-CF1F-48C7-BA5F-21E61144E5B6}"/>
                </c:ext>
              </c:extLst>
            </c:dLbl>
            <c:dLbl>
              <c:idx val="1"/>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1-CF1F-48C7-BA5F-21E61144E5B6}"/>
                </c:ext>
              </c:extLst>
            </c:dLbl>
            <c:dLbl>
              <c:idx val="2"/>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2-CF1F-48C7-BA5F-21E61144E5B6}"/>
                </c:ext>
              </c:extLst>
            </c:dLbl>
            <c:dLbl>
              <c:idx val="3"/>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F1F-48C7-BA5F-21E61144E5B6}"/>
                </c:ext>
              </c:extLst>
            </c:dLbl>
            <c:spPr>
              <a:noFill/>
              <a:ln>
                <a:noFill/>
              </a:ln>
              <a:effectLst/>
            </c:spPr>
            <c:txPr>
              <a:bodyPr/>
              <a:lstStyle/>
              <a:p>
                <a:pPr lvl="0">
                  <a:defRPr sz="900" b="1"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'2024 Cópia de Cópia de RELATÓRI'!$B$1:$B$5</c:f>
              <c:strCache>
                <c:ptCount val="5"/>
                <c:pt idx="0">
                  <c:v>PROJETOS</c:v>
                </c:pt>
                <c:pt idx="1">
                  <c:v>PROJETOS 2023</c:v>
                </c:pt>
                <c:pt idx="2">
                  <c:v>EMENDAS 2023</c:v>
                </c:pt>
                <c:pt idx="3">
                  <c:v>PROJETOS 2022</c:v>
                </c:pt>
                <c:pt idx="4">
                  <c:v>PROJ PENDENC DOC</c:v>
                </c:pt>
              </c:strCache>
            </c:strRef>
          </c:cat>
          <c:val>
            <c:numRef>
              <c:f>'2024 Cópia de Cópia de RELATÓRI'!$C$1:$C$5</c:f>
              <c:numCache>
                <c:formatCode>General</c:formatCode>
                <c:ptCount val="5"/>
                <c:pt idx="0">
                  <c:v>87</c:v>
                </c:pt>
                <c:pt idx="1">
                  <c:v>58</c:v>
                </c:pt>
                <c:pt idx="2">
                  <c:v>5</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F1F-48C7-BA5F-21E61144E5B6}"/>
            </c:ext>
          </c:extLst>
        </c:ser>
        <c:dLbls>
          <c:showLegendKey val="0"/>
          <c:showVal val="0"/>
          <c:showCatName val="0"/>
          <c:showSerName val="0"/>
          <c:showPercent val="0"/>
          <c:showBubbleSize val="0"/>
        </c:dLbls>
        <c:gapWidth val="150"/>
        <c:axId val="792670743"/>
        <c:axId val="682211748"/>
      </c:barChart>
      <c:catAx>
        <c:axId val="79267074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682211748"/>
        <c:crosses val="autoZero"/>
        <c:auto val="1"/>
        <c:lblAlgn val="ctr"/>
        <c:lblOffset val="100"/>
        <c:noMultiLvlLbl val="1"/>
      </c:catAx>
      <c:valAx>
        <c:axId val="682211748"/>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792670743"/>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cat>
            <c:strRef>
              <c:f>'2024 Cópia de Cópia de RELATÓRI'!$B$7:$B$18</c:f>
              <c:strCache>
                <c:ptCount val="12"/>
                <c:pt idx="0">
                  <c:v>Projetos tramitados</c:v>
                </c:pt>
                <c:pt idx="1">
                  <c:v>FHEMIG</c:v>
                </c:pt>
                <c:pt idx="2">
                  <c:v>UFMG</c:v>
                </c:pt>
                <c:pt idx="3">
                  <c:v>RENE RACHOU</c:v>
                </c:pt>
                <c:pt idx="4">
                  <c:v>CIÊNCIAS MÉDICAS</c:v>
                </c:pt>
                <c:pt idx="5">
                  <c:v>UNIV FED FLUM</c:v>
                </c:pt>
                <c:pt idx="6">
                  <c:v>Universidade Europea</c:v>
                </c:pt>
                <c:pt idx="7">
                  <c:v>MOINHOS DE VENTO</c:v>
                </c:pt>
                <c:pt idx="8">
                  <c:v>BOTUCATU</c:v>
                </c:pt>
                <c:pt idx="9">
                  <c:v>PUCMINAS</c:v>
                </c:pt>
                <c:pt idx="10">
                  <c:v>EINSTEIN</c:v>
                </c:pt>
                <c:pt idx="11">
                  <c:v>NATIONWIDE CHILF H</c:v>
                </c:pt>
              </c:strCache>
            </c:strRef>
          </c:cat>
          <c:val>
            <c:numRef>
              <c:f>'2024 Cópia de Cópia de RELATÓRI'!$C$7:$C$18</c:f>
              <c:numCache>
                <c:formatCode>General</c:formatCode>
                <c:ptCount val="12"/>
                <c:pt idx="0">
                  <c:v>87</c:v>
                </c:pt>
                <c:pt idx="1">
                  <c:v>68</c:v>
                </c:pt>
                <c:pt idx="2">
                  <c:v>10</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5DB-4C87-9319-DC22D0289B39}"/>
            </c:ext>
          </c:extLst>
        </c:ser>
        <c:dLbls>
          <c:showLegendKey val="0"/>
          <c:showVal val="0"/>
          <c:showCatName val="0"/>
          <c:showSerName val="0"/>
          <c:showPercent val="0"/>
          <c:showBubbleSize val="0"/>
        </c:dLbls>
        <c:gapWidth val="150"/>
        <c:axId val="442752391"/>
        <c:axId val="540165345"/>
      </c:barChart>
      <c:catAx>
        <c:axId val="4427523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40165345"/>
        <c:crosses val="autoZero"/>
        <c:auto val="1"/>
        <c:lblAlgn val="ctr"/>
        <c:lblOffset val="100"/>
        <c:noMultiLvlLbl val="1"/>
      </c:catAx>
      <c:valAx>
        <c:axId val="54016534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442752391"/>
        <c:crosses val="autoZero"/>
        <c:crossBetween val="between"/>
      </c:valAx>
    </c:plotArea>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manualLayout>
          <c:xMode val="edge"/>
          <c:yMode val="edge"/>
          <c:x val="9.7916885389326316E-2"/>
          <c:y val="7.407407407407407E-2"/>
          <c:w val="0.9020831146106737"/>
          <c:h val="0.54991360454943128"/>
        </c:manualLayout>
      </c:layout>
      <c:barChart>
        <c:barDir val="col"/>
        <c:grouping val="clustered"/>
        <c:varyColors val="1"/>
        <c:ser>
          <c:idx val="0"/>
          <c:order val="0"/>
          <c:spPr>
            <a:solidFill>
              <a:srgbClr val="4285F4"/>
            </a:solidFill>
            <a:ln cmpd="sng">
              <a:solidFill>
                <a:srgbClr val="000000"/>
              </a:solidFill>
            </a:ln>
          </c:spPr>
          <c:invertIfNegative val="1"/>
          <c:cat>
            <c:strRef>
              <c:f>'2024 Cópia de Cópia de RELATÓRI'!$B$8:$B$18</c:f>
              <c:strCache>
                <c:ptCount val="11"/>
                <c:pt idx="0">
                  <c:v>FHEMIG</c:v>
                </c:pt>
                <c:pt idx="1">
                  <c:v>UFMG</c:v>
                </c:pt>
                <c:pt idx="2">
                  <c:v>RENE RACHOU</c:v>
                </c:pt>
                <c:pt idx="3">
                  <c:v>CIÊNCIAS MÉDICAS</c:v>
                </c:pt>
                <c:pt idx="4">
                  <c:v>UNIV FED FLUM</c:v>
                </c:pt>
                <c:pt idx="5">
                  <c:v>Universidade Europea</c:v>
                </c:pt>
                <c:pt idx="6">
                  <c:v>MOINHOS DE VENTO</c:v>
                </c:pt>
                <c:pt idx="7">
                  <c:v>BOTUCATU</c:v>
                </c:pt>
                <c:pt idx="8">
                  <c:v>PUCMINAS</c:v>
                </c:pt>
                <c:pt idx="9">
                  <c:v>EINSTEIN</c:v>
                </c:pt>
                <c:pt idx="10">
                  <c:v>NATIONWIDE CHILF H</c:v>
                </c:pt>
              </c:strCache>
            </c:strRef>
          </c:cat>
          <c:val>
            <c:numRef>
              <c:f>'2024 Cópia de Cópia de RELATÓRI'!$C$8:$C$18</c:f>
              <c:numCache>
                <c:formatCode>General</c:formatCode>
                <c:ptCount val="11"/>
                <c:pt idx="0">
                  <c:v>68</c:v>
                </c:pt>
                <c:pt idx="1">
                  <c:v>10</c:v>
                </c:pt>
                <c:pt idx="2">
                  <c:v>1</c:v>
                </c:pt>
                <c:pt idx="3">
                  <c:v>1</c:v>
                </c:pt>
                <c:pt idx="4">
                  <c:v>1</c:v>
                </c:pt>
                <c:pt idx="5">
                  <c:v>1</c:v>
                </c:pt>
                <c:pt idx="6">
                  <c:v>1</c:v>
                </c:pt>
                <c:pt idx="7">
                  <c:v>1</c:v>
                </c:pt>
                <c:pt idx="8">
                  <c:v>1</c:v>
                </c:pt>
                <c:pt idx="9">
                  <c:v>1</c:v>
                </c:pt>
                <c:pt idx="1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33-4643-AFC1-700F8A9C1FA8}"/>
            </c:ext>
          </c:extLst>
        </c:ser>
        <c:dLbls>
          <c:showLegendKey val="0"/>
          <c:showVal val="0"/>
          <c:showCatName val="0"/>
          <c:showSerName val="0"/>
          <c:showPercent val="0"/>
          <c:showBubbleSize val="0"/>
        </c:dLbls>
        <c:gapWidth val="150"/>
        <c:axId val="128133472"/>
        <c:axId val="21684491"/>
      </c:barChart>
      <c:catAx>
        <c:axId val="12813347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1684491"/>
        <c:crosses val="autoZero"/>
        <c:auto val="1"/>
        <c:lblAlgn val="ctr"/>
        <c:lblOffset val="100"/>
        <c:noMultiLvlLbl val="1"/>
      </c:catAx>
      <c:valAx>
        <c:axId val="2168449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28133472"/>
        <c:crosses val="autoZero"/>
        <c:crossBetween val="between"/>
      </c:valAx>
    </c:plotArea>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tx>
            <c:v>              PROJETOS  DE PESQUISA</c:v>
          </c:tx>
          <c:spPr>
            <a:solidFill>
              <a:srgbClr val="4285F4"/>
            </a:solidFill>
            <a:ln cmpd="sng">
              <a:solidFill>
                <a:srgbClr val="000000"/>
              </a:solidFill>
            </a:ln>
          </c:spPr>
          <c:invertIfNegative val="1"/>
          <c:dLbls>
            <c:spPr>
              <a:noFill/>
              <a:ln>
                <a:noFill/>
              </a:ln>
              <a:effectLst/>
            </c:spPr>
            <c:txPr>
              <a:bodyPr/>
              <a:lstStyle/>
              <a:p>
                <a:pPr lvl="0">
                  <a:defRPr sz="1000" b="1"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'2024 Cópia de Cópia de RELATÓRI'!$B$25:$B$30</c:f>
              <c:strCache>
                <c:ptCount val="6"/>
                <c:pt idx="0">
                  <c:v>Iniciação Científica</c:v>
                </c:pt>
                <c:pt idx="1">
                  <c:v>TCC</c:v>
                </c:pt>
                <c:pt idx="2">
                  <c:v>TCR</c:v>
                </c:pt>
                <c:pt idx="3">
                  <c:v>Mestrado</c:v>
                </c:pt>
                <c:pt idx="4">
                  <c:v>Doutorado</c:v>
                </c:pt>
                <c:pt idx="5">
                  <c:v>Publicação</c:v>
                </c:pt>
              </c:strCache>
            </c:strRef>
          </c:cat>
          <c:val>
            <c:numRef>
              <c:f>'2024 Cópia de Cópia de RELATÓRI'!$C$25:$C$30</c:f>
              <c:numCache>
                <c:formatCode>General</c:formatCode>
                <c:ptCount val="6"/>
                <c:pt idx="0">
                  <c:v>2</c:v>
                </c:pt>
                <c:pt idx="1">
                  <c:v>2</c:v>
                </c:pt>
                <c:pt idx="2">
                  <c:v>37</c:v>
                </c:pt>
                <c:pt idx="3">
                  <c:v>7</c:v>
                </c:pt>
                <c:pt idx="4">
                  <c:v>2</c:v>
                </c:pt>
                <c:pt idx="5">
                  <c:v>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24C-444A-A9D3-4A501F0AB16B}"/>
            </c:ext>
          </c:extLst>
        </c:ser>
        <c:dLbls>
          <c:showLegendKey val="0"/>
          <c:showVal val="0"/>
          <c:showCatName val="0"/>
          <c:showSerName val="0"/>
          <c:showPercent val="0"/>
          <c:showBubbleSize val="0"/>
        </c:dLbls>
        <c:gapWidth val="150"/>
        <c:axId val="3052717"/>
        <c:axId val="140325273"/>
      </c:barChart>
      <c:catAx>
        <c:axId val="305271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140325273"/>
        <c:crosses val="autoZero"/>
        <c:auto val="1"/>
        <c:lblAlgn val="ctr"/>
        <c:lblOffset val="100"/>
        <c:noMultiLvlLbl val="1"/>
      </c:catAx>
      <c:valAx>
        <c:axId val="140325273"/>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3052717"/>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'2024 Cópia de Cópia de RELATÓRI'!$N$46:$N$50</c:f>
              <c:strCache>
                <c:ptCount val="5"/>
                <c:pt idx="0">
                  <c:v>Aprovados CIP</c:v>
                </c:pt>
                <c:pt idx="1">
                  <c:v>Pendências</c:v>
                </c:pt>
                <c:pt idx="2">
                  <c:v>Reprovados</c:v>
                </c:pt>
                <c:pt idx="3">
                  <c:v>Não se Aplica</c:v>
                </c:pt>
                <c:pt idx="4">
                  <c:v>Pend Doc NEP</c:v>
                </c:pt>
              </c:strCache>
            </c:strRef>
          </c:cat>
          <c:val>
            <c:numRef>
              <c:f>'2024 Cópia de Cópia de RELATÓRI'!$O$46:$O$50</c:f>
              <c:numCache>
                <c:formatCode>General</c:formatCode>
                <c:ptCount val="5"/>
                <c:pt idx="0">
                  <c:v>72</c:v>
                </c:pt>
                <c:pt idx="1">
                  <c:v>5</c:v>
                </c:pt>
                <c:pt idx="2">
                  <c:v>3</c:v>
                </c:pt>
                <c:pt idx="3">
                  <c:v>4</c:v>
                </c:pt>
                <c:pt idx="4">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956-45A0-97BC-444E82AD3AB2}"/>
            </c:ext>
          </c:extLst>
        </c:ser>
        <c:dLbls>
          <c:showLegendKey val="0"/>
          <c:showVal val="0"/>
          <c:showCatName val="0"/>
          <c:showSerName val="0"/>
          <c:showPercent val="0"/>
          <c:showBubbleSize val="0"/>
        </c:dLbls>
        <c:gapWidth val="150"/>
        <c:axId val="443525732"/>
        <c:axId val="1160919518"/>
      </c:barChart>
      <c:catAx>
        <c:axId val="44352573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60919518"/>
        <c:crosses val="autoZero"/>
        <c:auto val="1"/>
        <c:lblAlgn val="ctr"/>
        <c:lblOffset val="100"/>
        <c:noMultiLvlLbl val="1"/>
      </c:catAx>
      <c:valAx>
        <c:axId val="116091951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443525732"/>
        <c:crosses val="autoZero"/>
        <c:crossBetween val="between"/>
      </c:valAx>
    </c:plotArea>
    <c:plotVisOnly val="1"/>
    <c:dispBlanksAs val="zero"/>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Pt>
            <c:idx val="0"/>
            <c:invertIfNegative val="1"/>
            <c:bubble3D val="0"/>
            <c:spPr>
              <a:solidFill>
                <a:schemeClr val="accent4"/>
              </a:solidFill>
              <a:ln cmpd="sng">
                <a:solidFill>
                  <a:srgbClr val="000000"/>
                </a:solidFill>
              </a:ln>
            </c:spPr>
            <c:extLst>
              <c:ext xmlns:c16="http://schemas.microsoft.com/office/drawing/2014/chart" uri="{C3380CC4-5D6E-409C-BE32-E72D297353CC}">
                <c16:uniqueId val="{00000001-4022-4F6D-958B-FB20A8F713AC}"/>
              </c:ext>
            </c:extLst>
          </c:dPt>
          <c:cat>
            <c:strRef>
              <c:f>'2024 Cópia de Cópia de RELATÓRI'!$B$1:$B$5</c:f>
              <c:strCache>
                <c:ptCount val="5"/>
                <c:pt idx="0">
                  <c:v>PROJETOS</c:v>
                </c:pt>
                <c:pt idx="1">
                  <c:v>PROJETOS 2023</c:v>
                </c:pt>
                <c:pt idx="2">
                  <c:v>EMENDAS 2023</c:v>
                </c:pt>
                <c:pt idx="3">
                  <c:v>PROJETOS 2022</c:v>
                </c:pt>
                <c:pt idx="4">
                  <c:v>PROJ PENDENC DOC</c:v>
                </c:pt>
              </c:strCache>
            </c:strRef>
          </c:cat>
          <c:val>
            <c:numRef>
              <c:f>'2024 Cópia de Cópia de RELATÓRI'!$C$1:$C$5</c:f>
              <c:numCache>
                <c:formatCode>General</c:formatCode>
                <c:ptCount val="5"/>
                <c:pt idx="0">
                  <c:v>87</c:v>
                </c:pt>
                <c:pt idx="1">
                  <c:v>58</c:v>
                </c:pt>
                <c:pt idx="2">
                  <c:v>5</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022-4F6D-958B-FB20A8F713AC}"/>
            </c:ext>
          </c:extLst>
        </c:ser>
        <c:dLbls>
          <c:showLegendKey val="0"/>
          <c:showVal val="0"/>
          <c:showCatName val="0"/>
          <c:showSerName val="0"/>
          <c:showPercent val="0"/>
          <c:showBubbleSize val="0"/>
        </c:dLbls>
        <c:gapWidth val="150"/>
        <c:axId val="1214379499"/>
        <c:axId val="1101138853"/>
      </c:barChart>
      <c:catAx>
        <c:axId val="121437949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101138853"/>
        <c:crosses val="autoZero"/>
        <c:auto val="1"/>
        <c:lblAlgn val="ctr"/>
        <c:lblOffset val="100"/>
        <c:noMultiLvlLbl val="1"/>
      </c:catAx>
      <c:valAx>
        <c:axId val="11011388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214379499"/>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Projetos de pesquisa 2023</a:t>
            </a:r>
          </a:p>
        </c:rich>
      </c:tx>
      <c:overlay val="0"/>
    </c:title>
    <c:autoTitleDeleted val="0"/>
    <c:plotArea>
      <c:layout/>
      <c:barChart>
        <c:barDir val="col"/>
        <c:grouping val="clustered"/>
        <c:varyColors val="1"/>
        <c:ser>
          <c:idx val="0"/>
          <c:order val="0"/>
          <c:tx>
            <c:v>65</c:v>
          </c:tx>
          <c:spPr>
            <a:solidFill>
              <a:srgbClr val="4285F4"/>
            </a:solidFill>
            <a:ln cmpd="sng">
              <a:solidFill>
                <a:srgbClr val="000000"/>
              </a:solidFill>
            </a:ln>
          </c:spPr>
          <c:invertIfNegative val="1"/>
          <c:dPt>
            <c:idx val="0"/>
            <c:invertIfNegative val="1"/>
            <c:bubble3D val="0"/>
            <c:spPr>
              <a:solidFill>
                <a:schemeClr val="accent1"/>
              </a:solidFill>
              <a:ln cmpd="sng">
                <a:solidFill>
                  <a:srgbClr val="000000"/>
                </a:solidFill>
              </a:ln>
            </c:spPr>
            <c:extLst>
              <c:ext xmlns:c16="http://schemas.microsoft.com/office/drawing/2014/chart" uri="{C3380CC4-5D6E-409C-BE32-E72D297353CC}">
                <c16:uniqueId val="{00000001-1101-4F07-A934-811C1AB039DB}"/>
              </c:ext>
            </c:extLst>
          </c:dPt>
          <c:dPt>
            <c:idx val="1"/>
            <c:invertIfNegative val="1"/>
            <c:bubble3D val="0"/>
            <c:spPr>
              <a:solidFill>
                <a:schemeClr val="accent2"/>
              </a:solidFill>
              <a:ln cmpd="sng">
                <a:solidFill>
                  <a:srgbClr val="000000"/>
                </a:solidFill>
              </a:ln>
            </c:spPr>
            <c:extLst>
              <c:ext xmlns:c16="http://schemas.microsoft.com/office/drawing/2014/chart" uri="{C3380CC4-5D6E-409C-BE32-E72D297353CC}">
                <c16:uniqueId val="{00000003-1101-4F07-A934-811C1AB039DB}"/>
              </c:ext>
            </c:extLst>
          </c:dPt>
          <c:dPt>
            <c:idx val="2"/>
            <c:invertIfNegative val="1"/>
            <c:bubble3D val="0"/>
            <c:spPr>
              <a:solidFill>
                <a:schemeClr val="accent3"/>
              </a:solidFill>
              <a:ln cmpd="sng">
                <a:solidFill>
                  <a:srgbClr val="000000"/>
                </a:solidFill>
              </a:ln>
            </c:spPr>
            <c:extLst>
              <c:ext xmlns:c16="http://schemas.microsoft.com/office/drawing/2014/chart" uri="{C3380CC4-5D6E-409C-BE32-E72D297353CC}">
                <c16:uniqueId val="{00000005-1101-4F07-A934-811C1AB039DB}"/>
              </c:ext>
            </c:extLst>
          </c:dPt>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2024 Cópia de Cópia de'!$B$2:$B$5</c:f>
              <c:strCache>
                <c:ptCount val="4"/>
                <c:pt idx="0">
                  <c:v>PROJETOS 2025</c:v>
                </c:pt>
                <c:pt idx="1">
                  <c:v>EMENDAS 2025</c:v>
                </c:pt>
                <c:pt idx="2">
                  <c:v>PROJETOS 2024</c:v>
                </c:pt>
                <c:pt idx="3">
                  <c:v>PROJ PENDENC DOC</c:v>
                </c:pt>
              </c:strCache>
            </c:strRef>
          </c:cat>
          <c:val>
            <c:numRef>
              <c:f>'Cópia de 2024 Cópia de Cópia de'!$C$2:$C$5</c:f>
              <c:numCache>
                <c:formatCode>General</c:formatCode>
                <c:ptCount val="4"/>
                <c:pt idx="0">
                  <c:v>58</c:v>
                </c:pt>
                <c:pt idx="1">
                  <c:v>5</c:v>
                </c:pt>
                <c:pt idx="2">
                  <c:v>4</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1101-4F07-A934-811C1AB039DB}"/>
            </c:ext>
          </c:extLst>
        </c:ser>
        <c:dLbls>
          <c:showLegendKey val="0"/>
          <c:showVal val="0"/>
          <c:showCatName val="0"/>
          <c:showSerName val="0"/>
          <c:showPercent val="0"/>
          <c:showBubbleSize val="0"/>
        </c:dLbls>
        <c:gapWidth val="150"/>
        <c:axId val="205107662"/>
        <c:axId val="1096797001"/>
      </c:barChart>
      <c:catAx>
        <c:axId val="20510766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1096797001"/>
        <c:crosses val="autoZero"/>
        <c:auto val="1"/>
        <c:lblAlgn val="ctr"/>
        <c:lblOffset val="100"/>
        <c:noMultiLvlLbl val="1"/>
      </c:catAx>
      <c:valAx>
        <c:axId val="10967970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205107662"/>
        <c:crosses val="autoZero"/>
        <c:crossBetween val="between"/>
      </c:valAx>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chemeClr val="lt1"/>
                </a:solidFill>
                <a:latin typeface="+mn-lt"/>
              </a:defRPr>
            </a:pPr>
            <a:r>
              <a:rPr sz="1600" b="1" i="0">
                <a:solidFill>
                  <a:schemeClr val="lt1"/>
                </a:solidFill>
                <a:latin typeface="+mn-lt"/>
              </a:rPr>
              <a:t>Instituições Proponentes</a:t>
            </a:r>
          </a:p>
        </c:rich>
      </c:tx>
      <c:overlay val="0"/>
    </c:title>
    <c:autoTitleDeleted val="0"/>
    <c:plotArea>
      <c:layout/>
      <c:barChart>
        <c:barDir val="col"/>
        <c:grouping val="clustered"/>
        <c:varyColors val="1"/>
        <c:ser>
          <c:idx val="0"/>
          <c:order val="0"/>
          <c:invertIfNegative val="1"/>
          <c:cat>
            <c:strRef>
              <c:f>'Cópia de 2024 Cópia de Cópia de'!$B$8:$B$18</c:f>
              <c:strCache>
                <c:ptCount val="11"/>
                <c:pt idx="0">
                  <c:v>FHEMIG</c:v>
                </c:pt>
                <c:pt idx="1">
                  <c:v>UFMG</c:v>
                </c:pt>
                <c:pt idx="2">
                  <c:v>RENE RACHOU</c:v>
                </c:pt>
                <c:pt idx="3">
                  <c:v>CIÊNCIAS MÉDICAS</c:v>
                </c:pt>
                <c:pt idx="4">
                  <c:v>UNIV FED FLUM</c:v>
                </c:pt>
                <c:pt idx="5">
                  <c:v>Universidade Europea</c:v>
                </c:pt>
                <c:pt idx="6">
                  <c:v>MOINHOS DE VENTO</c:v>
                </c:pt>
                <c:pt idx="7">
                  <c:v>BOTUCATU</c:v>
                </c:pt>
                <c:pt idx="8">
                  <c:v>PUCMINAS</c:v>
                </c:pt>
                <c:pt idx="9">
                  <c:v>EINSTEIN</c:v>
                </c:pt>
                <c:pt idx="10">
                  <c:v>NATIONWIDE CHILF H</c:v>
                </c:pt>
              </c:strCache>
            </c:strRef>
          </c:cat>
          <c:val>
            <c:numRef>
              <c:f>'Cópia de 2024 Cópia de Cópia de'!$C$8:$C$18</c:f>
              <c:numCache>
                <c:formatCode>General</c:formatCode>
                <c:ptCount val="11"/>
              </c:numCache>
            </c:numRef>
          </c:val>
          <c:extLst>
            <c:ext xmlns:c16="http://schemas.microsoft.com/office/drawing/2014/chart" uri="{C3380CC4-5D6E-409C-BE32-E72D297353CC}">
              <c16:uniqueId val="{00000000-ABDE-4BE9-B48B-FC9B4C2E6851}"/>
            </c:ext>
          </c:extLst>
        </c:ser>
        <c:dLbls>
          <c:showLegendKey val="0"/>
          <c:showVal val="0"/>
          <c:showCatName val="0"/>
          <c:showSerName val="0"/>
          <c:showPercent val="0"/>
          <c:showBubbleSize val="0"/>
        </c:dLbls>
        <c:gapWidth val="150"/>
        <c:axId val="2129294556"/>
        <c:axId val="516286743"/>
      </c:barChart>
      <c:catAx>
        <c:axId val="212929455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516286743"/>
        <c:crosses val="autoZero"/>
        <c:auto val="1"/>
        <c:lblAlgn val="ctr"/>
        <c:lblOffset val="100"/>
        <c:noMultiLvlLbl val="1"/>
      </c:catAx>
      <c:valAx>
        <c:axId val="516286743"/>
        <c:scaling>
          <c:orientation val="minMax"/>
        </c:scaling>
        <c:delete val="0"/>
        <c:axPos val="l"/>
        <c:numFmt formatCode="General" sourceLinked="1"/>
        <c:majorTickMark val="cross"/>
        <c:minorTickMark val="cross"/>
        <c:tickLblPos val="nextTo"/>
        <c:spPr>
          <a:ln>
            <a:noFill/>
          </a:ln>
        </c:spPr>
        <c:crossAx val="2129294556"/>
        <c:crosses val="autoZero"/>
        <c:crossBetween val="between"/>
      </c:valAx>
    </c:plotArea>
    <c:plotVisOnly val="1"/>
    <c:dispBlanksAs val="zero"/>
    <c:showDLblsOverMax val="1"/>
  </c:chart>
  <c:spPr>
    <a:solidFill>
      <a:schemeClr val="dk1"/>
    </a:solidFill>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sz="1800" b="1" i="0">
                <a:solidFill>
                  <a:schemeClr val="dk1"/>
                </a:solidFill>
                <a:latin typeface="+mn-lt"/>
              </a:rPr>
              <a:t>Propósito da pesquisa</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B6D1-46DF-8E20-1921F121983B}"/>
              </c:ext>
            </c:extLst>
          </c:dPt>
          <c:dPt>
            <c:idx val="1"/>
            <c:bubble3D val="0"/>
            <c:spPr>
              <a:solidFill>
                <a:schemeClr val="accent2"/>
              </a:solidFill>
            </c:spPr>
            <c:extLst>
              <c:ext xmlns:c16="http://schemas.microsoft.com/office/drawing/2014/chart" uri="{C3380CC4-5D6E-409C-BE32-E72D297353CC}">
                <c16:uniqueId val="{00000003-B6D1-46DF-8E20-1921F121983B}"/>
              </c:ext>
            </c:extLst>
          </c:dPt>
          <c:dPt>
            <c:idx val="2"/>
            <c:bubble3D val="0"/>
            <c:spPr>
              <a:solidFill>
                <a:schemeClr val="accent3"/>
              </a:solidFill>
            </c:spPr>
            <c:extLst>
              <c:ext xmlns:c16="http://schemas.microsoft.com/office/drawing/2014/chart" uri="{C3380CC4-5D6E-409C-BE32-E72D297353CC}">
                <c16:uniqueId val="{00000005-B6D1-46DF-8E20-1921F121983B}"/>
              </c:ext>
            </c:extLst>
          </c:dPt>
          <c:dPt>
            <c:idx val="3"/>
            <c:bubble3D val="0"/>
            <c:spPr>
              <a:solidFill>
                <a:schemeClr val="accent4"/>
              </a:solidFill>
            </c:spPr>
            <c:extLst>
              <c:ext xmlns:c16="http://schemas.microsoft.com/office/drawing/2014/chart" uri="{C3380CC4-5D6E-409C-BE32-E72D297353CC}">
                <c16:uniqueId val="{00000007-B6D1-46DF-8E20-1921F121983B}"/>
              </c:ext>
            </c:extLst>
          </c:dPt>
          <c:dPt>
            <c:idx val="4"/>
            <c:bubble3D val="0"/>
            <c:spPr>
              <a:solidFill>
                <a:schemeClr val="accent5"/>
              </a:solidFill>
            </c:spPr>
            <c:extLst>
              <c:ext xmlns:c16="http://schemas.microsoft.com/office/drawing/2014/chart" uri="{C3380CC4-5D6E-409C-BE32-E72D297353CC}">
                <c16:uniqueId val="{00000009-B6D1-46DF-8E20-1921F121983B}"/>
              </c:ext>
            </c:extLst>
          </c:dPt>
          <c:dPt>
            <c:idx val="5"/>
            <c:bubble3D val="0"/>
            <c:spPr>
              <a:solidFill>
                <a:schemeClr val="accent6"/>
              </a:solidFill>
            </c:spPr>
            <c:extLst>
              <c:ext xmlns:c16="http://schemas.microsoft.com/office/drawing/2014/chart" uri="{C3380CC4-5D6E-409C-BE32-E72D297353CC}">
                <c16:uniqueId val="{0000000B-B6D1-46DF-8E20-1921F121983B}"/>
              </c:ext>
            </c:extLst>
          </c:dPt>
          <c:cat>
            <c:strRef>
              <c:f>'Cópia de 2024 Cópia de Cópia de'!$B$25:$B$30</c:f>
              <c:strCache>
                <c:ptCount val="6"/>
                <c:pt idx="0">
                  <c:v>Iniciação Científica</c:v>
                </c:pt>
                <c:pt idx="1">
                  <c:v>TCC</c:v>
                </c:pt>
                <c:pt idx="2">
                  <c:v>TCR</c:v>
                </c:pt>
                <c:pt idx="3">
                  <c:v>Mestrado</c:v>
                </c:pt>
                <c:pt idx="4">
                  <c:v>Doutorado</c:v>
                </c:pt>
                <c:pt idx="5">
                  <c:v>Publicação</c:v>
                </c:pt>
              </c:strCache>
            </c:strRef>
          </c:cat>
          <c:val>
            <c:numRef>
              <c:f>'Cópia de 2024 Cópia de Cópia de'!$C$25:$C$30</c:f>
              <c:numCache>
                <c:formatCode>General</c:formatCode>
                <c:ptCount val="6"/>
                <c:pt idx="0">
                  <c:v>2</c:v>
                </c:pt>
                <c:pt idx="1">
                  <c:v>2</c:v>
                </c:pt>
                <c:pt idx="2">
                  <c:v>37</c:v>
                </c:pt>
                <c:pt idx="3">
                  <c:v>7</c:v>
                </c:pt>
                <c:pt idx="4">
                  <c:v>2</c:v>
                </c:pt>
                <c:pt idx="5">
                  <c:v>37</c:v>
                </c:pt>
              </c:numCache>
            </c:numRef>
          </c:val>
          <c:extLst>
            <c:ext xmlns:c16="http://schemas.microsoft.com/office/drawing/2014/chart" uri="{C3380CC4-5D6E-409C-BE32-E72D297353CC}">
              <c16:uniqueId val="{0000000C-B6D1-46DF-8E20-1921F121983B}"/>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2024 Cópia de Cópia de'!$B$33:$B$37</c:f>
              <c:strCache>
                <c:ptCount val="5"/>
                <c:pt idx="0">
                  <c:v>Nº PROJETOS  APROVADOS</c:v>
                </c:pt>
                <c:pt idx="1">
                  <c:v>1 PT</c:v>
                </c:pt>
                <c:pt idx="2">
                  <c:v>2 PT</c:v>
                </c:pt>
                <c:pt idx="3">
                  <c:v>3 PT</c:v>
                </c:pt>
                <c:pt idx="4">
                  <c:v>4 PT</c:v>
                </c:pt>
              </c:strCache>
            </c:strRef>
          </c:cat>
          <c:val>
            <c:numRef>
              <c:f>'Cópia de 2024 Cópia de Cópia de'!$C$33:$C$37</c:f>
              <c:numCache>
                <c:formatCode>General</c:formatCode>
                <c:ptCount val="5"/>
                <c:pt idx="0">
                  <c:v>53</c:v>
                </c:pt>
                <c:pt idx="1">
                  <c:v>37</c:v>
                </c:pt>
                <c:pt idx="2">
                  <c:v>14</c:v>
                </c:pt>
                <c:pt idx="3">
                  <c:v>1</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B82-4F5E-9752-82A8B24F1357}"/>
            </c:ext>
          </c:extLst>
        </c:ser>
        <c:dLbls>
          <c:showLegendKey val="0"/>
          <c:showVal val="0"/>
          <c:showCatName val="0"/>
          <c:showSerName val="0"/>
          <c:showPercent val="0"/>
          <c:showBubbleSize val="0"/>
        </c:dLbls>
        <c:gapWidth val="150"/>
        <c:axId val="1793030680"/>
        <c:axId val="767760165"/>
      </c:barChart>
      <c:lineChart>
        <c:grouping val="standard"/>
        <c:varyColors val="0"/>
        <c:ser>
          <c:idx val="1"/>
          <c:order val="1"/>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2024 Cópia de Cópia de'!$B$33:$B$37</c:f>
              <c:strCache>
                <c:ptCount val="5"/>
                <c:pt idx="0">
                  <c:v>Nº PROJETOS  APROVADOS</c:v>
                </c:pt>
                <c:pt idx="1">
                  <c:v>1 PT</c:v>
                </c:pt>
                <c:pt idx="2">
                  <c:v>2 PT</c:v>
                </c:pt>
                <c:pt idx="3">
                  <c:v>3 PT</c:v>
                </c:pt>
                <c:pt idx="4">
                  <c:v>4 PT</c:v>
                </c:pt>
              </c:strCache>
            </c:strRef>
          </c:cat>
          <c:val>
            <c:numRef>
              <c:f>'Cópia de 2024 Cópia de Cópia de'!$D$33:$D$37</c:f>
              <c:numCache>
                <c:formatCode>0.00%</c:formatCode>
                <c:ptCount val="5"/>
                <c:pt idx="0">
                  <c:v>1</c:v>
                </c:pt>
                <c:pt idx="1">
                  <c:v>0.70499999999999996</c:v>
                </c:pt>
                <c:pt idx="2" formatCode="0%">
                  <c:v>0.39</c:v>
                </c:pt>
                <c:pt idx="3">
                  <c:v>7.0999999999999994E-2</c:v>
                </c:pt>
                <c:pt idx="4" formatCode="0%">
                  <c:v>0.04</c:v>
                </c:pt>
              </c:numCache>
            </c:numRef>
          </c:val>
          <c:smooth val="0"/>
          <c:extLst>
            <c:ext xmlns:c16="http://schemas.microsoft.com/office/drawing/2014/chart" uri="{C3380CC4-5D6E-409C-BE32-E72D297353CC}">
              <c16:uniqueId val="{00000001-DB82-4F5E-9752-82A8B24F1357}"/>
            </c:ext>
          </c:extLst>
        </c:ser>
        <c:dLbls>
          <c:showLegendKey val="0"/>
          <c:showVal val="0"/>
          <c:showCatName val="0"/>
          <c:showSerName val="0"/>
          <c:showPercent val="0"/>
          <c:showBubbleSize val="0"/>
        </c:dLbls>
        <c:marker val="1"/>
        <c:smooth val="0"/>
        <c:axId val="1793030680"/>
        <c:axId val="767760165"/>
      </c:lineChart>
      <c:catAx>
        <c:axId val="179303068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67760165"/>
        <c:crosses val="autoZero"/>
        <c:auto val="1"/>
        <c:lblAlgn val="ctr"/>
        <c:lblOffset val="100"/>
        <c:noMultiLvlLbl val="1"/>
      </c:catAx>
      <c:valAx>
        <c:axId val="76776016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79303068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rgbClr val="757575"/>
                </a:solidFill>
                <a:latin typeface="+mn-lt"/>
              </a:defRPr>
            </a:pPr>
            <a:r>
              <a:rPr sz="1600" b="1" i="0">
                <a:solidFill>
                  <a:srgbClr val="757575"/>
                </a:solidFill>
                <a:latin typeface="+mn-lt"/>
              </a:rPr>
              <a:t>Estado de apreciação dos projetos </a:t>
            </a:r>
          </a:p>
        </c:rich>
      </c:tx>
      <c:layout>
        <c:manualLayout>
          <c:xMode val="edge"/>
          <c:yMode val="edge"/>
          <c:x val="0.14722222222222223"/>
          <c:y val="4.6296296296296294E-2"/>
        </c:manualLayout>
      </c:layout>
      <c:overlay val="0"/>
    </c:title>
    <c:autoTitleDeleted val="0"/>
    <c:plotArea>
      <c:layout/>
      <c:barChart>
        <c:barDir val="col"/>
        <c:grouping val="stacked"/>
        <c:varyColors val="1"/>
        <c:ser>
          <c:idx val="0"/>
          <c:order val="0"/>
          <c:spPr>
            <a:solidFill>
              <a:srgbClr val="4285F4"/>
            </a:solidFill>
            <a:ln cmpd="sng">
              <a:solidFill>
                <a:srgbClr val="000000"/>
              </a:solidFill>
            </a:ln>
          </c:spPr>
          <c:invertIfNegative val="1"/>
          <c:cat>
            <c:strRef>
              <c:f>'Cópia de 2024 Cópia de Cópia de'!$E$33:$E$37</c:f>
              <c:strCache>
                <c:ptCount val="5"/>
                <c:pt idx="0">
                  <c:v>Nº PROJETOS</c:v>
                </c:pt>
                <c:pt idx="1">
                  <c:v>APROVADOS</c:v>
                </c:pt>
                <c:pt idx="2">
                  <c:v>NÃO SE APLICA</c:v>
                </c:pt>
                <c:pt idx="3">
                  <c:v>PENDÊNCIAS</c:v>
                </c:pt>
                <c:pt idx="4">
                  <c:v>REPROVADOS</c:v>
                </c:pt>
              </c:strCache>
            </c:strRef>
          </c:cat>
          <c:val>
            <c:numRef>
              <c:f>'Cópia de 2024 Cópia de Cópia de'!$F$33:$F$37</c:f>
              <c:numCache>
                <c:formatCode>General</c:formatCode>
                <c:ptCount val="5"/>
                <c:pt idx="0">
                  <c:v>66</c:v>
                </c:pt>
                <c:pt idx="1">
                  <c:v>53</c:v>
                </c:pt>
                <c:pt idx="2">
                  <c:v>5</c:v>
                </c:pt>
                <c:pt idx="3">
                  <c:v>6</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631-4A32-93F5-B9D51AD6D21D}"/>
            </c:ext>
          </c:extLst>
        </c:ser>
        <c:ser>
          <c:idx val="1"/>
          <c:order val="1"/>
          <c:spPr>
            <a:solidFill>
              <a:srgbClr val="EA4335"/>
            </a:solidFill>
            <a:ln cmpd="sng">
              <a:solidFill>
                <a:srgbClr val="000000"/>
              </a:solidFill>
            </a:ln>
          </c:spPr>
          <c:invertIfNegative val="1"/>
          <c:cat>
            <c:strRef>
              <c:f>'Cópia de 2024 Cópia de Cópia de'!$E$33:$E$37</c:f>
              <c:strCache>
                <c:ptCount val="5"/>
                <c:pt idx="0">
                  <c:v>Nº PROJETOS</c:v>
                </c:pt>
                <c:pt idx="1">
                  <c:v>APROVADOS</c:v>
                </c:pt>
                <c:pt idx="2">
                  <c:v>NÃO SE APLICA</c:v>
                </c:pt>
                <c:pt idx="3">
                  <c:v>PENDÊNCIAS</c:v>
                </c:pt>
                <c:pt idx="4">
                  <c:v>REPROVADOS</c:v>
                </c:pt>
              </c:strCache>
            </c:strRef>
          </c:cat>
          <c:val>
            <c:numRef>
              <c:f>'Cópia de 2024 Cópia de Cópia de'!$G$32:$G$36</c:f>
              <c:numCache>
                <c:formatCode>0.0%</c:formatCode>
                <c:ptCount val="5"/>
                <c:pt idx="0" formatCode="0.00%">
                  <c:v>1</c:v>
                </c:pt>
                <c:pt idx="1">
                  <c:v>0.81499999999999995</c:v>
                </c:pt>
                <c:pt idx="2" formatCode="0%">
                  <c:v>0.08</c:v>
                </c:pt>
                <c:pt idx="3" formatCode="0%">
                  <c:v>0.08</c:v>
                </c:pt>
                <c:pt idx="4" formatCode="0%">
                  <c:v>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631-4A32-93F5-B9D51AD6D21D}"/>
            </c:ext>
          </c:extLst>
        </c:ser>
        <c:dLbls>
          <c:showLegendKey val="0"/>
          <c:showVal val="0"/>
          <c:showCatName val="0"/>
          <c:showSerName val="0"/>
          <c:showPercent val="0"/>
          <c:showBubbleSize val="0"/>
        </c:dLbls>
        <c:gapWidth val="150"/>
        <c:overlap val="100"/>
        <c:axId val="95000792"/>
        <c:axId val="1606242037"/>
      </c:barChart>
      <c:catAx>
        <c:axId val="9500079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606242037"/>
        <c:crosses val="autoZero"/>
        <c:auto val="1"/>
        <c:lblAlgn val="ctr"/>
        <c:lblOffset val="100"/>
        <c:noMultiLvlLbl val="1"/>
      </c:catAx>
      <c:valAx>
        <c:axId val="16062420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5000792"/>
        <c:crosses val="autoZero"/>
        <c:crossBetween val="between"/>
      </c:valAx>
    </c:plotArea>
    <c:plotVisOnly val="1"/>
    <c:dispBlanksAs val="zero"/>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0F87-452F-833B-2028D3A23675}"/>
              </c:ext>
            </c:extLst>
          </c:dPt>
          <c:dPt>
            <c:idx val="1"/>
            <c:bubble3D val="0"/>
            <c:spPr>
              <a:solidFill>
                <a:srgbClr val="EA4335"/>
              </a:solidFill>
            </c:spPr>
            <c:extLst>
              <c:ext xmlns:c16="http://schemas.microsoft.com/office/drawing/2014/chart" uri="{C3380CC4-5D6E-409C-BE32-E72D297353CC}">
                <c16:uniqueId val="{00000003-0F87-452F-833B-2028D3A23675}"/>
              </c:ext>
            </c:extLst>
          </c:dPt>
          <c:dPt>
            <c:idx val="2"/>
            <c:bubble3D val="0"/>
            <c:spPr>
              <a:solidFill>
                <a:srgbClr val="FBBC04"/>
              </a:solidFill>
            </c:spPr>
            <c:extLst>
              <c:ext xmlns:c16="http://schemas.microsoft.com/office/drawing/2014/chart" uri="{C3380CC4-5D6E-409C-BE32-E72D297353CC}">
                <c16:uniqueId val="{00000005-0F87-452F-833B-2028D3A23675}"/>
              </c:ext>
            </c:extLst>
          </c:dPt>
          <c:cat>
            <c:strRef>
              <c:f>'Cópia de 2024 Cópia de Cópia de'!$B$20:$B$22</c:f>
              <c:strCache>
                <c:ptCount val="3"/>
                <c:pt idx="0">
                  <c:v>HJXXIII</c:v>
                </c:pt>
                <c:pt idx="1">
                  <c:v>HIJPII</c:v>
                </c:pt>
                <c:pt idx="2">
                  <c:v>HMAL</c:v>
                </c:pt>
              </c:strCache>
            </c:strRef>
          </c:cat>
          <c:val>
            <c:numRef>
              <c:f>'Cópia de 2024 Cópia de Cópia de'!$C$20:$C$22</c:f>
              <c:numCache>
                <c:formatCode>General</c:formatCode>
                <c:ptCount val="3"/>
                <c:pt idx="0">
                  <c:v>54</c:v>
                </c:pt>
                <c:pt idx="1">
                  <c:v>31</c:v>
                </c:pt>
                <c:pt idx="2">
                  <c:v>2</c:v>
                </c:pt>
              </c:numCache>
            </c:numRef>
          </c:val>
          <c:extLst>
            <c:ext xmlns:c16="http://schemas.microsoft.com/office/drawing/2014/chart" uri="{C3380CC4-5D6E-409C-BE32-E72D297353CC}">
              <c16:uniqueId val="{00000006-0F87-452F-833B-2028D3A2367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i="0">
                <a:solidFill>
                  <a:srgbClr val="757575"/>
                </a:solidFill>
                <a:latin typeface="+mn-lt"/>
              </a:defRPr>
            </a:pPr>
            <a:r>
              <a:rPr b="0" i="0">
                <a:solidFill>
                  <a:srgbClr val="757575"/>
                </a:solidFill>
                <a:latin typeface="+mn-lt"/>
              </a:rPr>
              <a:t>87              PROJETOS  DE PESQUISA</a:t>
            </a:r>
          </a:p>
        </c:rich>
      </c:tx>
      <c:overlay val="0"/>
    </c:title>
    <c:autoTitleDeleted val="0"/>
    <c:plotArea>
      <c:layout/>
      <c:pieChart>
        <c:varyColors val="1"/>
        <c:ser>
          <c:idx val="0"/>
          <c:order val="0"/>
          <c:tx>
            <c:strRef>
              <c:f>'Cópia de 2024 Cópia de Cópia de'!$C$24</c:f>
              <c:strCache>
                <c:ptCount val="1"/>
                <c:pt idx="0">
                  <c:v>              PROJETOS  DE PESQUISA</c:v>
                </c:pt>
              </c:strCache>
            </c:strRef>
          </c:tx>
          <c:dPt>
            <c:idx val="0"/>
            <c:bubble3D val="0"/>
            <c:spPr>
              <a:solidFill>
                <a:srgbClr val="4285F4"/>
              </a:solidFill>
            </c:spPr>
            <c:extLst>
              <c:ext xmlns:c16="http://schemas.microsoft.com/office/drawing/2014/chart" uri="{C3380CC4-5D6E-409C-BE32-E72D297353CC}">
                <c16:uniqueId val="{00000001-60B5-4EFF-B692-D0102A09DCAB}"/>
              </c:ext>
            </c:extLst>
          </c:dPt>
          <c:dPt>
            <c:idx val="1"/>
            <c:bubble3D val="0"/>
            <c:spPr>
              <a:solidFill>
                <a:srgbClr val="EA4335"/>
              </a:solidFill>
            </c:spPr>
            <c:extLst>
              <c:ext xmlns:c16="http://schemas.microsoft.com/office/drawing/2014/chart" uri="{C3380CC4-5D6E-409C-BE32-E72D297353CC}">
                <c16:uniqueId val="{00000003-60B5-4EFF-B692-D0102A09DCAB}"/>
              </c:ext>
            </c:extLst>
          </c:dPt>
          <c:dPt>
            <c:idx val="2"/>
            <c:bubble3D val="0"/>
            <c:spPr>
              <a:solidFill>
                <a:srgbClr val="FBBC04"/>
              </a:solidFill>
            </c:spPr>
            <c:extLst>
              <c:ext xmlns:c16="http://schemas.microsoft.com/office/drawing/2014/chart" uri="{C3380CC4-5D6E-409C-BE32-E72D297353CC}">
                <c16:uniqueId val="{00000005-60B5-4EFF-B692-D0102A09DCAB}"/>
              </c:ext>
            </c:extLst>
          </c:dPt>
          <c:dPt>
            <c:idx val="3"/>
            <c:bubble3D val="0"/>
            <c:spPr>
              <a:solidFill>
                <a:srgbClr val="34A853"/>
              </a:solidFill>
            </c:spPr>
            <c:extLst>
              <c:ext xmlns:c16="http://schemas.microsoft.com/office/drawing/2014/chart" uri="{C3380CC4-5D6E-409C-BE32-E72D297353CC}">
                <c16:uniqueId val="{00000007-60B5-4EFF-B692-D0102A09DCAB}"/>
              </c:ext>
            </c:extLst>
          </c:dPt>
          <c:dPt>
            <c:idx val="4"/>
            <c:bubble3D val="0"/>
            <c:spPr>
              <a:solidFill>
                <a:srgbClr val="FF6D01"/>
              </a:solidFill>
            </c:spPr>
            <c:extLst>
              <c:ext xmlns:c16="http://schemas.microsoft.com/office/drawing/2014/chart" uri="{C3380CC4-5D6E-409C-BE32-E72D297353CC}">
                <c16:uniqueId val="{00000009-60B5-4EFF-B692-D0102A09DCAB}"/>
              </c:ext>
            </c:extLst>
          </c:dPt>
          <c:dPt>
            <c:idx val="5"/>
            <c:bubble3D val="0"/>
            <c:spPr>
              <a:solidFill>
                <a:srgbClr val="46BDC6"/>
              </a:solidFill>
            </c:spPr>
            <c:extLst>
              <c:ext xmlns:c16="http://schemas.microsoft.com/office/drawing/2014/chart" uri="{C3380CC4-5D6E-409C-BE32-E72D297353CC}">
                <c16:uniqueId val="{0000000B-60B5-4EFF-B692-D0102A09DCAB}"/>
              </c:ext>
            </c:extLst>
          </c:dPt>
          <c:cat>
            <c:strRef>
              <c:f>'Cópia de 2024 Cópia de Cópia de'!$B$25:$B$30</c:f>
              <c:strCache>
                <c:ptCount val="6"/>
                <c:pt idx="0">
                  <c:v>Iniciação Científica</c:v>
                </c:pt>
                <c:pt idx="1">
                  <c:v>TCC</c:v>
                </c:pt>
                <c:pt idx="2">
                  <c:v>TCR</c:v>
                </c:pt>
                <c:pt idx="3">
                  <c:v>Mestrado</c:v>
                </c:pt>
                <c:pt idx="4">
                  <c:v>Doutorado</c:v>
                </c:pt>
                <c:pt idx="5">
                  <c:v>Publicação</c:v>
                </c:pt>
              </c:strCache>
            </c:strRef>
          </c:cat>
          <c:val>
            <c:numRef>
              <c:f>'Cópia de 2024 Cópia de Cópia de'!$C$25:$C$30</c:f>
              <c:numCache>
                <c:formatCode>General</c:formatCode>
                <c:ptCount val="6"/>
                <c:pt idx="0">
                  <c:v>2</c:v>
                </c:pt>
                <c:pt idx="1">
                  <c:v>2</c:v>
                </c:pt>
                <c:pt idx="2">
                  <c:v>37</c:v>
                </c:pt>
                <c:pt idx="3">
                  <c:v>7</c:v>
                </c:pt>
                <c:pt idx="4">
                  <c:v>2</c:v>
                </c:pt>
                <c:pt idx="5">
                  <c:v>37</c:v>
                </c:pt>
              </c:numCache>
            </c:numRef>
          </c:val>
          <c:extLst>
            <c:ext xmlns:c16="http://schemas.microsoft.com/office/drawing/2014/chart" uri="{C3380CC4-5D6E-409C-BE32-E72D297353CC}">
              <c16:uniqueId val="{0000000C-60B5-4EFF-B692-D0102A09DCA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4565-47CC-9649-A85D11340409}"/>
              </c:ext>
            </c:extLst>
          </c:dPt>
          <c:dPt>
            <c:idx val="1"/>
            <c:invertIfNegative val="1"/>
            <c:bubble3D val="0"/>
            <c:extLst>
              <c:ext xmlns:c16="http://schemas.microsoft.com/office/drawing/2014/chart" uri="{C3380CC4-5D6E-409C-BE32-E72D297353CC}">
                <c16:uniqueId val="{00000001-4565-47CC-9649-A85D11340409}"/>
              </c:ext>
            </c:extLst>
          </c:dPt>
          <c:dPt>
            <c:idx val="2"/>
            <c:invertIfNegative val="1"/>
            <c:bubble3D val="0"/>
            <c:extLst>
              <c:ext xmlns:c16="http://schemas.microsoft.com/office/drawing/2014/chart" uri="{C3380CC4-5D6E-409C-BE32-E72D297353CC}">
                <c16:uniqueId val="{00000002-4565-47CC-9649-A85D11340409}"/>
              </c:ext>
            </c:extLst>
          </c:dPt>
          <c:dPt>
            <c:idx val="3"/>
            <c:invertIfNegative val="1"/>
            <c:bubble3D val="0"/>
            <c:extLst>
              <c:ext xmlns:c16="http://schemas.microsoft.com/office/drawing/2014/chart" uri="{C3380CC4-5D6E-409C-BE32-E72D297353CC}">
                <c16:uniqueId val="{00000003-4565-47CC-9649-A85D11340409}"/>
              </c:ext>
            </c:extLst>
          </c:dPt>
          <c:dLbls>
            <c:dLbl>
              <c:idx val="0"/>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0-4565-47CC-9649-A85D11340409}"/>
                </c:ext>
              </c:extLst>
            </c:dLbl>
            <c:dLbl>
              <c:idx val="1"/>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1-4565-47CC-9649-A85D11340409}"/>
                </c:ext>
              </c:extLst>
            </c:dLbl>
            <c:dLbl>
              <c:idx val="2"/>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565-47CC-9649-A85D11340409}"/>
                </c:ext>
              </c:extLst>
            </c:dLbl>
            <c:dLbl>
              <c:idx val="3"/>
              <c:spPr/>
              <c:txPr>
                <a:bodyPr/>
                <a:lstStyle/>
                <a:p>
                  <a:pPr lvl="0">
                    <a:defRPr sz="900" b="1" i="0">
                      <a:solidFill>
                        <a:srgbClr val="FF0000"/>
                      </a:solidFill>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565-47CC-9649-A85D11340409}"/>
                </c:ext>
              </c:extLst>
            </c:dLbl>
            <c:spPr>
              <a:noFill/>
              <a:ln>
                <a:noFill/>
              </a:ln>
              <a:effectLst/>
            </c:spPr>
            <c:txPr>
              <a:bodyPr/>
              <a:lstStyle/>
              <a:p>
                <a:pPr lvl="0">
                  <a:defRPr sz="900" b="1"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2024 Cópia de Cópia de'!$B$1:$B$5</c:f>
              <c:strCache>
                <c:ptCount val="5"/>
                <c:pt idx="0">
                  <c:v>PROJETOS</c:v>
                </c:pt>
                <c:pt idx="1">
                  <c:v>PROJETOS 2025</c:v>
                </c:pt>
                <c:pt idx="2">
                  <c:v>EMENDAS 2025</c:v>
                </c:pt>
                <c:pt idx="3">
                  <c:v>PROJETOS 2024</c:v>
                </c:pt>
                <c:pt idx="4">
                  <c:v>PROJ PENDENC DOC</c:v>
                </c:pt>
              </c:strCache>
            </c:strRef>
          </c:cat>
          <c:val>
            <c:numRef>
              <c:f>'Cópia de 2024 Cópia de Cópia de'!$C$1:$C$5</c:f>
              <c:numCache>
                <c:formatCode>General</c:formatCode>
                <c:ptCount val="5"/>
                <c:pt idx="0">
                  <c:v>87</c:v>
                </c:pt>
                <c:pt idx="1">
                  <c:v>58</c:v>
                </c:pt>
                <c:pt idx="2">
                  <c:v>5</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4565-47CC-9649-A85D11340409}"/>
            </c:ext>
          </c:extLst>
        </c:ser>
        <c:dLbls>
          <c:showLegendKey val="0"/>
          <c:showVal val="0"/>
          <c:showCatName val="0"/>
          <c:showSerName val="0"/>
          <c:showPercent val="0"/>
          <c:showBubbleSize val="0"/>
        </c:dLbls>
        <c:gapWidth val="150"/>
        <c:axId val="292390318"/>
        <c:axId val="1748226798"/>
      </c:barChart>
      <c:catAx>
        <c:axId val="29239031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1748226798"/>
        <c:crosses val="autoZero"/>
        <c:auto val="1"/>
        <c:lblAlgn val="ctr"/>
        <c:lblOffset val="100"/>
        <c:noMultiLvlLbl val="1"/>
      </c:catAx>
      <c:valAx>
        <c:axId val="1748226798"/>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292390318"/>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invertIfNegative val="1"/>
          <c:cat>
            <c:strRef>
              <c:f>'Cópia de 2024 Cópia de Cópia de'!$B$7:$B$18</c:f>
              <c:strCache>
                <c:ptCount val="12"/>
                <c:pt idx="0">
                  <c:v>Projetos tramitados</c:v>
                </c:pt>
                <c:pt idx="1">
                  <c:v>FHEMIG</c:v>
                </c:pt>
                <c:pt idx="2">
                  <c:v>UFMG</c:v>
                </c:pt>
                <c:pt idx="3">
                  <c:v>RENE RACHOU</c:v>
                </c:pt>
                <c:pt idx="4">
                  <c:v>CIÊNCIAS MÉDICAS</c:v>
                </c:pt>
                <c:pt idx="5">
                  <c:v>UNIV FED FLUM</c:v>
                </c:pt>
                <c:pt idx="6">
                  <c:v>Universidade Europea</c:v>
                </c:pt>
                <c:pt idx="7">
                  <c:v>MOINHOS DE VENTO</c:v>
                </c:pt>
                <c:pt idx="8">
                  <c:v>BOTUCATU</c:v>
                </c:pt>
                <c:pt idx="9">
                  <c:v>PUCMINAS</c:v>
                </c:pt>
                <c:pt idx="10">
                  <c:v>EINSTEIN</c:v>
                </c:pt>
                <c:pt idx="11">
                  <c:v>NATIONWIDE CHILF H</c:v>
                </c:pt>
              </c:strCache>
            </c:strRef>
          </c:cat>
          <c:val>
            <c:numRef>
              <c:f>'Cópia de 2024 Cópia de Cópia de'!$C$7:$C$18</c:f>
              <c:numCache>
                <c:formatCode>General</c:formatCode>
                <c:ptCount val="12"/>
              </c:numCache>
            </c:numRef>
          </c:val>
          <c:extLst>
            <c:ext xmlns:c16="http://schemas.microsoft.com/office/drawing/2014/chart" uri="{C3380CC4-5D6E-409C-BE32-E72D297353CC}">
              <c16:uniqueId val="{00000000-9708-4CFE-B931-4AA3B8A9BBF9}"/>
            </c:ext>
          </c:extLst>
        </c:ser>
        <c:dLbls>
          <c:showLegendKey val="0"/>
          <c:showVal val="0"/>
          <c:showCatName val="0"/>
          <c:showSerName val="0"/>
          <c:showPercent val="0"/>
          <c:showBubbleSize val="0"/>
        </c:dLbls>
        <c:gapWidth val="150"/>
        <c:axId val="1066462162"/>
        <c:axId val="1192677255"/>
      </c:barChart>
      <c:catAx>
        <c:axId val="106646216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92677255"/>
        <c:crosses val="autoZero"/>
        <c:auto val="1"/>
        <c:lblAlgn val="ctr"/>
        <c:lblOffset val="100"/>
        <c:noMultiLvlLbl val="1"/>
      </c:catAx>
      <c:valAx>
        <c:axId val="1192677255"/>
        <c:scaling>
          <c:orientation val="minMax"/>
        </c:scaling>
        <c:delete val="0"/>
        <c:axPos val="l"/>
        <c:numFmt formatCode="General" sourceLinked="1"/>
        <c:majorTickMark val="cross"/>
        <c:minorTickMark val="cross"/>
        <c:tickLblPos val="nextTo"/>
        <c:spPr>
          <a:ln>
            <a:noFill/>
          </a:ln>
        </c:spPr>
        <c:crossAx val="1066462162"/>
        <c:crosses val="autoZero"/>
        <c:crossBetween val="between"/>
      </c:valAx>
    </c:plotArea>
    <c:plotVisOnly val="1"/>
    <c:dispBlanksAs val="zero"/>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manualLayout>
          <c:xMode val="edge"/>
          <c:yMode val="edge"/>
          <c:x val="9.7916885389326316E-2"/>
          <c:y val="7.407407407407407E-2"/>
          <c:w val="0.9020831146106737"/>
          <c:h val="0.54991360454943128"/>
        </c:manualLayout>
      </c:layout>
      <c:barChart>
        <c:barDir val="col"/>
        <c:grouping val="clustered"/>
        <c:varyColors val="1"/>
        <c:ser>
          <c:idx val="0"/>
          <c:order val="0"/>
          <c:invertIfNegative val="1"/>
          <c:cat>
            <c:strRef>
              <c:f>'Cópia de 2024 Cópia de Cópia de'!$B$8:$B$18</c:f>
              <c:strCache>
                <c:ptCount val="11"/>
                <c:pt idx="0">
                  <c:v>FHEMIG</c:v>
                </c:pt>
                <c:pt idx="1">
                  <c:v>UFMG</c:v>
                </c:pt>
                <c:pt idx="2">
                  <c:v>RENE RACHOU</c:v>
                </c:pt>
                <c:pt idx="3">
                  <c:v>CIÊNCIAS MÉDICAS</c:v>
                </c:pt>
                <c:pt idx="4">
                  <c:v>UNIV FED FLUM</c:v>
                </c:pt>
                <c:pt idx="5">
                  <c:v>Universidade Europea</c:v>
                </c:pt>
                <c:pt idx="6">
                  <c:v>MOINHOS DE VENTO</c:v>
                </c:pt>
                <c:pt idx="7">
                  <c:v>BOTUCATU</c:v>
                </c:pt>
                <c:pt idx="8">
                  <c:v>PUCMINAS</c:v>
                </c:pt>
                <c:pt idx="9">
                  <c:v>EINSTEIN</c:v>
                </c:pt>
                <c:pt idx="10">
                  <c:v>NATIONWIDE CHILF H</c:v>
                </c:pt>
              </c:strCache>
            </c:strRef>
          </c:cat>
          <c:val>
            <c:numRef>
              <c:f>'Cópia de 2024 Cópia de Cópia de'!$C$8:$C$18</c:f>
              <c:numCache>
                <c:formatCode>General</c:formatCode>
                <c:ptCount val="11"/>
              </c:numCache>
            </c:numRef>
          </c:val>
          <c:extLst>
            <c:ext xmlns:c16="http://schemas.microsoft.com/office/drawing/2014/chart" uri="{C3380CC4-5D6E-409C-BE32-E72D297353CC}">
              <c16:uniqueId val="{00000000-780E-4F50-9749-47BC95C7F09C}"/>
            </c:ext>
          </c:extLst>
        </c:ser>
        <c:dLbls>
          <c:showLegendKey val="0"/>
          <c:showVal val="0"/>
          <c:showCatName val="0"/>
          <c:showSerName val="0"/>
          <c:showPercent val="0"/>
          <c:showBubbleSize val="0"/>
        </c:dLbls>
        <c:gapWidth val="150"/>
        <c:axId val="684386918"/>
        <c:axId val="1240050275"/>
      </c:barChart>
      <c:catAx>
        <c:axId val="68438691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40050275"/>
        <c:crosses val="autoZero"/>
        <c:auto val="1"/>
        <c:lblAlgn val="ctr"/>
        <c:lblOffset val="100"/>
        <c:noMultiLvlLbl val="1"/>
      </c:catAx>
      <c:valAx>
        <c:axId val="1240050275"/>
        <c:scaling>
          <c:orientation val="minMax"/>
        </c:scaling>
        <c:delete val="0"/>
        <c:axPos val="l"/>
        <c:numFmt formatCode="General" sourceLinked="1"/>
        <c:majorTickMark val="cross"/>
        <c:minorTickMark val="cross"/>
        <c:tickLblPos val="nextTo"/>
        <c:spPr>
          <a:ln>
            <a:noFill/>
          </a:ln>
        </c:spPr>
        <c:crossAx val="684386918"/>
        <c:crosses val="autoZero"/>
        <c:crossBetween val="between"/>
      </c:valAx>
    </c:plotArea>
    <c:plotVisOnly val="1"/>
    <c:dispBlanksAs val="zero"/>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tx>
            <c:v>              PROJETOS  DE PESQUISA</c:v>
          </c:tx>
          <c:spPr>
            <a:solidFill>
              <a:srgbClr val="4285F4"/>
            </a:solidFill>
            <a:ln cmpd="sng">
              <a:solidFill>
                <a:srgbClr val="000000"/>
              </a:solidFill>
            </a:ln>
          </c:spPr>
          <c:invertIfNegative val="1"/>
          <c:dLbls>
            <c:spPr>
              <a:noFill/>
              <a:ln>
                <a:noFill/>
              </a:ln>
              <a:effectLst/>
            </c:spPr>
            <c:txPr>
              <a:bodyPr/>
              <a:lstStyle/>
              <a:p>
                <a:pPr lvl="0">
                  <a:defRPr sz="1000" b="1"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2024 Cópia de Cópia de'!$B$25:$B$30</c:f>
              <c:strCache>
                <c:ptCount val="6"/>
                <c:pt idx="0">
                  <c:v>Iniciação Científica</c:v>
                </c:pt>
                <c:pt idx="1">
                  <c:v>TCC</c:v>
                </c:pt>
                <c:pt idx="2">
                  <c:v>TCR</c:v>
                </c:pt>
                <c:pt idx="3">
                  <c:v>Mestrado</c:v>
                </c:pt>
                <c:pt idx="4">
                  <c:v>Doutorado</c:v>
                </c:pt>
                <c:pt idx="5">
                  <c:v>Publicação</c:v>
                </c:pt>
              </c:strCache>
            </c:strRef>
          </c:cat>
          <c:val>
            <c:numRef>
              <c:f>'Cópia de 2024 Cópia de Cópia de'!$C$25:$C$30</c:f>
              <c:numCache>
                <c:formatCode>General</c:formatCode>
                <c:ptCount val="6"/>
                <c:pt idx="0">
                  <c:v>2</c:v>
                </c:pt>
                <c:pt idx="1">
                  <c:v>2</c:v>
                </c:pt>
                <c:pt idx="2">
                  <c:v>37</c:v>
                </c:pt>
                <c:pt idx="3">
                  <c:v>7</c:v>
                </c:pt>
                <c:pt idx="4">
                  <c:v>2</c:v>
                </c:pt>
                <c:pt idx="5">
                  <c:v>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D76-418B-9E08-0B1791F20269}"/>
            </c:ext>
          </c:extLst>
        </c:ser>
        <c:dLbls>
          <c:showLegendKey val="0"/>
          <c:showVal val="0"/>
          <c:showCatName val="0"/>
          <c:showSerName val="0"/>
          <c:showPercent val="0"/>
          <c:showBubbleSize val="0"/>
        </c:dLbls>
        <c:gapWidth val="150"/>
        <c:axId val="1947786462"/>
        <c:axId val="1696124193"/>
      </c:barChart>
      <c:catAx>
        <c:axId val="194778646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1696124193"/>
        <c:crosses val="autoZero"/>
        <c:auto val="1"/>
        <c:lblAlgn val="ctr"/>
        <c:lblOffset val="100"/>
        <c:noMultiLvlLbl val="1"/>
      </c:catAx>
      <c:valAx>
        <c:axId val="1696124193"/>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947786462"/>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'Cópia de 2024 Cópia de Cópia de'!$N$46:$N$50</c:f>
              <c:strCache>
                <c:ptCount val="5"/>
                <c:pt idx="0">
                  <c:v>Aprovados CIP</c:v>
                </c:pt>
                <c:pt idx="1">
                  <c:v>Pendências</c:v>
                </c:pt>
                <c:pt idx="2">
                  <c:v>Reprovados</c:v>
                </c:pt>
                <c:pt idx="3">
                  <c:v>Não se Aplica</c:v>
                </c:pt>
                <c:pt idx="4">
                  <c:v>Pend Doc NEP</c:v>
                </c:pt>
              </c:strCache>
            </c:strRef>
          </c:cat>
          <c:val>
            <c:numRef>
              <c:f>'Cópia de 2024 Cópia de Cópia de'!$O$46:$O$50</c:f>
              <c:numCache>
                <c:formatCode>General</c:formatCode>
                <c:ptCount val="5"/>
                <c:pt idx="0">
                  <c:v>72</c:v>
                </c:pt>
                <c:pt idx="1">
                  <c:v>5</c:v>
                </c:pt>
                <c:pt idx="2">
                  <c:v>3</c:v>
                </c:pt>
                <c:pt idx="3">
                  <c:v>4</c:v>
                </c:pt>
                <c:pt idx="4">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88-4A4B-8EDA-02F1DB2F26D8}"/>
            </c:ext>
          </c:extLst>
        </c:ser>
        <c:dLbls>
          <c:showLegendKey val="0"/>
          <c:showVal val="0"/>
          <c:showCatName val="0"/>
          <c:showSerName val="0"/>
          <c:showPercent val="0"/>
          <c:showBubbleSize val="0"/>
        </c:dLbls>
        <c:gapWidth val="150"/>
        <c:axId val="1432765947"/>
        <c:axId val="101399647"/>
      </c:barChart>
      <c:catAx>
        <c:axId val="143276594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1399647"/>
        <c:crosses val="autoZero"/>
        <c:auto val="1"/>
        <c:lblAlgn val="ctr"/>
        <c:lblOffset val="100"/>
        <c:noMultiLvlLbl val="1"/>
      </c:catAx>
      <c:valAx>
        <c:axId val="10139964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432765947"/>
        <c:crosses val="autoZero"/>
        <c:crossBetween val="between"/>
      </c:valAx>
    </c:plotArea>
    <c:plotVisOnly val="1"/>
    <c:dispBlanksAs val="zero"/>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Pt>
            <c:idx val="0"/>
            <c:invertIfNegative val="1"/>
            <c:bubble3D val="0"/>
            <c:spPr>
              <a:solidFill>
                <a:schemeClr val="accent4"/>
              </a:solidFill>
              <a:ln cmpd="sng">
                <a:solidFill>
                  <a:srgbClr val="000000"/>
                </a:solidFill>
              </a:ln>
            </c:spPr>
            <c:extLst>
              <c:ext xmlns:c16="http://schemas.microsoft.com/office/drawing/2014/chart" uri="{C3380CC4-5D6E-409C-BE32-E72D297353CC}">
                <c16:uniqueId val="{00000001-945B-4D48-8825-00C360DC07DE}"/>
              </c:ext>
            </c:extLst>
          </c:dPt>
          <c:cat>
            <c:strRef>
              <c:f>'Cópia de 2024 Cópia de Cópia de'!$B$1:$B$5</c:f>
              <c:strCache>
                <c:ptCount val="5"/>
                <c:pt idx="0">
                  <c:v>PROJETOS</c:v>
                </c:pt>
                <c:pt idx="1">
                  <c:v>PROJETOS 2025</c:v>
                </c:pt>
                <c:pt idx="2">
                  <c:v>EMENDAS 2025</c:v>
                </c:pt>
                <c:pt idx="3">
                  <c:v>PROJETOS 2024</c:v>
                </c:pt>
                <c:pt idx="4">
                  <c:v>PROJ PENDENC DOC</c:v>
                </c:pt>
              </c:strCache>
            </c:strRef>
          </c:cat>
          <c:val>
            <c:numRef>
              <c:f>'Cópia de 2024 Cópia de Cópia de'!$C$1:$C$5</c:f>
              <c:numCache>
                <c:formatCode>General</c:formatCode>
                <c:ptCount val="5"/>
                <c:pt idx="0">
                  <c:v>87</c:v>
                </c:pt>
                <c:pt idx="1">
                  <c:v>58</c:v>
                </c:pt>
                <c:pt idx="2">
                  <c:v>5</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45B-4D48-8825-00C360DC07DE}"/>
            </c:ext>
          </c:extLst>
        </c:ser>
        <c:dLbls>
          <c:showLegendKey val="0"/>
          <c:showVal val="0"/>
          <c:showCatName val="0"/>
          <c:showSerName val="0"/>
          <c:showPercent val="0"/>
          <c:showBubbleSize val="0"/>
        </c:dLbls>
        <c:gapWidth val="150"/>
        <c:axId val="1344138784"/>
        <c:axId val="1398337976"/>
      </c:barChart>
      <c:catAx>
        <c:axId val="134413878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398337976"/>
        <c:crosses val="autoZero"/>
        <c:auto val="1"/>
        <c:lblAlgn val="ctr"/>
        <c:lblOffset val="100"/>
        <c:noMultiLvlLbl val="1"/>
      </c:catAx>
      <c:valAx>
        <c:axId val="1398337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344138784"/>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3.xml"/><Relationship Id="rId7" Type="http://schemas.openxmlformats.org/officeDocument/2006/relationships/image" Target="../media/image7.png"/><Relationship Id="rId12" Type="http://schemas.openxmlformats.org/officeDocument/2006/relationships/chart" Target="../charts/chart21.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0.xml"/><Relationship Id="rId5" Type="http://schemas.openxmlformats.org/officeDocument/2006/relationships/chart" Target="../charts/chart15.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4.xml"/><Relationship Id="rId9" Type="http://schemas.openxmlformats.org/officeDocument/2006/relationships/chart" Target="../charts/chart18.xml"/><Relationship Id="rId14" Type="http://schemas.openxmlformats.org/officeDocument/2006/relationships/chart" Target="../charts/chart2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7.xml"/><Relationship Id="rId13" Type="http://schemas.openxmlformats.org/officeDocument/2006/relationships/chart" Target="../charts/chart42.xml"/><Relationship Id="rId3" Type="http://schemas.openxmlformats.org/officeDocument/2006/relationships/chart" Target="../charts/chart33.xml"/><Relationship Id="rId7" Type="http://schemas.openxmlformats.org/officeDocument/2006/relationships/image" Target="../media/image7.png"/><Relationship Id="rId12" Type="http://schemas.openxmlformats.org/officeDocument/2006/relationships/chart" Target="../charts/chart41.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0.xml"/><Relationship Id="rId5" Type="http://schemas.openxmlformats.org/officeDocument/2006/relationships/chart" Target="../charts/chart35.xml"/><Relationship Id="rId10" Type="http://schemas.openxmlformats.org/officeDocument/2006/relationships/chart" Target="../charts/chart39.xml"/><Relationship Id="rId4" Type="http://schemas.openxmlformats.org/officeDocument/2006/relationships/chart" Target="../charts/chart34.xml"/><Relationship Id="rId9" Type="http://schemas.openxmlformats.org/officeDocument/2006/relationships/chart" Target="../charts/chart38.xml"/><Relationship Id="rId14" Type="http://schemas.openxmlformats.org/officeDocument/2006/relationships/chart" Target="../charts/chart4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50.xml"/><Relationship Id="rId13" Type="http://schemas.openxmlformats.org/officeDocument/2006/relationships/chart" Target="../charts/chart55.xml"/><Relationship Id="rId3" Type="http://schemas.openxmlformats.org/officeDocument/2006/relationships/chart" Target="../charts/chart46.xml"/><Relationship Id="rId7" Type="http://schemas.openxmlformats.org/officeDocument/2006/relationships/image" Target="../media/image8.png"/><Relationship Id="rId12" Type="http://schemas.openxmlformats.org/officeDocument/2006/relationships/chart" Target="../charts/chart54.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3.xml"/><Relationship Id="rId5" Type="http://schemas.openxmlformats.org/officeDocument/2006/relationships/chart" Target="../charts/chart48.xml"/><Relationship Id="rId10" Type="http://schemas.openxmlformats.org/officeDocument/2006/relationships/chart" Target="../charts/chart52.xml"/><Relationship Id="rId4" Type="http://schemas.openxmlformats.org/officeDocument/2006/relationships/chart" Target="../charts/chart47.xml"/><Relationship Id="rId9" Type="http://schemas.openxmlformats.org/officeDocument/2006/relationships/chart" Target="../charts/chart51.xml"/><Relationship Id="rId14" Type="http://schemas.openxmlformats.org/officeDocument/2006/relationships/chart" Target="../charts/chart56.xml"/></Relationships>
</file>

<file path=xl/drawings/drawing1.xml><?xml version="1.0" encoding="utf-8"?>
<xdr:wsDr xmlns:xdr="http://schemas.openxmlformats.org/drawingml/2006/spreadsheetDrawing" xmlns:a="http://schemas.openxmlformats.org/drawingml/2006/main">
  <xdr:oneCellAnchor>
    <xdr:from>
      <xdr:col>12</xdr:col>
      <xdr:colOff>704850</xdr:colOff>
      <xdr:row>0</xdr:row>
      <xdr:rowOff>0</xdr:rowOff>
    </xdr:from>
    <xdr:ext cx="5715000" cy="3533775"/>
    <xdr:pic>
      <xdr:nvPicPr>
        <xdr:cNvPr id="622413308" name="Chart1" title="Gráfico">
          <a:extLst>
            <a:ext uri="{FF2B5EF4-FFF2-40B4-BE49-F238E27FC236}">
              <a16:creationId xmlns:a16="http://schemas.microsoft.com/office/drawing/2014/main" id="{00000000-0008-0000-0300-0000FC45192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9525</xdr:colOff>
      <xdr:row>0</xdr:row>
      <xdr:rowOff>0</xdr:rowOff>
    </xdr:from>
    <xdr:ext cx="5715000" cy="3533775"/>
    <xdr:pic>
      <xdr:nvPicPr>
        <xdr:cNvPr id="148012411" name="Chart2" title="Gráfico">
          <a:extLst>
            <a:ext uri="{FF2B5EF4-FFF2-40B4-BE49-F238E27FC236}">
              <a16:creationId xmlns:a16="http://schemas.microsoft.com/office/drawing/2014/main" id="{00000000-0008-0000-0300-00007B7DD208}"/>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904875</xdr:colOff>
      <xdr:row>5</xdr:row>
      <xdr:rowOff>38100</xdr:rowOff>
    </xdr:from>
    <xdr:ext cx="5715000" cy="3533775"/>
    <xdr:pic>
      <xdr:nvPicPr>
        <xdr:cNvPr id="684677621" name="Chart3" title="Gráfico">
          <a:extLst>
            <a:ext uri="{FF2B5EF4-FFF2-40B4-BE49-F238E27FC236}">
              <a16:creationId xmlns:a16="http://schemas.microsoft.com/office/drawing/2014/main" id="{00000000-0008-0000-0300-0000F559CF28}"/>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19</xdr:col>
      <xdr:colOff>9525</xdr:colOff>
      <xdr:row>5</xdr:row>
      <xdr:rowOff>38100</xdr:rowOff>
    </xdr:from>
    <xdr:ext cx="5715000" cy="3533775"/>
    <xdr:pic>
      <xdr:nvPicPr>
        <xdr:cNvPr id="460705493" name="Chart4" title="Gráfico">
          <a:extLst>
            <a:ext uri="{FF2B5EF4-FFF2-40B4-BE49-F238E27FC236}">
              <a16:creationId xmlns:a16="http://schemas.microsoft.com/office/drawing/2014/main" id="{00000000-0008-0000-0300-0000D5CE751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13</xdr:col>
      <xdr:colOff>85725</xdr:colOff>
      <xdr:row>15</xdr:row>
      <xdr:rowOff>104775</xdr:rowOff>
    </xdr:from>
    <xdr:ext cx="5715000" cy="3533775"/>
    <xdr:pic>
      <xdr:nvPicPr>
        <xdr:cNvPr id="842286706" name="Chart5" title="Gráfico">
          <a:extLst>
            <a:ext uri="{FF2B5EF4-FFF2-40B4-BE49-F238E27FC236}">
              <a16:creationId xmlns:a16="http://schemas.microsoft.com/office/drawing/2014/main" id="{00000000-0008-0000-0300-00007246343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19</xdr:col>
      <xdr:colOff>9525</xdr:colOff>
      <xdr:row>15</xdr:row>
      <xdr:rowOff>304800</xdr:rowOff>
    </xdr:from>
    <xdr:ext cx="5715000" cy="3533775"/>
    <xdr:graphicFrame macro="">
      <xdr:nvGraphicFramePr>
        <xdr:cNvPr id="793432950" name="Chart 6" title="Gráfico">
          <a:extLst>
            <a:ext uri="{FF2B5EF4-FFF2-40B4-BE49-F238E27FC236}">
              <a16:creationId xmlns:a16="http://schemas.microsoft.com/office/drawing/2014/main" id="{00000000-0008-0000-0300-000076D34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12</xdr:col>
      <xdr:colOff>904875</xdr:colOff>
      <xdr:row>26</xdr:row>
      <xdr:rowOff>285750</xdr:rowOff>
    </xdr:from>
    <xdr:ext cx="5715000" cy="3533775"/>
    <xdr:graphicFrame macro="">
      <xdr:nvGraphicFramePr>
        <xdr:cNvPr id="1255966814" name="Chart 7" title="Gráfico">
          <a:extLst>
            <a:ext uri="{FF2B5EF4-FFF2-40B4-BE49-F238E27FC236}">
              <a16:creationId xmlns:a16="http://schemas.microsoft.com/office/drawing/2014/main" id="{00000000-0008-0000-0300-00005E88D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19</xdr:col>
      <xdr:colOff>9525</xdr:colOff>
      <xdr:row>26</xdr:row>
      <xdr:rowOff>285750</xdr:rowOff>
    </xdr:from>
    <xdr:ext cx="5715000" cy="3533775"/>
    <xdr:graphicFrame macro="">
      <xdr:nvGraphicFramePr>
        <xdr:cNvPr id="1282804850" name="Chart 8" title="Gráfico">
          <a:extLst>
            <a:ext uri="{FF2B5EF4-FFF2-40B4-BE49-F238E27FC236}">
              <a16:creationId xmlns:a16="http://schemas.microsoft.com/office/drawing/2014/main" id="{00000000-0008-0000-0300-0000720C7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19</xdr:col>
      <xdr:colOff>9525</xdr:colOff>
      <xdr:row>38</xdr:row>
      <xdr:rowOff>238125</xdr:rowOff>
    </xdr:from>
    <xdr:ext cx="5715000" cy="3533775"/>
    <xdr:graphicFrame macro="">
      <xdr:nvGraphicFramePr>
        <xdr:cNvPr id="72127623" name="Chart 9" title="Gráfico">
          <a:extLst>
            <a:ext uri="{FF2B5EF4-FFF2-40B4-BE49-F238E27FC236}">
              <a16:creationId xmlns:a16="http://schemas.microsoft.com/office/drawing/2014/main" id="{00000000-0008-0000-0300-000087944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12</xdr:col>
      <xdr:colOff>933450</xdr:colOff>
      <xdr:row>38</xdr:row>
      <xdr:rowOff>238125</xdr:rowOff>
    </xdr:from>
    <xdr:ext cx="5715000" cy="3533775"/>
    <xdr:graphicFrame macro="">
      <xdr:nvGraphicFramePr>
        <xdr:cNvPr id="244935701" name="Chart 10" title="Gráfico">
          <a:extLst>
            <a:ext uri="{FF2B5EF4-FFF2-40B4-BE49-F238E27FC236}">
              <a16:creationId xmlns:a16="http://schemas.microsoft.com/office/drawing/2014/main" id="{00000000-0008-0000-0300-0000156C9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12</xdr:col>
      <xdr:colOff>933450</xdr:colOff>
      <xdr:row>49</xdr:row>
      <xdr:rowOff>190500</xdr:rowOff>
    </xdr:from>
    <xdr:ext cx="5715000" cy="3533775"/>
    <xdr:graphicFrame macro="">
      <xdr:nvGraphicFramePr>
        <xdr:cNvPr id="1242918287" name="Chart 11" title="Gráfico">
          <a:extLst>
            <a:ext uri="{FF2B5EF4-FFF2-40B4-BE49-F238E27FC236}">
              <a16:creationId xmlns:a16="http://schemas.microsoft.com/office/drawing/2014/main" id="{00000000-0008-0000-0300-00008F6D1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19</xdr:col>
      <xdr:colOff>9525</xdr:colOff>
      <xdr:row>49</xdr:row>
      <xdr:rowOff>190500</xdr:rowOff>
    </xdr:from>
    <xdr:ext cx="5715000" cy="3533775"/>
    <xdr:pic>
      <xdr:nvPicPr>
        <xdr:cNvPr id="48759226" name="Chart12" title="Gráfico">
          <a:extLst>
            <a:ext uri="{FF2B5EF4-FFF2-40B4-BE49-F238E27FC236}">
              <a16:creationId xmlns:a16="http://schemas.microsoft.com/office/drawing/2014/main" id="{00000000-0008-0000-0300-0000BA01E802}"/>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142875</xdr:colOff>
      <xdr:row>0</xdr:row>
      <xdr:rowOff>257175</xdr:rowOff>
    </xdr:from>
    <xdr:ext cx="4543425" cy="2914650"/>
    <xdr:graphicFrame macro="">
      <xdr:nvGraphicFramePr>
        <xdr:cNvPr id="502731693" name="Chart 13" title="Gráfico">
          <a:extLst>
            <a:ext uri="{FF2B5EF4-FFF2-40B4-BE49-F238E27FC236}">
              <a16:creationId xmlns:a16="http://schemas.microsoft.com/office/drawing/2014/main" id="{00000000-0008-0000-0600-0000AD13F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295275</xdr:colOff>
      <xdr:row>44</xdr:row>
      <xdr:rowOff>123825</xdr:rowOff>
    </xdr:from>
    <xdr:ext cx="4543425" cy="2914650"/>
    <xdr:graphicFrame macro="">
      <xdr:nvGraphicFramePr>
        <xdr:cNvPr id="999517759" name="Chart 14">
          <a:extLst>
            <a:ext uri="{FF2B5EF4-FFF2-40B4-BE49-F238E27FC236}">
              <a16:creationId xmlns:a16="http://schemas.microsoft.com/office/drawing/2014/main" id="{00000000-0008-0000-0600-00003F6E9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514350</xdr:colOff>
      <xdr:row>37</xdr:row>
      <xdr:rowOff>47625</xdr:rowOff>
    </xdr:from>
    <xdr:ext cx="4543425" cy="2895600"/>
    <xdr:graphicFrame macro="">
      <xdr:nvGraphicFramePr>
        <xdr:cNvPr id="462434850" name="Chart 15">
          <a:extLst>
            <a:ext uri="{FF2B5EF4-FFF2-40B4-BE49-F238E27FC236}">
              <a16:creationId xmlns:a16="http://schemas.microsoft.com/office/drawing/2014/main" id="{00000000-0008-0000-0600-000022329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514350</xdr:colOff>
      <xdr:row>37</xdr:row>
      <xdr:rowOff>47625</xdr:rowOff>
    </xdr:from>
    <xdr:ext cx="4543425" cy="2895600"/>
    <xdr:graphicFrame macro="">
      <xdr:nvGraphicFramePr>
        <xdr:cNvPr id="675735482" name="Chart 16">
          <a:extLst>
            <a:ext uri="{FF2B5EF4-FFF2-40B4-BE49-F238E27FC236}">
              <a16:creationId xmlns:a16="http://schemas.microsoft.com/office/drawing/2014/main" id="{00000000-0008-0000-0600-0000BAE74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619125</xdr:colOff>
      <xdr:row>23</xdr:row>
      <xdr:rowOff>142875</xdr:rowOff>
    </xdr:from>
    <xdr:ext cx="3810000" cy="2362200"/>
    <xdr:graphicFrame macro="">
      <xdr:nvGraphicFramePr>
        <xdr:cNvPr id="2098380961" name="Chart 17" title="Gráfico">
          <a:extLst>
            <a:ext uri="{FF2B5EF4-FFF2-40B4-BE49-F238E27FC236}">
              <a16:creationId xmlns:a16="http://schemas.microsoft.com/office/drawing/2014/main" id="{00000000-0008-0000-0800-0000A1C01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323850</xdr:colOff>
      <xdr:row>0</xdr:row>
      <xdr:rowOff>314325</xdr:rowOff>
    </xdr:from>
    <xdr:ext cx="4543425" cy="3162300"/>
    <xdr:graphicFrame macro="">
      <xdr:nvGraphicFramePr>
        <xdr:cNvPr id="917182455" name="Chart 18" title="Gráfico">
          <a:extLst>
            <a:ext uri="{FF2B5EF4-FFF2-40B4-BE49-F238E27FC236}">
              <a16:creationId xmlns:a16="http://schemas.microsoft.com/office/drawing/2014/main" id="{00000000-0008-0000-0800-0000F717A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361950</xdr:colOff>
      <xdr:row>33</xdr:row>
      <xdr:rowOff>133350</xdr:rowOff>
    </xdr:from>
    <xdr:ext cx="4543425" cy="2914650"/>
    <xdr:graphicFrame macro="">
      <xdr:nvGraphicFramePr>
        <xdr:cNvPr id="159724706" name="Chart 19" title="Gráfico">
          <a:extLst>
            <a:ext uri="{FF2B5EF4-FFF2-40B4-BE49-F238E27FC236}">
              <a16:creationId xmlns:a16="http://schemas.microsoft.com/office/drawing/2014/main" id="{00000000-0008-0000-0800-0000A2348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295275</xdr:colOff>
      <xdr:row>47</xdr:row>
      <xdr:rowOff>123825</xdr:rowOff>
    </xdr:from>
    <xdr:ext cx="4543425" cy="2914650"/>
    <xdr:graphicFrame macro="">
      <xdr:nvGraphicFramePr>
        <xdr:cNvPr id="1724043935" name="Chart 20">
          <a:extLst>
            <a:ext uri="{FF2B5EF4-FFF2-40B4-BE49-F238E27FC236}">
              <a16:creationId xmlns:a16="http://schemas.microsoft.com/office/drawing/2014/main" id="{00000000-0008-0000-0800-00009FD2C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571500</xdr:colOff>
      <xdr:row>57</xdr:row>
      <xdr:rowOff>95250</xdr:rowOff>
    </xdr:from>
    <xdr:ext cx="4543425" cy="2895600"/>
    <xdr:graphicFrame macro="">
      <xdr:nvGraphicFramePr>
        <xdr:cNvPr id="1136920442" name="Chart 21">
          <a:extLst>
            <a:ext uri="{FF2B5EF4-FFF2-40B4-BE49-F238E27FC236}">
              <a16:creationId xmlns:a16="http://schemas.microsoft.com/office/drawing/2014/main" id="{00000000-0008-0000-0800-00007A07C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10</xdr:col>
      <xdr:colOff>638175</xdr:colOff>
      <xdr:row>0</xdr:row>
      <xdr:rowOff>0</xdr:rowOff>
    </xdr:from>
    <xdr:ext cx="3086100" cy="1914525"/>
    <xdr:graphicFrame macro="">
      <xdr:nvGraphicFramePr>
        <xdr:cNvPr id="1715603544" name="Chart 22" title="Gráfico">
          <a:extLst>
            <a:ext uri="{FF2B5EF4-FFF2-40B4-BE49-F238E27FC236}">
              <a16:creationId xmlns:a16="http://schemas.microsoft.com/office/drawing/2014/main" id="{00000000-0008-0000-0800-000058084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11</xdr:col>
      <xdr:colOff>571500</xdr:colOff>
      <xdr:row>2</xdr:row>
      <xdr:rowOff>38100</xdr:rowOff>
    </xdr:from>
    <xdr:ext cx="5715000" cy="3533775"/>
    <xdr:pic>
      <xdr:nvPicPr>
        <xdr:cNvPr id="296485156" name="Chart23" title="Gráfico">
          <a:extLst>
            <a:ext uri="{FF2B5EF4-FFF2-40B4-BE49-F238E27FC236}">
              <a16:creationId xmlns:a16="http://schemas.microsoft.com/office/drawing/2014/main" id="{00000000-0008-0000-0800-00002401AC11}"/>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866775</xdr:colOff>
      <xdr:row>16</xdr:row>
      <xdr:rowOff>85725</xdr:rowOff>
    </xdr:from>
    <xdr:ext cx="2524125" cy="1571625"/>
    <xdr:graphicFrame macro="">
      <xdr:nvGraphicFramePr>
        <xdr:cNvPr id="1644295368" name="Chart 24" title="Gráfico">
          <a:extLst>
            <a:ext uri="{FF2B5EF4-FFF2-40B4-BE49-F238E27FC236}">
              <a16:creationId xmlns:a16="http://schemas.microsoft.com/office/drawing/2014/main" id="{00000000-0008-0000-0800-0000C8F40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xdr:col>
      <xdr:colOff>371475</xdr:colOff>
      <xdr:row>35</xdr:row>
      <xdr:rowOff>133350</xdr:rowOff>
    </xdr:from>
    <xdr:ext cx="4562475" cy="2867025"/>
    <xdr:graphicFrame macro="">
      <xdr:nvGraphicFramePr>
        <xdr:cNvPr id="1449057549" name="Chart 25" title="Gráfico">
          <a:extLst>
            <a:ext uri="{FF2B5EF4-FFF2-40B4-BE49-F238E27FC236}">
              <a16:creationId xmlns:a16="http://schemas.microsoft.com/office/drawing/2014/main" id="{00000000-0008-0000-0800-00000DDD5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14</xdr:col>
      <xdr:colOff>142875</xdr:colOff>
      <xdr:row>20</xdr:row>
      <xdr:rowOff>114300</xdr:rowOff>
    </xdr:from>
    <xdr:ext cx="4552950" cy="2867025"/>
    <xdr:graphicFrame macro="">
      <xdr:nvGraphicFramePr>
        <xdr:cNvPr id="995356375" name="Chart 26">
          <a:extLst>
            <a:ext uri="{FF2B5EF4-FFF2-40B4-BE49-F238E27FC236}">
              <a16:creationId xmlns:a16="http://schemas.microsoft.com/office/drawing/2014/main" id="{00000000-0008-0000-0800-0000D7EE5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2</xdr:col>
      <xdr:colOff>923925</xdr:colOff>
      <xdr:row>37</xdr:row>
      <xdr:rowOff>114300</xdr:rowOff>
    </xdr:from>
    <xdr:ext cx="4552950" cy="2857500"/>
    <xdr:graphicFrame macro="">
      <xdr:nvGraphicFramePr>
        <xdr:cNvPr id="782883922" name="Chart 27" title="Gráfico">
          <a:extLst>
            <a:ext uri="{FF2B5EF4-FFF2-40B4-BE49-F238E27FC236}">
              <a16:creationId xmlns:a16="http://schemas.microsoft.com/office/drawing/2014/main" id="{00000000-0008-0000-0800-000052DCA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0</xdr:col>
      <xdr:colOff>200025</xdr:colOff>
      <xdr:row>30</xdr:row>
      <xdr:rowOff>0</xdr:rowOff>
    </xdr:from>
    <xdr:ext cx="4562475" cy="2867025"/>
    <xdr:graphicFrame macro="">
      <xdr:nvGraphicFramePr>
        <xdr:cNvPr id="909736455" name="Chart 28" title="Gráfico">
          <a:extLst>
            <a:ext uri="{FF2B5EF4-FFF2-40B4-BE49-F238E27FC236}">
              <a16:creationId xmlns:a16="http://schemas.microsoft.com/office/drawing/2014/main" id="{00000000-0008-0000-0800-0000077A3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13</xdr:col>
      <xdr:colOff>752475</xdr:colOff>
      <xdr:row>33</xdr:row>
      <xdr:rowOff>161925</xdr:rowOff>
    </xdr:from>
    <xdr:ext cx="4810125" cy="2857500"/>
    <xdr:graphicFrame macro="">
      <xdr:nvGraphicFramePr>
        <xdr:cNvPr id="1506676356" name="Chart 29" title="Gráfico">
          <a:extLst>
            <a:ext uri="{FF2B5EF4-FFF2-40B4-BE49-F238E27FC236}">
              <a16:creationId xmlns:a16="http://schemas.microsoft.com/office/drawing/2014/main" id="{00000000-0008-0000-0800-0000840EC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8</xdr:col>
      <xdr:colOff>838200</xdr:colOff>
      <xdr:row>0</xdr:row>
      <xdr:rowOff>0</xdr:rowOff>
    </xdr:from>
    <xdr:ext cx="5715000" cy="3533775"/>
    <xdr:graphicFrame macro="">
      <xdr:nvGraphicFramePr>
        <xdr:cNvPr id="1706851796" name="Chart 30" title="Gráfico">
          <a:extLst>
            <a:ext uri="{FF2B5EF4-FFF2-40B4-BE49-F238E27FC236}">
              <a16:creationId xmlns:a16="http://schemas.microsoft.com/office/drawing/2014/main" id="{00000000-0008-0000-0800-0000D47DB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7</xdr:col>
      <xdr:colOff>733425</xdr:colOff>
      <xdr:row>4</xdr:row>
      <xdr:rowOff>66675</xdr:rowOff>
    </xdr:from>
    <xdr:ext cx="5715000" cy="3533775"/>
    <xdr:graphicFrame macro="">
      <xdr:nvGraphicFramePr>
        <xdr:cNvPr id="1489453650" name="Chart 31" title="Gráfico">
          <a:extLst>
            <a:ext uri="{FF2B5EF4-FFF2-40B4-BE49-F238E27FC236}">
              <a16:creationId xmlns:a16="http://schemas.microsoft.com/office/drawing/2014/main" id="{00000000-0008-0000-0800-00005242C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628650</xdr:colOff>
      <xdr:row>6</xdr:row>
      <xdr:rowOff>180975</xdr:rowOff>
    </xdr:from>
    <xdr:ext cx="5715000" cy="3533775"/>
    <xdr:graphicFrame macro="">
      <xdr:nvGraphicFramePr>
        <xdr:cNvPr id="546300949" name="Chart 32" title="Gráfico">
          <a:extLst>
            <a:ext uri="{FF2B5EF4-FFF2-40B4-BE49-F238E27FC236}">
              <a16:creationId xmlns:a16="http://schemas.microsoft.com/office/drawing/2014/main" id="{00000000-0008-0000-0900-000015E48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180975</xdr:colOff>
      <xdr:row>24</xdr:row>
      <xdr:rowOff>85725</xdr:rowOff>
    </xdr:from>
    <xdr:ext cx="4543425" cy="2914650"/>
    <xdr:graphicFrame macro="">
      <xdr:nvGraphicFramePr>
        <xdr:cNvPr id="339751510" name="Chart 33">
          <a:extLst>
            <a:ext uri="{FF2B5EF4-FFF2-40B4-BE49-F238E27FC236}">
              <a16:creationId xmlns:a16="http://schemas.microsoft.com/office/drawing/2014/main" id="{00000000-0008-0000-0900-000056324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923925</xdr:colOff>
      <xdr:row>2</xdr:row>
      <xdr:rowOff>28575</xdr:rowOff>
    </xdr:from>
    <xdr:ext cx="4543425" cy="2914650"/>
    <xdr:graphicFrame macro="">
      <xdr:nvGraphicFramePr>
        <xdr:cNvPr id="1722958771" name="Chart 34" title="Gráfico">
          <a:extLst>
            <a:ext uri="{FF2B5EF4-FFF2-40B4-BE49-F238E27FC236}">
              <a16:creationId xmlns:a16="http://schemas.microsoft.com/office/drawing/2014/main" id="{00000000-0008-0000-0900-0000B343B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295275</xdr:colOff>
      <xdr:row>44</xdr:row>
      <xdr:rowOff>123825</xdr:rowOff>
    </xdr:from>
    <xdr:ext cx="4543425" cy="2914650"/>
    <xdr:graphicFrame macro="">
      <xdr:nvGraphicFramePr>
        <xdr:cNvPr id="814909374" name="Chart 35">
          <a:extLst>
            <a:ext uri="{FF2B5EF4-FFF2-40B4-BE49-F238E27FC236}">
              <a16:creationId xmlns:a16="http://schemas.microsoft.com/office/drawing/2014/main" id="{00000000-0008-0000-0900-0000BE879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514350</xdr:colOff>
      <xdr:row>37</xdr:row>
      <xdr:rowOff>47625</xdr:rowOff>
    </xdr:from>
    <xdr:ext cx="4543425" cy="2895600"/>
    <xdr:graphicFrame macro="">
      <xdr:nvGraphicFramePr>
        <xdr:cNvPr id="55202301" name="Chart 36">
          <a:extLst>
            <a:ext uri="{FF2B5EF4-FFF2-40B4-BE49-F238E27FC236}">
              <a16:creationId xmlns:a16="http://schemas.microsoft.com/office/drawing/2014/main" id="{00000000-0008-0000-0900-0000FD514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4</xdr:col>
      <xdr:colOff>514350</xdr:colOff>
      <xdr:row>37</xdr:row>
      <xdr:rowOff>47625</xdr:rowOff>
    </xdr:from>
    <xdr:ext cx="4543425" cy="2895600"/>
    <xdr:graphicFrame macro="">
      <xdr:nvGraphicFramePr>
        <xdr:cNvPr id="189671488" name="Chart 37">
          <a:extLst>
            <a:ext uri="{FF2B5EF4-FFF2-40B4-BE49-F238E27FC236}">
              <a16:creationId xmlns:a16="http://schemas.microsoft.com/office/drawing/2014/main" id="{00000000-0008-0000-0900-000040284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285750</xdr:colOff>
      <xdr:row>13</xdr:row>
      <xdr:rowOff>123825</xdr:rowOff>
    </xdr:from>
    <xdr:ext cx="3810000" cy="2362200"/>
    <xdr:graphicFrame macro="">
      <xdr:nvGraphicFramePr>
        <xdr:cNvPr id="1977683314" name="Chart 38" title="Gráfico">
          <a:extLst>
            <a:ext uri="{FF2B5EF4-FFF2-40B4-BE49-F238E27FC236}">
              <a16:creationId xmlns:a16="http://schemas.microsoft.com/office/drawing/2014/main" id="{00000000-0008-0000-0A00-0000720DE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323850</xdr:colOff>
      <xdr:row>0</xdr:row>
      <xdr:rowOff>314325</xdr:rowOff>
    </xdr:from>
    <xdr:ext cx="4543425" cy="3162300"/>
    <xdr:graphicFrame macro="">
      <xdr:nvGraphicFramePr>
        <xdr:cNvPr id="1536726355" name="Chart 39" title="Gráfico">
          <a:extLst>
            <a:ext uri="{FF2B5EF4-FFF2-40B4-BE49-F238E27FC236}">
              <a16:creationId xmlns:a16="http://schemas.microsoft.com/office/drawing/2014/main" id="{00000000-0008-0000-0A00-000053959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514350</xdr:colOff>
      <xdr:row>26</xdr:row>
      <xdr:rowOff>104775</xdr:rowOff>
    </xdr:from>
    <xdr:ext cx="4543425" cy="2914650"/>
    <xdr:graphicFrame macro="">
      <xdr:nvGraphicFramePr>
        <xdr:cNvPr id="1121653870" name="Chart 40" title="Gráfico">
          <a:extLst>
            <a:ext uri="{FF2B5EF4-FFF2-40B4-BE49-F238E27FC236}">
              <a16:creationId xmlns:a16="http://schemas.microsoft.com/office/drawing/2014/main" id="{00000000-0008-0000-0A00-00006E14D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295275</xdr:colOff>
      <xdr:row>47</xdr:row>
      <xdr:rowOff>123825</xdr:rowOff>
    </xdr:from>
    <xdr:ext cx="4543425" cy="2914650"/>
    <xdr:graphicFrame macro="">
      <xdr:nvGraphicFramePr>
        <xdr:cNvPr id="1860023241" name="Chart 41">
          <a:extLst>
            <a:ext uri="{FF2B5EF4-FFF2-40B4-BE49-F238E27FC236}">
              <a16:creationId xmlns:a16="http://schemas.microsoft.com/office/drawing/2014/main" id="{00000000-0008-0000-0A00-0000C9B3D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571500</xdr:colOff>
      <xdr:row>57</xdr:row>
      <xdr:rowOff>95250</xdr:rowOff>
    </xdr:from>
    <xdr:ext cx="4543425" cy="2895600"/>
    <xdr:graphicFrame macro="">
      <xdr:nvGraphicFramePr>
        <xdr:cNvPr id="982086893" name="Chart 42">
          <a:extLst>
            <a:ext uri="{FF2B5EF4-FFF2-40B4-BE49-F238E27FC236}">
              <a16:creationId xmlns:a16="http://schemas.microsoft.com/office/drawing/2014/main" id="{00000000-0008-0000-0A00-0000ED748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10</xdr:col>
      <xdr:colOff>638175</xdr:colOff>
      <xdr:row>0</xdr:row>
      <xdr:rowOff>0</xdr:rowOff>
    </xdr:from>
    <xdr:ext cx="3086100" cy="1914525"/>
    <xdr:graphicFrame macro="">
      <xdr:nvGraphicFramePr>
        <xdr:cNvPr id="1951433565" name="Chart 43" title="Gráfico">
          <a:extLst>
            <a:ext uri="{FF2B5EF4-FFF2-40B4-BE49-F238E27FC236}">
              <a16:creationId xmlns:a16="http://schemas.microsoft.com/office/drawing/2014/main" id="{00000000-0008-0000-0A00-00005D835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11</xdr:col>
      <xdr:colOff>571500</xdr:colOff>
      <xdr:row>2</xdr:row>
      <xdr:rowOff>38100</xdr:rowOff>
    </xdr:from>
    <xdr:ext cx="5715000" cy="3533775"/>
    <xdr:pic>
      <xdr:nvPicPr>
        <xdr:cNvPr id="534766242" name="Chart44" title="Gráfico">
          <a:extLst>
            <a:ext uri="{FF2B5EF4-FFF2-40B4-BE49-F238E27FC236}">
              <a16:creationId xmlns:a16="http://schemas.microsoft.com/office/drawing/2014/main" id="{00000000-0008-0000-0A00-0000A2E2DF1F}"/>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266700</xdr:colOff>
      <xdr:row>7</xdr:row>
      <xdr:rowOff>152400</xdr:rowOff>
    </xdr:from>
    <xdr:ext cx="5715000" cy="3533775"/>
    <xdr:graphicFrame macro="">
      <xdr:nvGraphicFramePr>
        <xdr:cNvPr id="1119755892" name="Chart 45" title="Gráfico">
          <a:extLst>
            <a:ext uri="{FF2B5EF4-FFF2-40B4-BE49-F238E27FC236}">
              <a16:creationId xmlns:a16="http://schemas.microsoft.com/office/drawing/2014/main" id="{00000000-0008-0000-0A00-0000741EB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571500</xdr:colOff>
      <xdr:row>11</xdr:row>
      <xdr:rowOff>171450</xdr:rowOff>
    </xdr:from>
    <xdr:ext cx="4562475" cy="2867025"/>
    <xdr:graphicFrame macro="">
      <xdr:nvGraphicFramePr>
        <xdr:cNvPr id="2017827360" name="Chart 46">
          <a:extLst>
            <a:ext uri="{FF2B5EF4-FFF2-40B4-BE49-F238E27FC236}">
              <a16:creationId xmlns:a16="http://schemas.microsoft.com/office/drawing/2014/main" id="{00000000-0008-0000-0A00-0000209A4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14</xdr:col>
      <xdr:colOff>142875</xdr:colOff>
      <xdr:row>20</xdr:row>
      <xdr:rowOff>114300</xdr:rowOff>
    </xdr:from>
    <xdr:ext cx="4552950" cy="2867025"/>
    <xdr:graphicFrame macro="">
      <xdr:nvGraphicFramePr>
        <xdr:cNvPr id="1454393322" name="Chart 47">
          <a:extLst>
            <a:ext uri="{FF2B5EF4-FFF2-40B4-BE49-F238E27FC236}">
              <a16:creationId xmlns:a16="http://schemas.microsoft.com/office/drawing/2014/main" id="{00000000-0008-0000-0A00-0000EA47B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4</xdr:col>
      <xdr:colOff>228600</xdr:colOff>
      <xdr:row>21</xdr:row>
      <xdr:rowOff>19050</xdr:rowOff>
    </xdr:from>
    <xdr:ext cx="4552950" cy="2857500"/>
    <xdr:graphicFrame macro="">
      <xdr:nvGraphicFramePr>
        <xdr:cNvPr id="1060278183" name="Chart 48">
          <a:extLst>
            <a:ext uri="{FF2B5EF4-FFF2-40B4-BE49-F238E27FC236}">
              <a16:creationId xmlns:a16="http://schemas.microsoft.com/office/drawing/2014/main" id="{00000000-0008-0000-0A00-0000A78F3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5</xdr:col>
      <xdr:colOff>885825</xdr:colOff>
      <xdr:row>15</xdr:row>
      <xdr:rowOff>38100</xdr:rowOff>
    </xdr:from>
    <xdr:ext cx="4562475" cy="2867025"/>
    <xdr:graphicFrame macro="">
      <xdr:nvGraphicFramePr>
        <xdr:cNvPr id="686331307" name="Chart 49" title="Gráfico">
          <a:extLst>
            <a:ext uri="{FF2B5EF4-FFF2-40B4-BE49-F238E27FC236}">
              <a16:creationId xmlns:a16="http://schemas.microsoft.com/office/drawing/2014/main" id="{00000000-0008-0000-0A00-0000AB95E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16</xdr:col>
      <xdr:colOff>581025</xdr:colOff>
      <xdr:row>29</xdr:row>
      <xdr:rowOff>0</xdr:rowOff>
    </xdr:from>
    <xdr:ext cx="4810125" cy="2857500"/>
    <xdr:graphicFrame macro="">
      <xdr:nvGraphicFramePr>
        <xdr:cNvPr id="258704497" name="Chart 50" title="Gráfico">
          <a:extLst>
            <a:ext uri="{FF2B5EF4-FFF2-40B4-BE49-F238E27FC236}">
              <a16:creationId xmlns:a16="http://schemas.microsoft.com/office/drawing/2014/main" id="{00000000-0008-0000-0A00-000071846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16</xdr:col>
      <xdr:colOff>200025</xdr:colOff>
      <xdr:row>5</xdr:row>
      <xdr:rowOff>76200</xdr:rowOff>
    </xdr:from>
    <xdr:ext cx="5715000" cy="3533775"/>
    <xdr:graphicFrame macro="">
      <xdr:nvGraphicFramePr>
        <xdr:cNvPr id="776805061" name="Chart 51" title="Gráfico">
          <a:extLst>
            <a:ext uri="{FF2B5EF4-FFF2-40B4-BE49-F238E27FC236}">
              <a16:creationId xmlns:a16="http://schemas.microsoft.com/office/drawing/2014/main" id="{00000000-0008-0000-0A00-0000C51A4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285750</xdr:colOff>
      <xdr:row>13</xdr:row>
      <xdr:rowOff>123825</xdr:rowOff>
    </xdr:from>
    <xdr:ext cx="3810000" cy="2362200"/>
    <xdr:graphicFrame macro="">
      <xdr:nvGraphicFramePr>
        <xdr:cNvPr id="2063055590" name="Chart 52" title="Gráfico">
          <a:extLst>
            <a:ext uri="{FF2B5EF4-FFF2-40B4-BE49-F238E27FC236}">
              <a16:creationId xmlns:a16="http://schemas.microsoft.com/office/drawing/2014/main" id="{00000000-0008-0000-0B00-0000E6BAF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323850</xdr:colOff>
      <xdr:row>0</xdr:row>
      <xdr:rowOff>314325</xdr:rowOff>
    </xdr:from>
    <xdr:ext cx="4543425" cy="3162300"/>
    <xdr:graphicFrame macro="">
      <xdr:nvGraphicFramePr>
        <xdr:cNvPr id="1310094344" name="Chart 53" title="Gráfico">
          <a:extLst>
            <a:ext uri="{FF2B5EF4-FFF2-40B4-BE49-F238E27FC236}">
              <a16:creationId xmlns:a16="http://schemas.microsoft.com/office/drawing/2014/main" id="{00000000-0008-0000-0B00-000008741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514350</xdr:colOff>
      <xdr:row>26</xdr:row>
      <xdr:rowOff>104775</xdr:rowOff>
    </xdr:from>
    <xdr:ext cx="4543425" cy="2914650"/>
    <xdr:graphicFrame macro="">
      <xdr:nvGraphicFramePr>
        <xdr:cNvPr id="2026884081" name="Chart 54" title="Gráfico">
          <a:extLst>
            <a:ext uri="{FF2B5EF4-FFF2-40B4-BE49-F238E27FC236}">
              <a16:creationId xmlns:a16="http://schemas.microsoft.com/office/drawing/2014/main" id="{00000000-0008-0000-0B00-0000F1CBC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295275</xdr:colOff>
      <xdr:row>47</xdr:row>
      <xdr:rowOff>123825</xdr:rowOff>
    </xdr:from>
    <xdr:ext cx="4543425" cy="2914650"/>
    <xdr:graphicFrame macro="">
      <xdr:nvGraphicFramePr>
        <xdr:cNvPr id="341669691" name="Chart 55">
          <a:extLst>
            <a:ext uri="{FF2B5EF4-FFF2-40B4-BE49-F238E27FC236}">
              <a16:creationId xmlns:a16="http://schemas.microsoft.com/office/drawing/2014/main" id="{00000000-0008-0000-0B00-00003B775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571500</xdr:colOff>
      <xdr:row>57</xdr:row>
      <xdr:rowOff>95250</xdr:rowOff>
    </xdr:from>
    <xdr:ext cx="4543425" cy="2895600"/>
    <xdr:graphicFrame macro="">
      <xdr:nvGraphicFramePr>
        <xdr:cNvPr id="1329121126" name="Chart 56">
          <a:extLst>
            <a:ext uri="{FF2B5EF4-FFF2-40B4-BE49-F238E27FC236}">
              <a16:creationId xmlns:a16="http://schemas.microsoft.com/office/drawing/2014/main" id="{00000000-0008-0000-0B00-000066C73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10</xdr:col>
      <xdr:colOff>638175</xdr:colOff>
      <xdr:row>0</xdr:row>
      <xdr:rowOff>0</xdr:rowOff>
    </xdr:from>
    <xdr:ext cx="3086100" cy="1914525"/>
    <xdr:graphicFrame macro="">
      <xdr:nvGraphicFramePr>
        <xdr:cNvPr id="1214480808" name="Chart 57" title="Gráfico">
          <a:extLst>
            <a:ext uri="{FF2B5EF4-FFF2-40B4-BE49-F238E27FC236}">
              <a16:creationId xmlns:a16="http://schemas.microsoft.com/office/drawing/2014/main" id="{00000000-0008-0000-0B00-0000A8816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11</xdr:col>
      <xdr:colOff>571500</xdr:colOff>
      <xdr:row>2</xdr:row>
      <xdr:rowOff>38100</xdr:rowOff>
    </xdr:from>
    <xdr:ext cx="5715000" cy="3533775"/>
    <xdr:pic>
      <xdr:nvPicPr>
        <xdr:cNvPr id="208493249" name="Chart58" title="Gráfico">
          <a:extLst>
            <a:ext uri="{FF2B5EF4-FFF2-40B4-BE49-F238E27FC236}">
              <a16:creationId xmlns:a16="http://schemas.microsoft.com/office/drawing/2014/main" id="{00000000-0008-0000-0B00-0000C15A6D0C}"/>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266700</xdr:colOff>
      <xdr:row>7</xdr:row>
      <xdr:rowOff>152400</xdr:rowOff>
    </xdr:from>
    <xdr:ext cx="5715000" cy="3533775"/>
    <xdr:graphicFrame macro="">
      <xdr:nvGraphicFramePr>
        <xdr:cNvPr id="468993716" name="Chart 59" title="Gráfico">
          <a:extLst>
            <a:ext uri="{FF2B5EF4-FFF2-40B4-BE49-F238E27FC236}">
              <a16:creationId xmlns:a16="http://schemas.microsoft.com/office/drawing/2014/main" id="{00000000-0008-0000-0B00-0000B446F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571500</xdr:colOff>
      <xdr:row>11</xdr:row>
      <xdr:rowOff>171450</xdr:rowOff>
    </xdr:from>
    <xdr:ext cx="4562475" cy="2867025"/>
    <xdr:graphicFrame macro="">
      <xdr:nvGraphicFramePr>
        <xdr:cNvPr id="1303489182" name="Chart 60">
          <a:extLst>
            <a:ext uri="{FF2B5EF4-FFF2-40B4-BE49-F238E27FC236}">
              <a16:creationId xmlns:a16="http://schemas.microsoft.com/office/drawing/2014/main" id="{00000000-0008-0000-0B00-00009EAAB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14</xdr:col>
      <xdr:colOff>142875</xdr:colOff>
      <xdr:row>20</xdr:row>
      <xdr:rowOff>114300</xdr:rowOff>
    </xdr:from>
    <xdr:ext cx="4552950" cy="2867025"/>
    <xdr:graphicFrame macro="">
      <xdr:nvGraphicFramePr>
        <xdr:cNvPr id="1449516468" name="Chart 61">
          <a:extLst>
            <a:ext uri="{FF2B5EF4-FFF2-40B4-BE49-F238E27FC236}">
              <a16:creationId xmlns:a16="http://schemas.microsoft.com/office/drawing/2014/main" id="{00000000-0008-0000-0B00-0000B4DD6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4</xdr:col>
      <xdr:colOff>228600</xdr:colOff>
      <xdr:row>21</xdr:row>
      <xdr:rowOff>19050</xdr:rowOff>
    </xdr:from>
    <xdr:ext cx="4552950" cy="2857500"/>
    <xdr:graphicFrame macro="">
      <xdr:nvGraphicFramePr>
        <xdr:cNvPr id="917180097" name="Chart 62">
          <a:extLst>
            <a:ext uri="{FF2B5EF4-FFF2-40B4-BE49-F238E27FC236}">
              <a16:creationId xmlns:a16="http://schemas.microsoft.com/office/drawing/2014/main" id="{00000000-0008-0000-0B00-0000C10EA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5</xdr:col>
      <xdr:colOff>885825</xdr:colOff>
      <xdr:row>15</xdr:row>
      <xdr:rowOff>38100</xdr:rowOff>
    </xdr:from>
    <xdr:ext cx="4562475" cy="2867025"/>
    <xdr:graphicFrame macro="">
      <xdr:nvGraphicFramePr>
        <xdr:cNvPr id="10567335" name="Chart 63" title="Gráfico">
          <a:extLst>
            <a:ext uri="{FF2B5EF4-FFF2-40B4-BE49-F238E27FC236}">
              <a16:creationId xmlns:a16="http://schemas.microsoft.com/office/drawing/2014/main" id="{00000000-0008-0000-0B00-0000A73EA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16</xdr:col>
      <xdr:colOff>581025</xdr:colOff>
      <xdr:row>29</xdr:row>
      <xdr:rowOff>0</xdr:rowOff>
    </xdr:from>
    <xdr:ext cx="4810125" cy="2857500"/>
    <xdr:graphicFrame macro="">
      <xdr:nvGraphicFramePr>
        <xdr:cNvPr id="699488697" name="Chart 64" title="Gráfico">
          <a:extLst>
            <a:ext uri="{FF2B5EF4-FFF2-40B4-BE49-F238E27FC236}">
              <a16:creationId xmlns:a16="http://schemas.microsoft.com/office/drawing/2014/main" id="{00000000-0008-0000-0B00-0000B959B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16</xdr:col>
      <xdr:colOff>200025</xdr:colOff>
      <xdr:row>5</xdr:row>
      <xdr:rowOff>76200</xdr:rowOff>
    </xdr:from>
    <xdr:ext cx="5715000" cy="3533775"/>
    <xdr:graphicFrame macro="">
      <xdr:nvGraphicFramePr>
        <xdr:cNvPr id="486033794" name="Chart 65" title="Gráfico">
          <a:extLst>
            <a:ext uri="{FF2B5EF4-FFF2-40B4-BE49-F238E27FC236}">
              <a16:creationId xmlns:a16="http://schemas.microsoft.com/office/drawing/2014/main" id="{00000000-0008-0000-0B00-00008249F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s.google.com/spreadsheets/d/1YDN69-bzsyElUxKkqemDAkIYdlAPDEa0TJOgRDd8Vu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ocs.google.com/spreadsheets/d/18GBKvNoubkmhtaNE1EIIwRKXN6gnipm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PESQ 2025"/>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PESQ 2025"/>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1:H42" headerRowCount="0">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RESUMO TEMPO DE TRAMITAÇÃO 2025-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4:V40" headerRowCount="0">
  <tableColumns count="22">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s>
  <tableStyleInfo name="lista de pesquisadores para env-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fredbruzcarv@gmail.com" TargetMode="External"/><Relationship Id="rId13" Type="http://schemas.openxmlformats.org/officeDocument/2006/relationships/hyperlink" Target="mailto:wrocha2227@gmail.com" TargetMode="External"/><Relationship Id="rId3" Type="http://schemas.openxmlformats.org/officeDocument/2006/relationships/hyperlink" Target="mailto:cintiahorta27@gmail.com" TargetMode="External"/><Relationship Id="rId7" Type="http://schemas.openxmlformats.org/officeDocument/2006/relationships/hyperlink" Target="mailto:bruneits@gmail.com" TargetMode="External"/><Relationship Id="rId12" Type="http://schemas.openxmlformats.org/officeDocument/2006/relationships/hyperlink" Target="mailto:herosjr@gmail.com" TargetMode="External"/><Relationship Id="rId17" Type="http://schemas.openxmlformats.org/officeDocument/2006/relationships/comments" Target="../comments1.xml"/><Relationship Id="rId2" Type="http://schemas.openxmlformats.org/officeDocument/2006/relationships/hyperlink" Target="mailto:leticiasoaresjn@gmail.com" TargetMode="External"/><Relationship Id="rId16" Type="http://schemas.openxmlformats.org/officeDocument/2006/relationships/vmlDrawing" Target="../drawings/vmlDrawing1.vml"/><Relationship Id="rId1" Type="http://schemas.openxmlformats.org/officeDocument/2006/relationships/hyperlink" Target="mailto:nataliacerqueira.enf@gmail.com" TargetMode="External"/><Relationship Id="rId6" Type="http://schemas.openxmlformats.org/officeDocument/2006/relationships/hyperlink" Target="mailto:jotavioos.med@gmail.com" TargetMode="External"/><Relationship Id="rId11" Type="http://schemas.openxmlformats.org/officeDocument/2006/relationships/hyperlink" Target="mailto:michelle_souza@outlook.com" TargetMode="External"/><Relationship Id="rId5" Type="http://schemas.openxmlformats.org/officeDocument/2006/relationships/hyperlink" Target="mailto:barbara_hdomingos@hotmail.com" TargetMode="External"/><Relationship Id="rId15" Type="http://schemas.openxmlformats.org/officeDocument/2006/relationships/hyperlink" Target="mailto:rraissamsantos@gmail.com" TargetMode="External"/><Relationship Id="rId10" Type="http://schemas.openxmlformats.org/officeDocument/2006/relationships/hyperlink" Target="mailto:lleobarnsley993@hotmail.com" TargetMode="External"/><Relationship Id="rId4" Type="http://schemas.openxmlformats.org/officeDocument/2006/relationships/hyperlink" Target="mailto:ludmilladiniz82@gmail.com" TargetMode="External"/><Relationship Id="rId9" Type="http://schemas.openxmlformats.org/officeDocument/2006/relationships/hyperlink" Target="mailto:mariaolivia1604@gmail.com" TargetMode="External"/><Relationship Id="rId14" Type="http://schemas.openxmlformats.org/officeDocument/2006/relationships/hyperlink" Target="mailto:fernando227c@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3" Type="http://schemas.openxmlformats.org/officeDocument/2006/relationships/hyperlink" Target="http://lattes.cnpq.br/2565110494644584" TargetMode="External"/><Relationship Id="rId18" Type="http://schemas.openxmlformats.org/officeDocument/2006/relationships/hyperlink" Target="http://lattes.cnpq.br/0275982441123239" TargetMode="External"/><Relationship Id="rId26" Type="http://schemas.openxmlformats.org/officeDocument/2006/relationships/hyperlink" Target="http://lattes.cnpq.br/4005731215973065" TargetMode="External"/><Relationship Id="rId3" Type="http://schemas.openxmlformats.org/officeDocument/2006/relationships/hyperlink" Target="http://lattes.cnpq.br/5902736500163511" TargetMode="External"/><Relationship Id="rId21" Type="http://schemas.openxmlformats.org/officeDocument/2006/relationships/hyperlink" Target="http://lattes.cnpq.br/5121732796120163" TargetMode="External"/><Relationship Id="rId7" Type="http://schemas.openxmlformats.org/officeDocument/2006/relationships/hyperlink" Target="http://lattes.cnpq.br/8583803379959894" TargetMode="External"/><Relationship Id="rId12" Type="http://schemas.openxmlformats.org/officeDocument/2006/relationships/hyperlink" Target="http://lattes.cnpq.br/7863409047375285" TargetMode="External"/><Relationship Id="rId17" Type="http://schemas.openxmlformats.org/officeDocument/2006/relationships/hyperlink" Target="https://wwws.cnpq.br/cvlattesweb/PKG_MENU.menu?f_cod=235C567FD37C5E826F1F81663719EBE7" TargetMode="External"/><Relationship Id="rId25" Type="http://schemas.openxmlformats.org/officeDocument/2006/relationships/hyperlink" Target="http://lattes.cnpq.br/9932384866125002" TargetMode="External"/><Relationship Id="rId33" Type="http://schemas.openxmlformats.org/officeDocument/2006/relationships/table" Target="../tables/table2.xml"/><Relationship Id="rId2" Type="http://schemas.openxmlformats.org/officeDocument/2006/relationships/hyperlink" Target="http://lattes.cnpq.br/8075055712234496" TargetMode="External"/><Relationship Id="rId16" Type="http://schemas.openxmlformats.org/officeDocument/2006/relationships/hyperlink" Target="https://wwws.cnpq.br/cvlattesweb/PKG_MENU.menu?f_cod=21C6D215304A3A21AC117E4EF923B77E" TargetMode="External"/><Relationship Id="rId20" Type="http://schemas.openxmlformats.org/officeDocument/2006/relationships/hyperlink" Target="https://wwws.cnpq.br/cvlattesweb/PKG_MENU.menu?f_cod=3BA67003FB76D964AA662413EA4CD5A6" TargetMode="External"/><Relationship Id="rId29" Type="http://schemas.openxmlformats.org/officeDocument/2006/relationships/hyperlink" Target="http://lattes.cnpq.br/5043687862086856" TargetMode="External"/><Relationship Id="rId1" Type="http://schemas.openxmlformats.org/officeDocument/2006/relationships/hyperlink" Target="https://wwws.cnpq.br/cvlattesweb/PKG_MENU.menu?f_cod=1A51295B93EB8E3ECF79838FA522991C" TargetMode="External"/><Relationship Id="rId6" Type="http://schemas.openxmlformats.org/officeDocument/2006/relationships/hyperlink" Target="http://lattes.cnpq.br/9679290985844998" TargetMode="External"/><Relationship Id="rId11" Type="http://schemas.openxmlformats.org/officeDocument/2006/relationships/hyperlink" Target="https://lattes.cnpq.br/8924632108778900" TargetMode="External"/><Relationship Id="rId24" Type="http://schemas.openxmlformats.org/officeDocument/2006/relationships/hyperlink" Target="https://lattes.cnpq.br/3528308344212915" TargetMode="External"/><Relationship Id="rId32" Type="http://schemas.openxmlformats.org/officeDocument/2006/relationships/hyperlink" Target="http://lattes.cnpq.br/7112050288555092" TargetMode="External"/><Relationship Id="rId5" Type="http://schemas.openxmlformats.org/officeDocument/2006/relationships/hyperlink" Target="http://lattes.cnpq.br/0771658542547616" TargetMode="External"/><Relationship Id="rId15" Type="http://schemas.openxmlformats.org/officeDocument/2006/relationships/hyperlink" Target="http://lattes.cnpq.br/3869147527927727" TargetMode="External"/><Relationship Id="rId23" Type="http://schemas.openxmlformats.org/officeDocument/2006/relationships/hyperlink" Target="https://lattes.cnpq.br/2964142900973466" TargetMode="External"/><Relationship Id="rId28" Type="http://schemas.openxmlformats.org/officeDocument/2006/relationships/hyperlink" Target="https://lattes.cnpq.br/8890384065115307" TargetMode="External"/><Relationship Id="rId10" Type="http://schemas.openxmlformats.org/officeDocument/2006/relationships/hyperlink" Target="http://lattes.cnpq.br/2316235665062380" TargetMode="External"/><Relationship Id="rId19" Type="http://schemas.openxmlformats.org/officeDocument/2006/relationships/hyperlink" Target="http://lattes.cnpq.br/7440718660595127" TargetMode="External"/><Relationship Id="rId31" Type="http://schemas.openxmlformats.org/officeDocument/2006/relationships/hyperlink" Target="https://lattes.cnpq.br/8421290404427656" TargetMode="External"/><Relationship Id="rId4" Type="http://schemas.openxmlformats.org/officeDocument/2006/relationships/hyperlink" Target="http://lattes.cnpq.br/7118943028097010" TargetMode="External"/><Relationship Id="rId9" Type="http://schemas.openxmlformats.org/officeDocument/2006/relationships/hyperlink" Target="http://lattes.cnpq.br/4325017627925801" TargetMode="External"/><Relationship Id="rId14" Type="http://schemas.openxmlformats.org/officeDocument/2006/relationships/hyperlink" Target="http://lattes.cnpq.br/4422539815828760" TargetMode="External"/><Relationship Id="rId22" Type="http://schemas.openxmlformats.org/officeDocument/2006/relationships/hyperlink" Target="http://lattes.cnpq.br/1688208693493294" TargetMode="External"/><Relationship Id="rId27" Type="http://schemas.openxmlformats.org/officeDocument/2006/relationships/hyperlink" Target="http://lattes.cnpq.br/9884843101088624" TargetMode="External"/><Relationship Id="rId30" Type="http://schemas.openxmlformats.org/officeDocument/2006/relationships/hyperlink" Target="http://lattes.cnpq.br/7587297592457104" TargetMode="External"/><Relationship Id="rId8" Type="http://schemas.openxmlformats.org/officeDocument/2006/relationships/hyperlink" Target="http://lattes.cnpq.br/420485609541084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126"/>
  <sheetViews>
    <sheetView workbookViewId="0">
      <pane xSplit="9" ySplit="1" topLeftCell="J101" activePane="bottomRight" state="frozen"/>
      <selection pane="bottomRight" activeCell="F104" sqref="F104"/>
      <selection pane="bottomLeft" activeCell="A2" sqref="A2"/>
      <selection pane="topRight" activeCell="J1" sqref="J1"/>
    </sheetView>
  </sheetViews>
  <sheetFormatPr defaultColWidth="12.5703125" defaultRowHeight="15" customHeight="1"/>
  <cols>
    <col min="1" max="1" width="12.7109375" style="109" customWidth="1"/>
    <col min="2" max="2" width="11.7109375" customWidth="1"/>
    <col min="3" max="3" width="12.28515625" customWidth="1"/>
    <col min="4" max="4" width="20.42578125" style="274" customWidth="1"/>
    <col min="5" max="5" width="19.5703125" customWidth="1"/>
    <col min="6" max="6" width="14.5703125" style="165" customWidth="1"/>
    <col min="7" max="7" width="13.7109375" style="202" customWidth="1"/>
    <col min="8" max="8" width="13.42578125" style="275" customWidth="1"/>
    <col min="9" max="9" width="11.28515625" style="198" customWidth="1"/>
    <col min="10" max="10" width="11.42578125" style="276" customWidth="1"/>
    <col min="11" max="11" width="17.140625" style="277" customWidth="1"/>
    <col min="12" max="12" width="15.28515625" customWidth="1"/>
    <col min="13" max="13" width="16.28515625" style="57" customWidth="1"/>
    <col min="14" max="14" width="14.42578125" customWidth="1"/>
    <col min="15" max="15" width="25.42578125" customWidth="1"/>
    <col min="16" max="16" width="23" style="258" customWidth="1"/>
    <col min="17" max="17" width="11.42578125" style="278" customWidth="1"/>
    <col min="18" max="18" width="11.85546875" style="278" customWidth="1"/>
    <col min="19" max="19" width="10.28515625" customWidth="1"/>
    <col min="20" max="20" width="17.42578125" customWidth="1"/>
    <col min="21" max="21" width="10.28515625" style="277" customWidth="1"/>
    <col min="22" max="22" width="11.28515625" customWidth="1"/>
    <col min="23" max="23" width="10.5703125" style="277" customWidth="1"/>
    <col min="25" max="27" width="12.42578125" customWidth="1"/>
    <col min="30" max="30" width="10.7109375" customWidth="1"/>
    <col min="31" max="31" width="16.5703125" customWidth="1"/>
    <col min="32" max="32" width="16.85546875" customWidth="1"/>
    <col min="33" max="33" width="17.140625" customWidth="1"/>
    <col min="34" max="35" width="20.5703125" customWidth="1"/>
  </cols>
  <sheetData>
    <row r="1" spans="1:35" ht="121.5" customHeight="1">
      <c r="A1" s="1" t="s">
        <v>0</v>
      </c>
      <c r="B1" s="2" t="s">
        <v>1</v>
      </c>
      <c r="C1" s="3" t="s">
        <v>2</v>
      </c>
      <c r="D1" s="4" t="s">
        <v>3</v>
      </c>
      <c r="E1" s="5" t="s">
        <v>4</v>
      </c>
      <c r="F1" s="6" t="s">
        <v>5</v>
      </c>
      <c r="G1" s="7" t="s">
        <v>6</v>
      </c>
      <c r="H1" s="8" t="s">
        <v>7</v>
      </c>
      <c r="I1" s="9" t="s">
        <v>8</v>
      </c>
      <c r="J1" s="10" t="s">
        <v>9</v>
      </c>
      <c r="K1" s="3" t="s">
        <v>10</v>
      </c>
      <c r="L1" s="3" t="s">
        <v>11</v>
      </c>
      <c r="M1" s="3" t="s">
        <v>12</v>
      </c>
      <c r="N1" s="1" t="s">
        <v>13</v>
      </c>
      <c r="O1" s="11" t="s">
        <v>14</v>
      </c>
      <c r="P1" s="3" t="s">
        <v>15</v>
      </c>
      <c r="Q1" s="12" t="s">
        <v>16</v>
      </c>
      <c r="R1" s="13" t="s">
        <v>17</v>
      </c>
      <c r="S1" s="12" t="s">
        <v>18</v>
      </c>
      <c r="T1" s="14" t="s">
        <v>19</v>
      </c>
      <c r="U1" s="12" t="s">
        <v>20</v>
      </c>
      <c r="V1" s="15" t="s">
        <v>21</v>
      </c>
      <c r="W1" s="16" t="s">
        <v>22</v>
      </c>
      <c r="X1" s="17" t="s">
        <v>23</v>
      </c>
      <c r="Y1" s="18" t="s">
        <v>24</v>
      </c>
      <c r="Z1" s="18" t="s">
        <v>25</v>
      </c>
      <c r="AA1" s="12" t="s">
        <v>26</v>
      </c>
      <c r="AB1" s="19" t="s">
        <v>27</v>
      </c>
      <c r="AC1" s="20" t="s">
        <v>28</v>
      </c>
      <c r="AD1" s="21" t="s">
        <v>29</v>
      </c>
      <c r="AE1" s="22" t="s">
        <v>30</v>
      </c>
      <c r="AF1" s="23" t="s">
        <v>31</v>
      </c>
      <c r="AG1" s="23" t="s">
        <v>32</v>
      </c>
      <c r="AH1" s="24"/>
      <c r="AI1" s="24"/>
    </row>
    <row r="2" spans="1:35" ht="64.5" customHeight="1">
      <c r="A2" s="25" t="s">
        <v>33</v>
      </c>
      <c r="B2" s="26" t="s">
        <v>34</v>
      </c>
      <c r="C2" s="27" t="s">
        <v>35</v>
      </c>
      <c r="D2" s="28" t="s">
        <v>36</v>
      </c>
      <c r="E2" s="29" t="s">
        <v>37</v>
      </c>
      <c r="F2" s="30">
        <v>45810</v>
      </c>
      <c r="G2" s="31" t="s">
        <v>38</v>
      </c>
      <c r="H2" s="32" t="s">
        <v>39</v>
      </c>
      <c r="I2" s="33" t="s">
        <v>40</v>
      </c>
      <c r="J2" s="34" t="s">
        <v>41</v>
      </c>
      <c r="K2" s="35" t="s">
        <v>42</v>
      </c>
      <c r="L2" s="35" t="s">
        <v>43</v>
      </c>
      <c r="M2" s="36" t="s">
        <v>44</v>
      </c>
      <c r="N2" s="31" t="s">
        <v>45</v>
      </c>
      <c r="O2" s="37" t="s">
        <v>46</v>
      </c>
      <c r="P2" s="31" t="s">
        <v>47</v>
      </c>
      <c r="Q2" s="38" t="s">
        <v>47</v>
      </c>
      <c r="R2" s="39" t="s">
        <v>47</v>
      </c>
      <c r="S2" s="39" t="str">
        <f t="shared" ref="S2:S3" si="0">IFERROR((R2-F2)+1,"ABC")</f>
        <v>ABC</v>
      </c>
      <c r="T2" s="40" t="s">
        <v>47</v>
      </c>
      <c r="U2" s="35" t="s">
        <v>47</v>
      </c>
      <c r="V2" s="31" t="s">
        <v>48</v>
      </c>
      <c r="W2" s="35" t="s">
        <v>47</v>
      </c>
      <c r="X2" s="35" t="s">
        <v>47</v>
      </c>
      <c r="Y2" s="41" t="s">
        <v>47</v>
      </c>
      <c r="Z2" s="41" t="s">
        <v>47</v>
      </c>
      <c r="AA2" s="35" t="str">
        <f t="shared" ref="AA2:AA3" si="1">IFERROR((Z2-W2)+1,"ABC")</f>
        <v>ABC</v>
      </c>
      <c r="AB2" s="42">
        <v>45809</v>
      </c>
      <c r="AC2" s="35" t="s">
        <v>47</v>
      </c>
      <c r="AD2" s="31" t="s">
        <v>49</v>
      </c>
      <c r="AE2" s="37" t="s">
        <v>50</v>
      </c>
      <c r="AF2" s="408" t="s">
        <v>47</v>
      </c>
      <c r="AG2" s="408" t="s">
        <v>51</v>
      </c>
      <c r="AH2" s="438"/>
      <c r="AI2" s="438"/>
    </row>
    <row r="3" spans="1:35" ht="64.5" customHeight="1">
      <c r="A3" s="25" t="s">
        <v>33</v>
      </c>
      <c r="B3" s="26">
        <v>56</v>
      </c>
      <c r="C3" s="31" t="s">
        <v>52</v>
      </c>
      <c r="D3" s="43" t="s">
        <v>53</v>
      </c>
      <c r="E3" s="29" t="s">
        <v>54</v>
      </c>
      <c r="F3" s="44">
        <v>43965</v>
      </c>
      <c r="G3" s="25" t="s">
        <v>55</v>
      </c>
      <c r="H3" s="32" t="s">
        <v>56</v>
      </c>
      <c r="I3" s="33" t="s">
        <v>40</v>
      </c>
      <c r="J3" s="34" t="s">
        <v>41</v>
      </c>
      <c r="K3" s="35" t="s">
        <v>57</v>
      </c>
      <c r="L3" s="35" t="s">
        <v>43</v>
      </c>
      <c r="M3" s="45" t="s">
        <v>58</v>
      </c>
      <c r="N3" s="25" t="s">
        <v>59</v>
      </c>
      <c r="O3" s="46" t="s">
        <v>60</v>
      </c>
      <c r="P3" s="25" t="s">
        <v>47</v>
      </c>
      <c r="Q3" s="47" t="s">
        <v>47</v>
      </c>
      <c r="R3" s="47" t="s">
        <v>47</v>
      </c>
      <c r="S3" s="39" t="str">
        <f t="shared" si="0"/>
        <v>ABC</v>
      </c>
      <c r="T3" s="40" t="s">
        <v>47</v>
      </c>
      <c r="U3" s="35" t="str">
        <f>IFERROR((T3-S3)+1,"ABC")</f>
        <v>ABC</v>
      </c>
      <c r="V3" s="31" t="s">
        <v>48</v>
      </c>
      <c r="W3" s="48" t="s">
        <v>47</v>
      </c>
      <c r="X3" s="49" t="s">
        <v>47</v>
      </c>
      <c r="Y3" s="41" t="s">
        <v>47</v>
      </c>
      <c r="Z3" s="41" t="s">
        <v>47</v>
      </c>
      <c r="AA3" s="35" t="str">
        <f t="shared" si="1"/>
        <v>ABC</v>
      </c>
      <c r="AB3" s="42">
        <v>45600</v>
      </c>
      <c r="AC3" s="35" t="s">
        <v>47</v>
      </c>
      <c r="AD3" s="31" t="s">
        <v>49</v>
      </c>
      <c r="AE3" s="50" t="s">
        <v>47</v>
      </c>
      <c r="AF3" s="50" t="s">
        <v>47</v>
      </c>
      <c r="AG3" s="50" t="s">
        <v>61</v>
      </c>
      <c r="AH3" s="51"/>
      <c r="AI3" s="51"/>
    </row>
    <row r="4" spans="1:35" ht="64.5" customHeight="1">
      <c r="A4" s="52" t="s">
        <v>62</v>
      </c>
      <c r="B4" s="53" t="s">
        <v>47</v>
      </c>
      <c r="C4" s="40" t="s">
        <v>63</v>
      </c>
      <c r="D4" s="45" t="s">
        <v>64</v>
      </c>
      <c r="E4" s="29" t="s">
        <v>65</v>
      </c>
      <c r="F4" s="439">
        <v>45639</v>
      </c>
      <c r="G4" s="40" t="s">
        <v>66</v>
      </c>
      <c r="H4" s="54" t="s">
        <v>39</v>
      </c>
      <c r="I4" s="55" t="s">
        <v>40</v>
      </c>
      <c r="J4" s="56" t="s">
        <v>67</v>
      </c>
      <c r="K4" s="40" t="s">
        <v>42</v>
      </c>
      <c r="L4" s="40" t="s">
        <v>68</v>
      </c>
      <c r="M4" s="57" t="s">
        <v>69</v>
      </c>
      <c r="N4" s="40" t="s">
        <v>70</v>
      </c>
      <c r="O4" s="58" t="s">
        <v>71</v>
      </c>
      <c r="P4" s="40" t="s">
        <v>47</v>
      </c>
      <c r="Q4" s="59">
        <v>45666</v>
      </c>
      <c r="R4" s="59">
        <v>45644</v>
      </c>
      <c r="S4" s="69">
        <f t="shared" ref="S4:S5" si="2">(R4-F4)+1</f>
        <v>6</v>
      </c>
      <c r="T4" s="65">
        <v>45649</v>
      </c>
      <c r="U4" s="35">
        <f t="shared" ref="U4:U5" si="3">(T4-R4)+1</f>
        <v>6</v>
      </c>
      <c r="V4" s="40" t="s">
        <v>72</v>
      </c>
      <c r="W4" s="60">
        <v>45652</v>
      </c>
      <c r="X4" s="61">
        <v>45652</v>
      </c>
      <c r="Y4" s="59">
        <v>45911</v>
      </c>
      <c r="Z4" s="59">
        <v>45915</v>
      </c>
      <c r="AA4" s="40">
        <f t="shared" ref="AA4:AA6" si="4">(Z4-W4)+1</f>
        <v>264</v>
      </c>
      <c r="AB4" s="59">
        <v>45942</v>
      </c>
      <c r="AC4" s="40">
        <f>IFERROR((AB4-F4)+1,"ABC")</f>
        <v>304</v>
      </c>
      <c r="AD4" s="69" t="s">
        <v>73</v>
      </c>
      <c r="AE4" s="69" t="s">
        <v>47</v>
      </c>
      <c r="AF4" s="69" t="s">
        <v>47</v>
      </c>
      <c r="AG4" s="69" t="s">
        <v>74</v>
      </c>
      <c r="AH4" s="440"/>
      <c r="AI4" s="440"/>
    </row>
    <row r="5" spans="1:35" ht="64.5" customHeight="1">
      <c r="A5" s="52" t="s">
        <v>62</v>
      </c>
      <c r="B5" s="62" t="s">
        <v>75</v>
      </c>
      <c r="C5" s="40" t="s">
        <v>63</v>
      </c>
      <c r="D5" s="63" t="s">
        <v>76</v>
      </c>
      <c r="E5" s="29" t="s">
        <v>77</v>
      </c>
      <c r="F5" s="439">
        <v>45579</v>
      </c>
      <c r="G5" s="40" t="s">
        <v>78</v>
      </c>
      <c r="H5" s="54" t="s">
        <v>39</v>
      </c>
      <c r="I5" s="55" t="s">
        <v>40</v>
      </c>
      <c r="J5" s="56" t="s">
        <v>79</v>
      </c>
      <c r="K5" s="40" t="s">
        <v>80</v>
      </c>
      <c r="L5" s="40" t="s">
        <v>43</v>
      </c>
      <c r="M5" s="45" t="s">
        <v>81</v>
      </c>
      <c r="N5" s="40" t="s">
        <v>82</v>
      </c>
      <c r="O5" s="58" t="s">
        <v>83</v>
      </c>
      <c r="P5" s="40" t="s">
        <v>84</v>
      </c>
      <c r="Q5" s="64">
        <v>45579</v>
      </c>
      <c r="R5" s="65">
        <v>45581</v>
      </c>
      <c r="S5" s="69">
        <f t="shared" si="2"/>
        <v>3</v>
      </c>
      <c r="T5" s="60">
        <v>45595</v>
      </c>
      <c r="U5" s="40">
        <f t="shared" si="3"/>
        <v>15</v>
      </c>
      <c r="V5" s="40" t="s">
        <v>72</v>
      </c>
      <c r="W5" s="66">
        <v>45602</v>
      </c>
      <c r="X5" s="60">
        <v>45596</v>
      </c>
      <c r="Y5" s="60">
        <v>45714</v>
      </c>
      <c r="Z5" s="60">
        <v>45715</v>
      </c>
      <c r="AA5" s="40">
        <f t="shared" si="4"/>
        <v>114</v>
      </c>
      <c r="AB5" s="60">
        <v>45770</v>
      </c>
      <c r="AC5" s="40">
        <f>(AB5-F5)+1</f>
        <v>192</v>
      </c>
      <c r="AD5" s="40" t="s">
        <v>49</v>
      </c>
      <c r="AE5" s="69" t="s">
        <v>47</v>
      </c>
      <c r="AF5" s="69" t="s">
        <v>47</v>
      </c>
      <c r="AG5" s="67" t="s">
        <v>85</v>
      </c>
      <c r="AH5" s="441"/>
      <c r="AI5" s="441"/>
    </row>
    <row r="6" spans="1:35" ht="64.5" customHeight="1">
      <c r="A6" s="52" t="s">
        <v>86</v>
      </c>
      <c r="B6" s="26" t="s">
        <v>87</v>
      </c>
      <c r="C6" s="68" t="s">
        <v>63</v>
      </c>
      <c r="D6" s="45" t="s">
        <v>88</v>
      </c>
      <c r="E6" s="29" t="s">
        <v>89</v>
      </c>
      <c r="F6" s="439">
        <v>45617</v>
      </c>
      <c r="G6" s="40" t="s">
        <v>90</v>
      </c>
      <c r="H6" s="54" t="s">
        <v>56</v>
      </c>
      <c r="I6" s="55" t="s">
        <v>40</v>
      </c>
      <c r="J6" s="56" t="s">
        <v>91</v>
      </c>
      <c r="K6" s="40" t="s">
        <v>57</v>
      </c>
      <c r="L6" s="40" t="s">
        <v>92</v>
      </c>
      <c r="M6" s="45" t="s">
        <v>93</v>
      </c>
      <c r="N6" s="40" t="s">
        <v>94</v>
      </c>
      <c r="O6" s="58" t="s">
        <v>95</v>
      </c>
      <c r="P6" s="40" t="s">
        <v>96</v>
      </c>
      <c r="Q6" s="64">
        <v>45628</v>
      </c>
      <c r="R6" s="69" t="s">
        <v>47</v>
      </c>
      <c r="S6" s="69" t="str">
        <f t="shared" ref="S6:S63" si="5">IFERROR((R6-F6)+1,"ABC")</f>
        <v>ABC</v>
      </c>
      <c r="T6" s="60">
        <v>45342</v>
      </c>
      <c r="U6" s="35" t="str">
        <f t="shared" ref="U6:U8" si="6">IFERROR((T6-S6)+1,"ABC")</f>
        <v>ABC</v>
      </c>
      <c r="V6" s="40" t="s">
        <v>97</v>
      </c>
      <c r="W6" s="60">
        <v>45667</v>
      </c>
      <c r="X6" s="60">
        <v>45670</v>
      </c>
      <c r="Y6" s="60">
        <v>45775</v>
      </c>
      <c r="Z6" s="60">
        <v>45783</v>
      </c>
      <c r="AA6" s="40">
        <f t="shared" si="4"/>
        <v>117</v>
      </c>
      <c r="AB6" s="69" t="s">
        <v>47</v>
      </c>
      <c r="AC6" s="40" t="str">
        <f t="shared" ref="AC6:AC16" si="7">IFERROR((AB6-F6)+1,"ABC")</f>
        <v>ABC</v>
      </c>
      <c r="AD6" s="69" t="s">
        <v>63</v>
      </c>
      <c r="AE6" s="69" t="s">
        <v>47</v>
      </c>
      <c r="AF6" s="69" t="s">
        <v>47</v>
      </c>
      <c r="AG6" s="69" t="s">
        <v>98</v>
      </c>
      <c r="AH6" s="441"/>
      <c r="AI6" s="441"/>
    </row>
    <row r="7" spans="1:35" ht="64.5" customHeight="1">
      <c r="A7" s="70" t="s">
        <v>99</v>
      </c>
      <c r="B7" s="53" t="s">
        <v>47</v>
      </c>
      <c r="C7" s="71" t="s">
        <v>100</v>
      </c>
      <c r="D7" s="72" t="s">
        <v>101</v>
      </c>
      <c r="E7" s="29" t="s">
        <v>102</v>
      </c>
      <c r="F7" s="442">
        <v>45638</v>
      </c>
      <c r="G7" s="71" t="s">
        <v>103</v>
      </c>
      <c r="H7" s="73" t="s">
        <v>39</v>
      </c>
      <c r="I7" s="74" t="s">
        <v>104</v>
      </c>
      <c r="J7" s="75" t="s">
        <v>41</v>
      </c>
      <c r="K7" s="71" t="s">
        <v>57</v>
      </c>
      <c r="L7" s="71" t="s">
        <v>68</v>
      </c>
      <c r="M7" s="76" t="s">
        <v>105</v>
      </c>
      <c r="N7" s="71" t="s">
        <v>47</v>
      </c>
      <c r="O7" s="77" t="s">
        <v>106</v>
      </c>
      <c r="P7" s="71" t="s">
        <v>47</v>
      </c>
      <c r="Q7" s="78">
        <v>45653</v>
      </c>
      <c r="R7" s="79" t="s">
        <v>47</v>
      </c>
      <c r="S7" s="79" t="str">
        <f t="shared" si="5"/>
        <v>ABC</v>
      </c>
      <c r="T7" s="79" t="s">
        <v>47</v>
      </c>
      <c r="U7" s="71" t="str">
        <f t="shared" si="6"/>
        <v>ABC</v>
      </c>
      <c r="V7" s="71" t="s">
        <v>107</v>
      </c>
      <c r="W7" s="79" t="s">
        <v>47</v>
      </c>
      <c r="X7" s="79" t="s">
        <v>47</v>
      </c>
      <c r="Y7" s="71" t="s">
        <v>47</v>
      </c>
      <c r="Z7" s="80" t="s">
        <v>47</v>
      </c>
      <c r="AA7" s="71" t="str">
        <f t="shared" ref="AA7:AA10" si="8">IFERROR((AB7-X7)+1,"ABC")</f>
        <v>ABC</v>
      </c>
      <c r="AB7" s="79" t="s">
        <v>47</v>
      </c>
      <c r="AC7" s="71" t="str">
        <f t="shared" si="7"/>
        <v>ABC</v>
      </c>
      <c r="AD7" s="79" t="s">
        <v>63</v>
      </c>
      <c r="AE7" s="79" t="s">
        <v>47</v>
      </c>
      <c r="AF7" s="79" t="s">
        <v>47</v>
      </c>
      <c r="AG7" s="79" t="s">
        <v>108</v>
      </c>
      <c r="AH7" s="443"/>
      <c r="AI7" s="443"/>
    </row>
    <row r="8" spans="1:35" ht="64.5" customHeight="1">
      <c r="A8" s="52" t="s">
        <v>86</v>
      </c>
      <c r="B8" s="53" t="s">
        <v>47</v>
      </c>
      <c r="C8" s="40" t="s">
        <v>63</v>
      </c>
      <c r="D8" s="81" t="s">
        <v>109</v>
      </c>
      <c r="E8" s="29" t="s">
        <v>110</v>
      </c>
      <c r="F8" s="439">
        <v>45639</v>
      </c>
      <c r="G8" s="68" t="s">
        <v>111</v>
      </c>
      <c r="H8" s="54" t="s">
        <v>39</v>
      </c>
      <c r="I8" s="55" t="s">
        <v>104</v>
      </c>
      <c r="J8" s="56" t="s">
        <v>41</v>
      </c>
      <c r="K8" s="40" t="s">
        <v>80</v>
      </c>
      <c r="L8" s="40" t="s">
        <v>112</v>
      </c>
      <c r="M8" s="45" t="s">
        <v>105</v>
      </c>
      <c r="N8" s="40" t="s">
        <v>113</v>
      </c>
      <c r="O8" s="58" t="s">
        <v>114</v>
      </c>
      <c r="P8" s="40" t="s">
        <v>47</v>
      </c>
      <c r="Q8" s="64">
        <v>45666</v>
      </c>
      <c r="R8" s="69" t="s">
        <v>47</v>
      </c>
      <c r="S8" s="69" t="str">
        <f t="shared" si="5"/>
        <v>ABC</v>
      </c>
      <c r="T8" s="60">
        <v>45667</v>
      </c>
      <c r="U8" s="40" t="str">
        <f t="shared" si="6"/>
        <v>ABC</v>
      </c>
      <c r="V8" s="40" t="s">
        <v>72</v>
      </c>
      <c r="W8" s="60">
        <v>45671</v>
      </c>
      <c r="X8" s="60">
        <v>45672</v>
      </c>
      <c r="Y8" s="40" t="s">
        <v>47</v>
      </c>
      <c r="Z8" s="58" t="s">
        <v>47</v>
      </c>
      <c r="AA8" s="40" t="str">
        <f t="shared" si="8"/>
        <v>ABC</v>
      </c>
      <c r="AB8" s="69" t="s">
        <v>47</v>
      </c>
      <c r="AC8" s="40" t="str">
        <f t="shared" si="7"/>
        <v>ABC</v>
      </c>
      <c r="AD8" s="69" t="s">
        <v>63</v>
      </c>
      <c r="AE8" s="69" t="s">
        <v>47</v>
      </c>
      <c r="AF8" s="69" t="s">
        <v>47</v>
      </c>
      <c r="AG8" s="67" t="s">
        <v>115</v>
      </c>
      <c r="AH8" s="441"/>
      <c r="AI8" s="441"/>
    </row>
    <row r="9" spans="1:35" ht="64.5" customHeight="1">
      <c r="A9" s="82" t="s">
        <v>86</v>
      </c>
      <c r="B9" s="53" t="s">
        <v>47</v>
      </c>
      <c r="C9" s="83" t="s">
        <v>63</v>
      </c>
      <c r="D9" s="84" t="s">
        <v>116</v>
      </c>
      <c r="E9" s="29" t="s">
        <v>117</v>
      </c>
      <c r="F9" s="85">
        <v>45667</v>
      </c>
      <c r="G9" s="86" t="s">
        <v>118</v>
      </c>
      <c r="H9" s="32" t="s">
        <v>119</v>
      </c>
      <c r="I9" s="33" t="s">
        <v>104</v>
      </c>
      <c r="J9" s="34" t="s">
        <v>41</v>
      </c>
      <c r="K9" s="35" t="s">
        <v>80</v>
      </c>
      <c r="L9" s="35" t="s">
        <v>43</v>
      </c>
      <c r="M9" s="45" t="s">
        <v>120</v>
      </c>
      <c r="N9" s="87" t="s">
        <v>47</v>
      </c>
      <c r="O9" s="88" t="s">
        <v>121</v>
      </c>
      <c r="P9" s="89" t="s">
        <v>47</v>
      </c>
      <c r="Q9" s="90">
        <v>45667</v>
      </c>
      <c r="R9" s="39" t="s">
        <v>47</v>
      </c>
      <c r="S9" s="39" t="str">
        <f t="shared" si="5"/>
        <v>ABC</v>
      </c>
      <c r="T9" s="91">
        <v>45670</v>
      </c>
      <c r="U9" s="35" t="str">
        <f t="shared" ref="U9:U72" si="9">IFERROR((T9-R9)+1,"ABC")</f>
        <v>ABC</v>
      </c>
      <c r="V9" s="92" t="s">
        <v>72</v>
      </c>
      <c r="W9" s="93">
        <v>45671</v>
      </c>
      <c r="X9" s="94">
        <v>45671</v>
      </c>
      <c r="Y9" s="41" t="s">
        <v>47</v>
      </c>
      <c r="Z9" s="41" t="s">
        <v>47</v>
      </c>
      <c r="AA9" s="35" t="str">
        <f t="shared" si="8"/>
        <v>ABC</v>
      </c>
      <c r="AB9" s="35" t="s">
        <v>47</v>
      </c>
      <c r="AC9" s="35" t="str">
        <f t="shared" si="7"/>
        <v>ABC</v>
      </c>
      <c r="AD9" s="319" t="s">
        <v>63</v>
      </c>
      <c r="AE9" s="95" t="s">
        <v>47</v>
      </c>
      <c r="AF9" s="95" t="s">
        <v>47</v>
      </c>
      <c r="AG9" s="95" t="s">
        <v>122</v>
      </c>
      <c r="AH9" s="51"/>
      <c r="AI9" s="51"/>
    </row>
    <row r="10" spans="1:35" ht="64.5" customHeight="1">
      <c r="A10" s="82" t="s">
        <v>123</v>
      </c>
      <c r="B10" s="53" t="s">
        <v>47</v>
      </c>
      <c r="C10" s="83" t="s">
        <v>63</v>
      </c>
      <c r="D10" s="96" t="s">
        <v>124</v>
      </c>
      <c r="E10" s="29" t="s">
        <v>125</v>
      </c>
      <c r="F10" s="85">
        <v>45674</v>
      </c>
      <c r="G10" s="83" t="s">
        <v>126</v>
      </c>
      <c r="H10" s="32" t="s">
        <v>119</v>
      </c>
      <c r="I10" s="33" t="s">
        <v>104</v>
      </c>
      <c r="J10" s="34" t="s">
        <v>41</v>
      </c>
      <c r="K10" s="35" t="s">
        <v>80</v>
      </c>
      <c r="L10" s="35" t="s">
        <v>112</v>
      </c>
      <c r="M10" s="45" t="s">
        <v>127</v>
      </c>
      <c r="N10" s="87" t="s">
        <v>113</v>
      </c>
      <c r="O10" s="97" t="s">
        <v>128</v>
      </c>
      <c r="P10" s="83" t="s">
        <v>47</v>
      </c>
      <c r="Q10" s="98">
        <v>45680</v>
      </c>
      <c r="R10" s="39" t="s">
        <v>47</v>
      </c>
      <c r="S10" s="39" t="str">
        <f t="shared" si="5"/>
        <v>ABC</v>
      </c>
      <c r="T10" s="91">
        <v>45686</v>
      </c>
      <c r="U10" s="35" t="str">
        <f t="shared" si="9"/>
        <v>ABC</v>
      </c>
      <c r="V10" s="92" t="s">
        <v>72</v>
      </c>
      <c r="W10" s="99">
        <v>45693</v>
      </c>
      <c r="X10" s="94">
        <v>45694</v>
      </c>
      <c r="Y10" s="100" t="s">
        <v>47</v>
      </c>
      <c r="Z10" s="101" t="s">
        <v>47</v>
      </c>
      <c r="AA10" s="35" t="str">
        <f t="shared" si="8"/>
        <v>ABC</v>
      </c>
      <c r="AB10" s="35" t="s">
        <v>47</v>
      </c>
      <c r="AC10" s="35" t="str">
        <f t="shared" si="7"/>
        <v>ABC</v>
      </c>
      <c r="AD10" s="319" t="s">
        <v>63</v>
      </c>
      <c r="AE10" s="95" t="s">
        <v>47</v>
      </c>
      <c r="AF10" s="95" t="s">
        <v>47</v>
      </c>
      <c r="AG10" s="95" t="s">
        <v>47</v>
      </c>
      <c r="AH10" s="51"/>
      <c r="AI10" s="51"/>
    </row>
    <row r="11" spans="1:35" ht="64.5" customHeight="1">
      <c r="A11" s="82" t="s">
        <v>62</v>
      </c>
      <c r="B11" s="62">
        <v>45870</v>
      </c>
      <c r="C11" s="83" t="s">
        <v>63</v>
      </c>
      <c r="D11" s="84" t="s">
        <v>129</v>
      </c>
      <c r="E11" s="29" t="s">
        <v>130</v>
      </c>
      <c r="F11" s="85">
        <v>45674</v>
      </c>
      <c r="G11" s="83" t="s">
        <v>131</v>
      </c>
      <c r="H11" s="32" t="s">
        <v>119</v>
      </c>
      <c r="I11" s="33" t="s">
        <v>104</v>
      </c>
      <c r="J11" s="34" t="s">
        <v>41</v>
      </c>
      <c r="K11" s="35" t="s">
        <v>80</v>
      </c>
      <c r="L11" s="35" t="s">
        <v>132</v>
      </c>
      <c r="M11" s="45" t="s">
        <v>133</v>
      </c>
      <c r="N11" s="87" t="s">
        <v>134</v>
      </c>
      <c r="O11" s="97" t="s">
        <v>135</v>
      </c>
      <c r="P11" s="86" t="s">
        <v>47</v>
      </c>
      <c r="Q11" s="98">
        <v>45680</v>
      </c>
      <c r="R11" s="39" t="s">
        <v>47</v>
      </c>
      <c r="S11" s="39" t="str">
        <f t="shared" si="5"/>
        <v>ABC</v>
      </c>
      <c r="T11" s="91">
        <v>45701</v>
      </c>
      <c r="U11" s="35" t="str">
        <f t="shared" si="9"/>
        <v>ABC</v>
      </c>
      <c r="V11" s="92" t="s">
        <v>97</v>
      </c>
      <c r="W11" s="99">
        <v>45716</v>
      </c>
      <c r="X11" s="94">
        <v>45716</v>
      </c>
      <c r="Y11" s="41" t="s">
        <v>47</v>
      </c>
      <c r="Z11" s="101" t="s">
        <v>47</v>
      </c>
      <c r="AA11" s="35">
        <f>(AB11-X11)+1</f>
        <v>22</v>
      </c>
      <c r="AB11" s="42">
        <v>45737</v>
      </c>
      <c r="AC11" s="35">
        <f t="shared" si="7"/>
        <v>64</v>
      </c>
      <c r="AD11" s="319" t="s">
        <v>63</v>
      </c>
      <c r="AE11" s="95" t="s">
        <v>47</v>
      </c>
      <c r="AF11" s="95" t="s">
        <v>47</v>
      </c>
      <c r="AG11" s="95" t="s">
        <v>136</v>
      </c>
      <c r="AH11" s="102"/>
      <c r="AI11" s="102"/>
    </row>
    <row r="12" spans="1:35" ht="54" customHeight="1">
      <c r="A12" s="49" t="s">
        <v>86</v>
      </c>
      <c r="B12" s="26" t="s">
        <v>137</v>
      </c>
      <c r="C12" s="83" t="s">
        <v>63</v>
      </c>
      <c r="D12" s="103" t="s">
        <v>138</v>
      </c>
      <c r="E12" s="29" t="s">
        <v>139</v>
      </c>
      <c r="F12" s="85">
        <v>45680</v>
      </c>
      <c r="G12" s="49" t="s">
        <v>140</v>
      </c>
      <c r="H12" s="32" t="s">
        <v>119</v>
      </c>
      <c r="I12" s="33" t="s">
        <v>104</v>
      </c>
      <c r="J12" s="34" t="s">
        <v>41</v>
      </c>
      <c r="K12" s="35" t="s">
        <v>80</v>
      </c>
      <c r="L12" s="35" t="s">
        <v>43</v>
      </c>
      <c r="M12" s="45" t="s">
        <v>63</v>
      </c>
      <c r="N12" s="87" t="s">
        <v>47</v>
      </c>
      <c r="O12" s="97" t="s">
        <v>141</v>
      </c>
      <c r="P12" s="104" t="s">
        <v>47</v>
      </c>
      <c r="Q12" s="98">
        <v>45680</v>
      </c>
      <c r="R12" s="39" t="s">
        <v>47</v>
      </c>
      <c r="S12" s="39" t="str">
        <f t="shared" si="5"/>
        <v>ABC</v>
      </c>
      <c r="T12" s="105">
        <v>45691</v>
      </c>
      <c r="U12" s="35" t="str">
        <f t="shared" si="9"/>
        <v>ABC</v>
      </c>
      <c r="V12" s="92" t="s">
        <v>72</v>
      </c>
      <c r="W12" s="42">
        <v>45709</v>
      </c>
      <c r="X12" s="42">
        <v>45709</v>
      </c>
      <c r="Y12" s="41" t="s">
        <v>47</v>
      </c>
      <c r="Z12" s="101" t="s">
        <v>47</v>
      </c>
      <c r="AA12" s="35" t="str">
        <f t="shared" ref="AA12:AA14" si="10">IFERROR((AB12-X12)+1,"ABC")</f>
        <v>ABC</v>
      </c>
      <c r="AB12" s="35" t="s">
        <v>47</v>
      </c>
      <c r="AC12" s="35" t="str">
        <f t="shared" si="7"/>
        <v>ABC</v>
      </c>
      <c r="AD12" s="319" t="s">
        <v>63</v>
      </c>
      <c r="AE12" s="95" t="s">
        <v>47</v>
      </c>
      <c r="AF12" s="95" t="s">
        <v>47</v>
      </c>
      <c r="AG12" s="95" t="s">
        <v>142</v>
      </c>
      <c r="AH12" s="51"/>
      <c r="AI12" s="51"/>
    </row>
    <row r="13" spans="1:35" ht="54" customHeight="1">
      <c r="A13" s="82" t="s">
        <v>123</v>
      </c>
      <c r="B13" s="26" t="s">
        <v>47</v>
      </c>
      <c r="C13" s="83" t="s">
        <v>63</v>
      </c>
      <c r="D13" s="84" t="s">
        <v>143</v>
      </c>
      <c r="E13" s="29" t="s">
        <v>144</v>
      </c>
      <c r="F13" s="85">
        <v>45714</v>
      </c>
      <c r="G13" s="83" t="s">
        <v>145</v>
      </c>
      <c r="H13" s="32" t="s">
        <v>56</v>
      </c>
      <c r="I13" s="33" t="s">
        <v>40</v>
      </c>
      <c r="J13" s="34" t="s">
        <v>79</v>
      </c>
      <c r="K13" s="35" t="s">
        <v>42</v>
      </c>
      <c r="L13" s="35" t="s">
        <v>68</v>
      </c>
      <c r="M13" s="106" t="s">
        <v>146</v>
      </c>
      <c r="N13" s="87" t="s">
        <v>147</v>
      </c>
      <c r="O13" s="97" t="s">
        <v>148</v>
      </c>
      <c r="P13" s="104" t="s">
        <v>47</v>
      </c>
      <c r="Q13" s="98">
        <v>45722</v>
      </c>
      <c r="R13" s="39" t="s">
        <v>47</v>
      </c>
      <c r="S13" s="39" t="str">
        <f t="shared" si="5"/>
        <v>ABC</v>
      </c>
      <c r="T13" s="60">
        <v>45698</v>
      </c>
      <c r="U13" s="35" t="str">
        <f t="shared" si="9"/>
        <v>ABC</v>
      </c>
      <c r="V13" s="107" t="s">
        <v>149</v>
      </c>
      <c r="W13" s="42">
        <v>45842</v>
      </c>
      <c r="X13" s="42">
        <v>45845</v>
      </c>
      <c r="Y13" s="108">
        <v>45805</v>
      </c>
      <c r="Z13" s="41" t="s">
        <v>150</v>
      </c>
      <c r="AA13" s="35" t="str">
        <f t="shared" si="10"/>
        <v>ABC</v>
      </c>
      <c r="AB13" s="35" t="s">
        <v>47</v>
      </c>
      <c r="AC13" s="35" t="str">
        <f t="shared" si="7"/>
        <v>ABC</v>
      </c>
      <c r="AD13" s="83" t="s">
        <v>49</v>
      </c>
      <c r="AE13" s="95" t="s">
        <v>47</v>
      </c>
      <c r="AF13" s="95" t="s">
        <v>47</v>
      </c>
      <c r="AG13" s="95" t="s">
        <v>47</v>
      </c>
      <c r="AH13" s="109"/>
      <c r="AI13" s="109"/>
    </row>
    <row r="14" spans="1:35" ht="54" customHeight="1">
      <c r="A14" s="82" t="s">
        <v>123</v>
      </c>
      <c r="B14" s="26" t="s">
        <v>47</v>
      </c>
      <c r="C14" s="83" t="s">
        <v>63</v>
      </c>
      <c r="D14" s="84" t="s">
        <v>151</v>
      </c>
      <c r="E14" s="29" t="s">
        <v>152</v>
      </c>
      <c r="F14" s="85">
        <v>45715</v>
      </c>
      <c r="G14" s="110" t="s">
        <v>153</v>
      </c>
      <c r="H14" s="32" t="s">
        <v>119</v>
      </c>
      <c r="I14" s="33" t="s">
        <v>40</v>
      </c>
      <c r="J14" s="34" t="s">
        <v>41</v>
      </c>
      <c r="K14" s="35" t="s">
        <v>80</v>
      </c>
      <c r="L14" s="35" t="s">
        <v>68</v>
      </c>
      <c r="M14" s="45" t="s">
        <v>154</v>
      </c>
      <c r="N14" s="87" t="s">
        <v>155</v>
      </c>
      <c r="O14" s="97" t="s">
        <v>156</v>
      </c>
      <c r="P14" s="104" t="s">
        <v>47</v>
      </c>
      <c r="Q14" s="98">
        <v>45722</v>
      </c>
      <c r="R14" s="39" t="s">
        <v>47</v>
      </c>
      <c r="S14" s="39" t="str">
        <f t="shared" si="5"/>
        <v>ABC</v>
      </c>
      <c r="T14" s="60">
        <v>45737</v>
      </c>
      <c r="U14" s="35" t="str">
        <f t="shared" si="9"/>
        <v>ABC</v>
      </c>
      <c r="V14" s="92" t="s">
        <v>72</v>
      </c>
      <c r="W14" s="42">
        <v>45743</v>
      </c>
      <c r="X14" s="42">
        <v>45744</v>
      </c>
      <c r="Y14" s="41" t="s">
        <v>47</v>
      </c>
      <c r="Z14" s="101" t="s">
        <v>47</v>
      </c>
      <c r="AA14" s="35" t="str">
        <f t="shared" si="10"/>
        <v>ABC</v>
      </c>
      <c r="AB14" s="35" t="s">
        <v>47</v>
      </c>
      <c r="AC14" s="35" t="str">
        <f t="shared" si="7"/>
        <v>ABC</v>
      </c>
      <c r="AD14" s="83" t="s">
        <v>73</v>
      </c>
      <c r="AE14" s="95" t="s">
        <v>47</v>
      </c>
      <c r="AF14" s="95" t="s">
        <v>47</v>
      </c>
      <c r="AG14" s="95" t="s">
        <v>157</v>
      </c>
      <c r="AH14" s="111"/>
      <c r="AI14" s="111"/>
    </row>
    <row r="15" spans="1:35" ht="51.75" customHeight="1">
      <c r="A15" s="82" t="s">
        <v>62</v>
      </c>
      <c r="B15" s="26" t="s">
        <v>47</v>
      </c>
      <c r="C15" s="83" t="s">
        <v>63</v>
      </c>
      <c r="D15" s="84" t="s">
        <v>158</v>
      </c>
      <c r="E15" s="29" t="s">
        <v>159</v>
      </c>
      <c r="F15" s="85">
        <v>45736</v>
      </c>
      <c r="G15" s="83" t="s">
        <v>160</v>
      </c>
      <c r="H15" s="32" t="s">
        <v>39</v>
      </c>
      <c r="I15" s="33" t="s">
        <v>104</v>
      </c>
      <c r="J15" s="34" t="s">
        <v>41</v>
      </c>
      <c r="K15" s="35" t="s">
        <v>42</v>
      </c>
      <c r="L15" s="35" t="s">
        <v>43</v>
      </c>
      <c r="M15" s="45" t="s">
        <v>161</v>
      </c>
      <c r="N15" s="87" t="s">
        <v>162</v>
      </c>
      <c r="O15" s="88" t="s">
        <v>163</v>
      </c>
      <c r="P15" s="104" t="s">
        <v>164</v>
      </c>
      <c r="Q15" s="98">
        <v>45741</v>
      </c>
      <c r="R15" s="39" t="s">
        <v>47</v>
      </c>
      <c r="S15" s="39" t="str">
        <f t="shared" si="5"/>
        <v>ABC</v>
      </c>
      <c r="T15" s="105">
        <v>45754</v>
      </c>
      <c r="U15" s="35" t="str">
        <f t="shared" si="9"/>
        <v>ABC</v>
      </c>
      <c r="V15" s="92" t="s">
        <v>97</v>
      </c>
      <c r="W15" s="42">
        <v>45760</v>
      </c>
      <c r="X15" s="42">
        <v>45761</v>
      </c>
      <c r="Y15" s="41" t="s">
        <v>47</v>
      </c>
      <c r="Z15" s="41" t="s">
        <v>47</v>
      </c>
      <c r="AA15" s="35">
        <f>(AB15-X15)+1</f>
        <v>11</v>
      </c>
      <c r="AB15" s="42">
        <v>45771</v>
      </c>
      <c r="AC15" s="35">
        <f t="shared" si="7"/>
        <v>36</v>
      </c>
      <c r="AD15" s="83" t="s">
        <v>49</v>
      </c>
      <c r="AE15" s="95" t="s">
        <v>47</v>
      </c>
      <c r="AF15" s="95" t="s">
        <v>47</v>
      </c>
      <c r="AG15" s="112" t="s">
        <v>165</v>
      </c>
      <c r="AH15" s="111"/>
      <c r="AI15" s="111"/>
    </row>
    <row r="16" spans="1:35">
      <c r="A16" s="82" t="s">
        <v>123</v>
      </c>
      <c r="B16" s="26" t="s">
        <v>47</v>
      </c>
      <c r="C16" s="83" t="s">
        <v>63</v>
      </c>
      <c r="D16" s="84" t="s">
        <v>166</v>
      </c>
      <c r="E16" s="29" t="s">
        <v>167</v>
      </c>
      <c r="F16" s="85">
        <v>45674</v>
      </c>
      <c r="G16" s="89" t="s">
        <v>168</v>
      </c>
      <c r="H16" s="32" t="s">
        <v>39</v>
      </c>
      <c r="I16" s="33" t="s">
        <v>104</v>
      </c>
      <c r="J16" s="34" t="s">
        <v>41</v>
      </c>
      <c r="K16" s="35" t="s">
        <v>80</v>
      </c>
      <c r="L16" s="35" t="s">
        <v>43</v>
      </c>
      <c r="M16" s="45" t="s">
        <v>169</v>
      </c>
      <c r="N16" s="87" t="s">
        <v>170</v>
      </c>
      <c r="O16" s="97" t="s">
        <v>163</v>
      </c>
      <c r="P16" s="83" t="s">
        <v>47</v>
      </c>
      <c r="Q16" s="98">
        <v>45686</v>
      </c>
      <c r="R16" s="39" t="s">
        <v>47</v>
      </c>
      <c r="S16" s="39" t="str">
        <f t="shared" si="5"/>
        <v>ABC</v>
      </c>
      <c r="T16" s="91">
        <v>45687</v>
      </c>
      <c r="U16" s="35" t="str">
        <f t="shared" si="9"/>
        <v>ABC</v>
      </c>
      <c r="V16" s="92" t="s">
        <v>97</v>
      </c>
      <c r="W16" s="42">
        <v>45713</v>
      </c>
      <c r="X16" s="94">
        <v>45761</v>
      </c>
      <c r="Y16" s="41" t="s">
        <v>47</v>
      </c>
      <c r="Z16" s="41" t="s">
        <v>47</v>
      </c>
      <c r="AA16" s="35" t="str">
        <f>IFERROR((AB16-X16)+1,"ABC")</f>
        <v>ABC</v>
      </c>
      <c r="AB16" s="35" t="s">
        <v>47</v>
      </c>
      <c r="AC16" s="35" t="str">
        <f t="shared" si="7"/>
        <v>ABC</v>
      </c>
      <c r="AD16" s="83" t="s">
        <v>63</v>
      </c>
      <c r="AE16" s="95" t="s">
        <v>47</v>
      </c>
      <c r="AF16" s="95" t="s">
        <v>47</v>
      </c>
      <c r="AG16" s="95" t="s">
        <v>171</v>
      </c>
      <c r="AH16" s="102"/>
      <c r="AI16" s="102"/>
    </row>
    <row r="17" spans="1:35">
      <c r="A17" s="113" t="s">
        <v>123</v>
      </c>
      <c r="B17" s="26"/>
      <c r="C17" s="83"/>
      <c r="D17" s="96" t="s">
        <v>172</v>
      </c>
      <c r="E17" s="29" t="s">
        <v>173</v>
      </c>
      <c r="F17" s="85">
        <v>45686</v>
      </c>
      <c r="G17" s="114" t="s">
        <v>174</v>
      </c>
      <c r="H17" s="32" t="s">
        <v>175</v>
      </c>
      <c r="I17" s="33" t="s">
        <v>40</v>
      </c>
      <c r="J17" s="115" t="s">
        <v>79</v>
      </c>
      <c r="K17" s="116" t="s">
        <v>80</v>
      </c>
      <c r="L17" s="116"/>
      <c r="M17" s="58" t="s">
        <v>176</v>
      </c>
      <c r="N17" s="87" t="s">
        <v>177</v>
      </c>
      <c r="O17" s="97" t="s">
        <v>178</v>
      </c>
      <c r="P17" s="114" t="s">
        <v>47</v>
      </c>
      <c r="Q17" s="117">
        <v>45686</v>
      </c>
      <c r="R17" s="118">
        <v>45687</v>
      </c>
      <c r="S17" s="39">
        <f t="shared" si="5"/>
        <v>2</v>
      </c>
      <c r="T17" s="119">
        <v>45693</v>
      </c>
      <c r="U17" s="35">
        <f t="shared" si="9"/>
        <v>7</v>
      </c>
      <c r="V17" s="120" t="s">
        <v>72</v>
      </c>
      <c r="W17" s="121">
        <v>45695</v>
      </c>
      <c r="X17" s="122">
        <v>45698</v>
      </c>
      <c r="Y17" s="123" t="s">
        <v>47</v>
      </c>
      <c r="Z17" s="124">
        <v>45944</v>
      </c>
      <c r="AA17" s="35"/>
      <c r="AB17" s="116"/>
      <c r="AC17" s="35"/>
      <c r="AD17" s="114" t="s">
        <v>73</v>
      </c>
      <c r="AE17" s="95"/>
      <c r="AF17" s="95"/>
      <c r="AG17" s="95" t="s">
        <v>179</v>
      </c>
      <c r="AH17" s="125"/>
      <c r="AI17" s="125"/>
    </row>
    <row r="18" spans="1:35">
      <c r="A18" s="113" t="s">
        <v>180</v>
      </c>
      <c r="B18" s="26" t="s">
        <v>47</v>
      </c>
      <c r="C18" s="83" t="s">
        <v>63</v>
      </c>
      <c r="D18" s="84" t="s">
        <v>181</v>
      </c>
      <c r="E18" s="29" t="s">
        <v>182</v>
      </c>
      <c r="F18" s="85">
        <v>45777</v>
      </c>
      <c r="G18" s="114" t="s">
        <v>183</v>
      </c>
      <c r="H18" s="32" t="s">
        <v>39</v>
      </c>
      <c r="I18" s="33" t="s">
        <v>104</v>
      </c>
      <c r="J18" s="115" t="s">
        <v>41</v>
      </c>
      <c r="K18" s="116" t="s">
        <v>42</v>
      </c>
      <c r="L18" s="116" t="s">
        <v>184</v>
      </c>
      <c r="M18" s="58" t="s">
        <v>185</v>
      </c>
      <c r="N18" s="87" t="s">
        <v>113</v>
      </c>
      <c r="O18" s="97" t="s">
        <v>186</v>
      </c>
      <c r="P18" s="114" t="s">
        <v>47</v>
      </c>
      <c r="Q18" s="126" t="s">
        <v>47</v>
      </c>
      <c r="R18" s="39" t="s">
        <v>47</v>
      </c>
      <c r="S18" s="39" t="str">
        <f t="shared" si="5"/>
        <v>ABC</v>
      </c>
      <c r="T18" s="127"/>
      <c r="U18" s="35" t="str">
        <f t="shared" si="9"/>
        <v>ABC</v>
      </c>
      <c r="V18" s="120" t="s">
        <v>47</v>
      </c>
      <c r="W18" s="116" t="s">
        <v>47</v>
      </c>
      <c r="X18" s="128" t="s">
        <v>47</v>
      </c>
      <c r="Y18" s="129" t="s">
        <v>47</v>
      </c>
      <c r="Z18" s="41" t="s">
        <v>47</v>
      </c>
      <c r="AA18" s="35" t="str">
        <f>IFERROR((AB18-X18)+1,"ABC")</f>
        <v>ABC</v>
      </c>
      <c r="AB18" s="116" t="s">
        <v>47</v>
      </c>
      <c r="AC18" s="35" t="str">
        <f t="shared" ref="AC18:AC100" si="11">IFERROR((AB18-F18)+1,"ABC")</f>
        <v>ABC</v>
      </c>
      <c r="AD18" s="114" t="s">
        <v>63</v>
      </c>
      <c r="AE18" s="95" t="s">
        <v>47</v>
      </c>
      <c r="AF18" s="95" t="s">
        <v>47</v>
      </c>
      <c r="AG18" s="130" t="s">
        <v>47</v>
      </c>
      <c r="AH18" s="125"/>
      <c r="AI18" s="125"/>
    </row>
    <row r="19" spans="1:35">
      <c r="A19" s="113" t="s">
        <v>62</v>
      </c>
      <c r="B19" s="26" t="s">
        <v>47</v>
      </c>
      <c r="C19" s="83" t="s">
        <v>63</v>
      </c>
      <c r="D19" s="103" t="s">
        <v>187</v>
      </c>
      <c r="E19" s="29" t="s">
        <v>188</v>
      </c>
      <c r="F19" s="85">
        <v>45783</v>
      </c>
      <c r="G19" s="131" t="s">
        <v>189</v>
      </c>
      <c r="H19" s="32" t="s">
        <v>175</v>
      </c>
      <c r="I19" s="33" t="s">
        <v>104</v>
      </c>
      <c r="J19" s="132" t="s">
        <v>41</v>
      </c>
      <c r="K19" s="133" t="s">
        <v>80</v>
      </c>
      <c r="L19" s="133" t="s">
        <v>68</v>
      </c>
      <c r="M19" s="54" t="s">
        <v>190</v>
      </c>
      <c r="N19" s="134" t="s">
        <v>191</v>
      </c>
      <c r="O19" s="97" t="s">
        <v>192</v>
      </c>
      <c r="P19" s="135" t="s">
        <v>193</v>
      </c>
      <c r="Q19" s="118">
        <v>45789</v>
      </c>
      <c r="R19" s="39" t="s">
        <v>47</v>
      </c>
      <c r="S19" s="39" t="str">
        <f t="shared" si="5"/>
        <v>ABC</v>
      </c>
      <c r="T19" s="136">
        <v>45798</v>
      </c>
      <c r="U19" s="35" t="str">
        <f t="shared" si="9"/>
        <v>ABC</v>
      </c>
      <c r="V19" s="137" t="s">
        <v>97</v>
      </c>
      <c r="W19" s="138">
        <v>45804</v>
      </c>
      <c r="X19" s="139">
        <v>45805</v>
      </c>
      <c r="Y19" s="140" t="s">
        <v>47</v>
      </c>
      <c r="Z19" s="41" t="s">
        <v>47</v>
      </c>
      <c r="AA19" s="35">
        <f>(AB19-X19)+1</f>
        <v>10</v>
      </c>
      <c r="AB19" s="138">
        <v>45814</v>
      </c>
      <c r="AC19" s="35">
        <f t="shared" si="11"/>
        <v>32</v>
      </c>
      <c r="AD19" s="131" t="s">
        <v>73</v>
      </c>
      <c r="AE19" s="95" t="s">
        <v>47</v>
      </c>
      <c r="AF19" s="95" t="s">
        <v>47</v>
      </c>
      <c r="AG19" s="95" t="s">
        <v>194</v>
      </c>
      <c r="AH19" s="141"/>
      <c r="AI19" s="141"/>
    </row>
    <row r="20" spans="1:35">
      <c r="A20" s="82" t="s">
        <v>123</v>
      </c>
      <c r="B20" s="26" t="s">
        <v>47</v>
      </c>
      <c r="C20" s="83" t="s">
        <v>63</v>
      </c>
      <c r="D20" s="142" t="s">
        <v>195</v>
      </c>
      <c r="E20" s="29" t="s">
        <v>196</v>
      </c>
      <c r="F20" s="85">
        <v>45660</v>
      </c>
      <c r="G20" s="89" t="s">
        <v>197</v>
      </c>
      <c r="H20" s="32" t="s">
        <v>119</v>
      </c>
      <c r="I20" s="33" t="s">
        <v>104</v>
      </c>
      <c r="J20" s="34" t="s">
        <v>41</v>
      </c>
      <c r="K20" s="35" t="s">
        <v>80</v>
      </c>
      <c r="L20" s="35" t="s">
        <v>112</v>
      </c>
      <c r="M20" s="45" t="s">
        <v>198</v>
      </c>
      <c r="N20" s="87" t="s">
        <v>113</v>
      </c>
      <c r="O20" s="97" t="s">
        <v>199</v>
      </c>
      <c r="P20" s="83" t="s">
        <v>47</v>
      </c>
      <c r="Q20" s="98">
        <v>45666</v>
      </c>
      <c r="R20" s="39" t="s">
        <v>47</v>
      </c>
      <c r="S20" s="39" t="str">
        <f t="shared" si="5"/>
        <v>ABC</v>
      </c>
      <c r="T20" s="91">
        <v>45300</v>
      </c>
      <c r="U20" s="35" t="str">
        <f t="shared" si="9"/>
        <v>ABC</v>
      </c>
      <c r="V20" s="83" t="s">
        <v>72</v>
      </c>
      <c r="W20" s="42">
        <v>45304</v>
      </c>
      <c r="X20" s="42">
        <v>45670</v>
      </c>
      <c r="Y20" s="41" t="s">
        <v>47</v>
      </c>
      <c r="Z20" s="41" t="s">
        <v>47</v>
      </c>
      <c r="AA20" s="35" t="str">
        <f>IFERROR((AB20-X20)+1,"ABC")</f>
        <v>ABC</v>
      </c>
      <c r="AB20" s="35" t="s">
        <v>47</v>
      </c>
      <c r="AC20" s="35" t="str">
        <f t="shared" si="11"/>
        <v>ABC</v>
      </c>
      <c r="AD20" s="83" t="s">
        <v>63</v>
      </c>
      <c r="AE20" s="95" t="s">
        <v>47</v>
      </c>
      <c r="AF20" s="95" t="s">
        <v>47</v>
      </c>
      <c r="AG20" s="95" t="s">
        <v>200</v>
      </c>
      <c r="AH20" s="143"/>
      <c r="AI20" s="144"/>
    </row>
    <row r="21" spans="1:35">
      <c r="A21" s="82" t="s">
        <v>201</v>
      </c>
      <c r="B21" s="62">
        <v>1</v>
      </c>
      <c r="C21" s="83" t="s">
        <v>63</v>
      </c>
      <c r="D21" s="84" t="s">
        <v>202</v>
      </c>
      <c r="E21" s="29" t="s">
        <v>203</v>
      </c>
      <c r="F21" s="85">
        <v>45660</v>
      </c>
      <c r="G21" s="83" t="s">
        <v>204</v>
      </c>
      <c r="H21" s="32" t="s">
        <v>175</v>
      </c>
      <c r="I21" s="33" t="s">
        <v>104</v>
      </c>
      <c r="J21" s="34" t="s">
        <v>41</v>
      </c>
      <c r="K21" s="35" t="s">
        <v>80</v>
      </c>
      <c r="L21" s="35" t="s">
        <v>112</v>
      </c>
      <c r="M21" s="45" t="s">
        <v>205</v>
      </c>
      <c r="N21" s="87" t="s">
        <v>113</v>
      </c>
      <c r="O21" s="145" t="s">
        <v>206</v>
      </c>
      <c r="P21" s="83" t="s">
        <v>47</v>
      </c>
      <c r="Q21" s="98">
        <v>45666</v>
      </c>
      <c r="R21" s="39" t="s">
        <v>47</v>
      </c>
      <c r="S21" s="39" t="str">
        <f t="shared" si="5"/>
        <v>ABC</v>
      </c>
      <c r="T21" s="91">
        <v>45666</v>
      </c>
      <c r="U21" s="35" t="str">
        <f t="shared" si="9"/>
        <v>ABC</v>
      </c>
      <c r="V21" s="83" t="s">
        <v>72</v>
      </c>
      <c r="W21" s="146">
        <v>45670</v>
      </c>
      <c r="X21" s="42">
        <v>45670</v>
      </c>
      <c r="Y21" s="41" t="s">
        <v>47</v>
      </c>
      <c r="Z21" s="41" t="s">
        <v>47</v>
      </c>
      <c r="AA21" s="35">
        <f>(AB21-X21)+1</f>
        <v>25</v>
      </c>
      <c r="AB21" s="42">
        <v>45694</v>
      </c>
      <c r="AC21" s="35">
        <f t="shared" si="11"/>
        <v>35</v>
      </c>
      <c r="AD21" s="83" t="s">
        <v>73</v>
      </c>
      <c r="AE21" s="95" t="s">
        <v>47</v>
      </c>
      <c r="AF21" s="95" t="s">
        <v>47</v>
      </c>
      <c r="AG21" s="95" t="s">
        <v>207</v>
      </c>
      <c r="AH21" s="143"/>
      <c r="AI21" s="143"/>
    </row>
    <row r="22" spans="1:35" ht="51.75" customHeight="1">
      <c r="A22" s="82" t="s">
        <v>86</v>
      </c>
      <c r="B22" s="26" t="s">
        <v>47</v>
      </c>
      <c r="C22" s="83" t="s">
        <v>63</v>
      </c>
      <c r="D22" s="84" t="s">
        <v>208</v>
      </c>
      <c r="E22" s="29" t="s">
        <v>209</v>
      </c>
      <c r="F22" s="85">
        <v>45665</v>
      </c>
      <c r="G22" s="83" t="s">
        <v>210</v>
      </c>
      <c r="H22" s="32" t="s">
        <v>119</v>
      </c>
      <c r="I22" s="33" t="s">
        <v>104</v>
      </c>
      <c r="J22" s="34" t="s">
        <v>41</v>
      </c>
      <c r="K22" s="35" t="s">
        <v>80</v>
      </c>
      <c r="L22" s="35" t="s">
        <v>68</v>
      </c>
      <c r="M22" s="45" t="s">
        <v>211</v>
      </c>
      <c r="N22" s="147" t="s">
        <v>212</v>
      </c>
      <c r="O22" s="97" t="s">
        <v>213</v>
      </c>
      <c r="P22" s="83" t="s">
        <v>47</v>
      </c>
      <c r="Q22" s="98">
        <v>45666</v>
      </c>
      <c r="R22" s="39" t="s">
        <v>47</v>
      </c>
      <c r="S22" s="39" t="str">
        <f t="shared" si="5"/>
        <v>ABC</v>
      </c>
      <c r="T22" s="91">
        <v>45670</v>
      </c>
      <c r="U22" s="35" t="str">
        <f t="shared" si="9"/>
        <v>ABC</v>
      </c>
      <c r="V22" s="83" t="s">
        <v>72</v>
      </c>
      <c r="W22" s="146">
        <v>45671</v>
      </c>
      <c r="X22" s="42">
        <v>45672</v>
      </c>
      <c r="Y22" s="41" t="s">
        <v>47</v>
      </c>
      <c r="Z22" s="41" t="s">
        <v>47</v>
      </c>
      <c r="AA22" s="35" t="str">
        <f t="shared" ref="AA22:AA23" si="12">IFERROR((AB22-X22)+1,"ABC")</f>
        <v>ABC</v>
      </c>
      <c r="AB22" s="35" t="s">
        <v>47</v>
      </c>
      <c r="AC22" s="35" t="str">
        <f t="shared" si="11"/>
        <v>ABC</v>
      </c>
      <c r="AD22" s="83" t="s">
        <v>63</v>
      </c>
      <c r="AE22" s="83" t="s">
        <v>47</v>
      </c>
      <c r="AF22" s="83" t="s">
        <v>47</v>
      </c>
      <c r="AG22" s="95" t="s">
        <v>214</v>
      </c>
      <c r="AH22" s="111"/>
      <c r="AI22" s="111"/>
    </row>
    <row r="23" spans="1:35" ht="54" customHeight="1">
      <c r="A23" s="82" t="s">
        <v>86</v>
      </c>
      <c r="B23" s="26" t="s">
        <v>47</v>
      </c>
      <c r="C23" s="83" t="s">
        <v>63</v>
      </c>
      <c r="D23" s="84" t="s">
        <v>215</v>
      </c>
      <c r="E23" s="29" t="s">
        <v>216</v>
      </c>
      <c r="F23" s="85">
        <v>45665</v>
      </c>
      <c r="G23" s="86" t="s">
        <v>217</v>
      </c>
      <c r="H23" s="32" t="s">
        <v>175</v>
      </c>
      <c r="I23" s="33" t="s">
        <v>104</v>
      </c>
      <c r="J23" s="34" t="s">
        <v>41</v>
      </c>
      <c r="K23" s="35" t="s">
        <v>80</v>
      </c>
      <c r="L23" s="35" t="s">
        <v>112</v>
      </c>
      <c r="M23" s="45" t="s">
        <v>218</v>
      </c>
      <c r="N23" s="87" t="s">
        <v>113</v>
      </c>
      <c r="O23" s="148" t="s">
        <v>219</v>
      </c>
      <c r="P23" s="83" t="s">
        <v>47</v>
      </c>
      <c r="Q23" s="90">
        <v>45666</v>
      </c>
      <c r="R23" s="39" t="s">
        <v>47</v>
      </c>
      <c r="S23" s="39" t="str">
        <f t="shared" si="5"/>
        <v>ABC</v>
      </c>
      <c r="T23" s="91">
        <v>45666</v>
      </c>
      <c r="U23" s="35" t="str">
        <f t="shared" si="9"/>
        <v>ABC</v>
      </c>
      <c r="V23" s="83" t="s">
        <v>72</v>
      </c>
      <c r="W23" s="99">
        <v>45670</v>
      </c>
      <c r="X23" s="94">
        <v>45670</v>
      </c>
      <c r="Y23" s="101" t="s">
        <v>47</v>
      </c>
      <c r="Z23" s="41" t="s">
        <v>47</v>
      </c>
      <c r="AA23" s="35" t="str">
        <f t="shared" si="12"/>
        <v>ABC</v>
      </c>
      <c r="AB23" s="35" t="s">
        <v>47</v>
      </c>
      <c r="AC23" s="35" t="str">
        <f t="shared" si="11"/>
        <v>ABC</v>
      </c>
      <c r="AD23" s="83" t="s">
        <v>63</v>
      </c>
      <c r="AE23" s="149" t="s">
        <v>47</v>
      </c>
      <c r="AF23" s="83" t="s">
        <v>47</v>
      </c>
      <c r="AG23" s="95" t="s">
        <v>220</v>
      </c>
      <c r="AH23" s="51"/>
      <c r="AI23" s="51"/>
    </row>
    <row r="24" spans="1:35">
      <c r="A24" s="86" t="s">
        <v>62</v>
      </c>
      <c r="B24" s="26" t="s">
        <v>47</v>
      </c>
      <c r="C24" s="83" t="s">
        <v>221</v>
      </c>
      <c r="D24" s="84" t="s">
        <v>222</v>
      </c>
      <c r="E24" s="29" t="s">
        <v>223</v>
      </c>
      <c r="F24" s="85">
        <v>45666</v>
      </c>
      <c r="G24" s="86" t="s">
        <v>224</v>
      </c>
      <c r="H24" s="32" t="s">
        <v>56</v>
      </c>
      <c r="I24" s="33" t="s">
        <v>104</v>
      </c>
      <c r="J24" s="34" t="s">
        <v>225</v>
      </c>
      <c r="K24" s="35" t="s">
        <v>80</v>
      </c>
      <c r="L24" s="35" t="s">
        <v>43</v>
      </c>
      <c r="M24" s="45" t="s">
        <v>226</v>
      </c>
      <c r="N24" s="87" t="s">
        <v>227</v>
      </c>
      <c r="O24" s="97" t="s">
        <v>228</v>
      </c>
      <c r="P24" s="86" t="s">
        <v>47</v>
      </c>
      <c r="Q24" s="90">
        <v>45666</v>
      </c>
      <c r="R24" s="39" t="s">
        <v>47</v>
      </c>
      <c r="S24" s="39" t="str">
        <f t="shared" si="5"/>
        <v>ABC</v>
      </c>
      <c r="T24" s="91">
        <v>45670</v>
      </c>
      <c r="U24" s="35" t="str">
        <f t="shared" si="9"/>
        <v>ABC</v>
      </c>
      <c r="V24" s="83" t="s">
        <v>72</v>
      </c>
      <c r="W24" s="99">
        <v>45671</v>
      </c>
      <c r="X24" s="94">
        <v>45672</v>
      </c>
      <c r="Y24" s="41" t="s">
        <v>229</v>
      </c>
      <c r="Z24" s="108">
        <v>45698</v>
      </c>
      <c r="AA24" s="35">
        <f t="shared" ref="AA24:AA25" si="13">(AB24-X24)+1</f>
        <v>99</v>
      </c>
      <c r="AB24" s="42">
        <v>45770</v>
      </c>
      <c r="AC24" s="35">
        <f t="shared" si="11"/>
        <v>105</v>
      </c>
      <c r="AD24" s="83" t="s">
        <v>63</v>
      </c>
      <c r="AE24" s="86" t="s">
        <v>47</v>
      </c>
      <c r="AF24" s="83" t="s">
        <v>47</v>
      </c>
      <c r="AG24" s="95" t="s">
        <v>226</v>
      </c>
      <c r="AH24" s="109"/>
      <c r="AI24" s="109"/>
    </row>
    <row r="25" spans="1:35">
      <c r="A25" s="82" t="s">
        <v>62</v>
      </c>
      <c r="B25" s="62">
        <v>45931</v>
      </c>
      <c r="C25" s="86" t="s">
        <v>63</v>
      </c>
      <c r="D25" s="84" t="s">
        <v>230</v>
      </c>
      <c r="E25" s="29" t="s">
        <v>231</v>
      </c>
      <c r="F25" s="85">
        <v>45671</v>
      </c>
      <c r="G25" s="83" t="s">
        <v>232</v>
      </c>
      <c r="H25" s="32" t="s">
        <v>233</v>
      </c>
      <c r="I25" s="33" t="s">
        <v>104</v>
      </c>
      <c r="J25" s="34" t="s">
        <v>41</v>
      </c>
      <c r="K25" s="35" t="s">
        <v>80</v>
      </c>
      <c r="L25" s="35" t="s">
        <v>43</v>
      </c>
      <c r="M25" s="106" t="s">
        <v>234</v>
      </c>
      <c r="N25" s="87" t="s">
        <v>235</v>
      </c>
      <c r="O25" s="97" t="s">
        <v>236</v>
      </c>
      <c r="P25" s="110" t="s">
        <v>164</v>
      </c>
      <c r="Q25" s="90">
        <v>45680</v>
      </c>
      <c r="R25" s="39" t="s">
        <v>47</v>
      </c>
      <c r="S25" s="39" t="str">
        <f t="shared" si="5"/>
        <v>ABC</v>
      </c>
      <c r="T25" s="91">
        <v>45706</v>
      </c>
      <c r="U25" s="35" t="str">
        <f t="shared" si="9"/>
        <v>ABC</v>
      </c>
      <c r="V25" s="92" t="s">
        <v>97</v>
      </c>
      <c r="W25" s="42">
        <v>45709</v>
      </c>
      <c r="X25" s="94">
        <v>45709</v>
      </c>
      <c r="Y25" s="41" t="s">
        <v>47</v>
      </c>
      <c r="Z25" s="41" t="s">
        <v>47</v>
      </c>
      <c r="AA25" s="35">
        <f t="shared" si="13"/>
        <v>29</v>
      </c>
      <c r="AB25" s="42">
        <v>45737</v>
      </c>
      <c r="AC25" s="35">
        <f t="shared" si="11"/>
        <v>67</v>
      </c>
      <c r="AD25" s="83" t="s">
        <v>73</v>
      </c>
      <c r="AE25" s="95" t="s">
        <v>47</v>
      </c>
      <c r="AF25" s="95" t="s">
        <v>47</v>
      </c>
      <c r="AG25" s="95" t="s">
        <v>237</v>
      </c>
      <c r="AH25" s="51"/>
      <c r="AI25" s="51"/>
    </row>
    <row r="26" spans="1:35">
      <c r="A26" s="82" t="s">
        <v>238</v>
      </c>
      <c r="B26" s="26" t="s">
        <v>47</v>
      </c>
      <c r="C26" s="83" t="s">
        <v>63</v>
      </c>
      <c r="D26" s="84" t="s">
        <v>239</v>
      </c>
      <c r="E26" s="29" t="s">
        <v>240</v>
      </c>
      <c r="F26" s="85">
        <v>45672</v>
      </c>
      <c r="G26" s="83" t="s">
        <v>241</v>
      </c>
      <c r="H26" s="32" t="s">
        <v>175</v>
      </c>
      <c r="I26" s="33" t="s">
        <v>104</v>
      </c>
      <c r="J26" s="34" t="s">
        <v>41</v>
      </c>
      <c r="K26" s="35" t="s">
        <v>80</v>
      </c>
      <c r="L26" s="35" t="s">
        <v>68</v>
      </c>
      <c r="M26" s="45" t="s">
        <v>242</v>
      </c>
      <c r="N26" s="87" t="s">
        <v>243</v>
      </c>
      <c r="O26" s="97" t="s">
        <v>244</v>
      </c>
      <c r="P26" s="83" t="s">
        <v>47</v>
      </c>
      <c r="Q26" s="98">
        <v>45680</v>
      </c>
      <c r="R26" s="39" t="s">
        <v>47</v>
      </c>
      <c r="S26" s="39" t="str">
        <f t="shared" si="5"/>
        <v>ABC</v>
      </c>
      <c r="T26" s="91">
        <v>45706</v>
      </c>
      <c r="U26" s="35" t="str">
        <f t="shared" si="9"/>
        <v>ABC</v>
      </c>
      <c r="V26" s="92" t="s">
        <v>97</v>
      </c>
      <c r="W26" s="42">
        <v>45709</v>
      </c>
      <c r="X26" s="94">
        <v>45712</v>
      </c>
      <c r="Y26" s="41" t="s">
        <v>47</v>
      </c>
      <c r="Z26" s="41" t="s">
        <v>47</v>
      </c>
      <c r="AA26" s="35" t="str">
        <f>IFERROR((AB26-X26)+1,"ABC")</f>
        <v>ABC</v>
      </c>
      <c r="AB26" s="35" t="s">
        <v>47</v>
      </c>
      <c r="AC26" s="35" t="str">
        <f t="shared" si="11"/>
        <v>ABC</v>
      </c>
      <c r="AD26" s="83" t="s">
        <v>63</v>
      </c>
      <c r="AE26" s="95" t="s">
        <v>47</v>
      </c>
      <c r="AF26" s="95" t="s">
        <v>47</v>
      </c>
      <c r="AG26" s="95" t="s">
        <v>245</v>
      </c>
      <c r="AH26" s="51"/>
      <c r="AI26" s="51"/>
    </row>
    <row r="27" spans="1:35">
      <c r="A27" s="86" t="s">
        <v>246</v>
      </c>
      <c r="B27" s="62" t="s">
        <v>247</v>
      </c>
      <c r="C27" s="83" t="s">
        <v>248</v>
      </c>
      <c r="D27" s="103" t="s">
        <v>249</v>
      </c>
      <c r="E27" s="29" t="s">
        <v>250</v>
      </c>
      <c r="F27" s="85">
        <v>45673</v>
      </c>
      <c r="G27" s="86" t="s">
        <v>251</v>
      </c>
      <c r="H27" s="32" t="s">
        <v>119</v>
      </c>
      <c r="I27" s="33" t="s">
        <v>104</v>
      </c>
      <c r="J27" s="34" t="s">
        <v>41</v>
      </c>
      <c r="K27" s="35" t="s">
        <v>80</v>
      </c>
      <c r="L27" s="35" t="s">
        <v>68</v>
      </c>
      <c r="M27" s="45" t="s">
        <v>252</v>
      </c>
      <c r="N27" s="147" t="s">
        <v>253</v>
      </c>
      <c r="O27" s="97" t="s">
        <v>254</v>
      </c>
      <c r="P27" s="83" t="s">
        <v>164</v>
      </c>
      <c r="Q27" s="98">
        <v>45680</v>
      </c>
      <c r="R27" s="39" t="s">
        <v>47</v>
      </c>
      <c r="S27" s="39" t="str">
        <f t="shared" si="5"/>
        <v>ABC</v>
      </c>
      <c r="T27" s="91">
        <v>45707</v>
      </c>
      <c r="U27" s="35" t="str">
        <f t="shared" si="9"/>
        <v>ABC</v>
      </c>
      <c r="V27" s="92" t="s">
        <v>97</v>
      </c>
      <c r="W27" s="42">
        <v>45716</v>
      </c>
      <c r="X27" s="94">
        <v>45716</v>
      </c>
      <c r="Y27" s="41" t="s">
        <v>47</v>
      </c>
      <c r="Z27" s="41" t="s">
        <v>47</v>
      </c>
      <c r="AA27" s="35">
        <f>(AB27-X27)+1</f>
        <v>8</v>
      </c>
      <c r="AB27" s="42">
        <v>45723</v>
      </c>
      <c r="AC27" s="35">
        <f t="shared" si="11"/>
        <v>51</v>
      </c>
      <c r="AD27" s="83" t="s">
        <v>63</v>
      </c>
      <c r="AE27" s="95" t="s">
        <v>47</v>
      </c>
      <c r="AF27" s="95" t="s">
        <v>47</v>
      </c>
      <c r="AG27" s="95" t="s">
        <v>255</v>
      </c>
      <c r="AH27" s="51"/>
      <c r="AI27" s="51"/>
    </row>
    <row r="28" spans="1:35">
      <c r="A28" s="150" t="s">
        <v>246</v>
      </c>
      <c r="B28" s="26" t="s">
        <v>47</v>
      </c>
      <c r="C28" s="83" t="s">
        <v>100</v>
      </c>
      <c r="D28" s="84" t="s">
        <v>256</v>
      </c>
      <c r="E28" s="29" t="s">
        <v>257</v>
      </c>
      <c r="F28" s="85">
        <v>45694</v>
      </c>
      <c r="G28" s="83" t="s">
        <v>258</v>
      </c>
      <c r="H28" s="32" t="s">
        <v>119</v>
      </c>
      <c r="I28" s="33" t="s">
        <v>104</v>
      </c>
      <c r="J28" s="34" t="s">
        <v>41</v>
      </c>
      <c r="K28" s="35" t="s">
        <v>80</v>
      </c>
      <c r="L28" s="35" t="s">
        <v>112</v>
      </c>
      <c r="M28" s="45" t="s">
        <v>63</v>
      </c>
      <c r="N28" s="151" t="s">
        <v>259</v>
      </c>
      <c r="O28" s="97" t="s">
        <v>260</v>
      </c>
      <c r="P28" s="104" t="s">
        <v>47</v>
      </c>
      <c r="Q28" s="98">
        <v>45680</v>
      </c>
      <c r="R28" s="39" t="s">
        <v>47</v>
      </c>
      <c r="S28" s="39" t="str">
        <f t="shared" si="5"/>
        <v>ABC</v>
      </c>
      <c r="T28" s="104" t="s">
        <v>47</v>
      </c>
      <c r="U28" s="35" t="str">
        <f t="shared" si="9"/>
        <v>ABC</v>
      </c>
      <c r="V28" s="92" t="s">
        <v>47</v>
      </c>
      <c r="W28" s="35" t="s">
        <v>47</v>
      </c>
      <c r="X28" s="35" t="s">
        <v>47</v>
      </c>
      <c r="Y28" s="41" t="s">
        <v>47</v>
      </c>
      <c r="Z28" s="41" t="s">
        <v>47</v>
      </c>
      <c r="AA28" s="35" t="str">
        <f>IFERROR((AB28-X28)+1,"ABC")</f>
        <v>ABC</v>
      </c>
      <c r="AB28" s="42">
        <v>45741</v>
      </c>
      <c r="AC28" s="35">
        <f t="shared" si="11"/>
        <v>48</v>
      </c>
      <c r="AD28" s="83" t="s">
        <v>63</v>
      </c>
      <c r="AE28" s="95" t="s">
        <v>47</v>
      </c>
      <c r="AF28" s="95" t="s">
        <v>47</v>
      </c>
      <c r="AG28" s="95" t="s">
        <v>261</v>
      </c>
      <c r="AH28" s="51"/>
      <c r="AI28" s="51"/>
    </row>
    <row r="29" spans="1:35" ht="58.5" customHeight="1">
      <c r="A29" s="82" t="s">
        <v>123</v>
      </c>
      <c r="B29" s="26" t="s">
        <v>47</v>
      </c>
      <c r="C29" s="152" t="s">
        <v>63</v>
      </c>
      <c r="D29" s="153" t="s">
        <v>262</v>
      </c>
      <c r="E29" s="29" t="s">
        <v>263</v>
      </c>
      <c r="F29" s="154">
        <v>45705</v>
      </c>
      <c r="G29" s="82" t="s">
        <v>264</v>
      </c>
      <c r="H29" s="155" t="s">
        <v>39</v>
      </c>
      <c r="I29" s="156" t="s">
        <v>104</v>
      </c>
      <c r="J29" s="157" t="s">
        <v>79</v>
      </c>
      <c r="K29" s="152" t="s">
        <v>57</v>
      </c>
      <c r="L29" s="152" t="s">
        <v>265</v>
      </c>
      <c r="M29" s="45" t="s">
        <v>266</v>
      </c>
      <c r="N29" s="82" t="s">
        <v>267</v>
      </c>
      <c r="O29" s="113" t="s">
        <v>47</v>
      </c>
      <c r="P29" s="152" t="s">
        <v>268</v>
      </c>
      <c r="Q29" s="158">
        <v>45713</v>
      </c>
      <c r="R29" s="159">
        <v>45713</v>
      </c>
      <c r="S29" s="444">
        <f t="shared" si="5"/>
        <v>9</v>
      </c>
      <c r="T29" s="160">
        <v>45716</v>
      </c>
      <c r="U29" s="152">
        <f t="shared" si="9"/>
        <v>4</v>
      </c>
      <c r="V29" s="152" t="s">
        <v>72</v>
      </c>
      <c r="W29" s="160">
        <v>45734</v>
      </c>
      <c r="X29" s="160">
        <v>45734</v>
      </c>
      <c r="Y29" s="160">
        <v>45931</v>
      </c>
      <c r="Z29" s="161">
        <v>45959</v>
      </c>
      <c r="AA29" s="152"/>
      <c r="AB29" s="152" t="s">
        <v>47</v>
      </c>
      <c r="AC29" s="152" t="str">
        <f t="shared" si="11"/>
        <v>ABC</v>
      </c>
      <c r="AD29" s="152" t="s">
        <v>63</v>
      </c>
      <c r="AE29" s="162" t="s">
        <v>47</v>
      </c>
      <c r="AF29" s="162" t="s">
        <v>47</v>
      </c>
      <c r="AG29" s="163" t="s">
        <v>47</v>
      </c>
      <c r="AH29" s="51"/>
      <c r="AI29" s="51"/>
    </row>
    <row r="30" spans="1:35">
      <c r="A30" s="82" t="s">
        <v>86</v>
      </c>
      <c r="B30" s="26" t="s">
        <v>47</v>
      </c>
      <c r="C30" s="83" t="s">
        <v>63</v>
      </c>
      <c r="D30" s="164" t="s">
        <v>269</v>
      </c>
      <c r="E30" s="29" t="s">
        <v>270</v>
      </c>
      <c r="F30" s="85">
        <v>45673</v>
      </c>
      <c r="G30" s="86" t="s">
        <v>271</v>
      </c>
      <c r="H30" s="32" t="s">
        <v>119</v>
      </c>
      <c r="I30" s="33" t="s">
        <v>104</v>
      </c>
      <c r="J30" s="34" t="s">
        <v>41</v>
      </c>
      <c r="K30" s="35" t="s">
        <v>80</v>
      </c>
      <c r="L30" s="35" t="s">
        <v>132</v>
      </c>
      <c r="M30" s="57" t="s">
        <v>272</v>
      </c>
      <c r="N30" s="87" t="s">
        <v>273</v>
      </c>
      <c r="O30" s="97" t="s">
        <v>274</v>
      </c>
      <c r="P30" s="83" t="s">
        <v>164</v>
      </c>
      <c r="Q30" s="98">
        <v>45680</v>
      </c>
      <c r="R30" s="39" t="s">
        <v>47</v>
      </c>
      <c r="S30" s="39" t="str">
        <f t="shared" si="5"/>
        <v>ABC</v>
      </c>
      <c r="T30" s="91">
        <v>45692</v>
      </c>
      <c r="U30" s="35" t="str">
        <f t="shared" si="9"/>
        <v>ABC</v>
      </c>
      <c r="V30" s="92" t="s">
        <v>72</v>
      </c>
      <c r="W30" s="42">
        <v>45693</v>
      </c>
      <c r="X30" s="94">
        <v>45694</v>
      </c>
      <c r="Y30" s="41" t="s">
        <v>47</v>
      </c>
      <c r="Z30" s="41" t="s">
        <v>47</v>
      </c>
      <c r="AA30" s="35" t="str">
        <f>IFERROR((AB30-X30)+1,"ABC")</f>
        <v>ABC</v>
      </c>
      <c r="AB30" s="35" t="s">
        <v>47</v>
      </c>
      <c r="AC30" s="35" t="str">
        <f t="shared" si="11"/>
        <v>ABC</v>
      </c>
      <c r="AD30" s="83" t="s">
        <v>63</v>
      </c>
      <c r="AE30" s="95" t="s">
        <v>47</v>
      </c>
      <c r="AF30" s="87" t="s">
        <v>47</v>
      </c>
      <c r="AG30" s="95" t="s">
        <v>275</v>
      </c>
      <c r="AH30" s="109"/>
      <c r="AI30" s="109"/>
    </row>
    <row r="31" spans="1:35" ht="102.75" customHeight="1">
      <c r="A31" s="82" t="s">
        <v>62</v>
      </c>
      <c r="B31" s="62" t="s">
        <v>276</v>
      </c>
      <c r="C31" s="83" t="s">
        <v>63</v>
      </c>
      <c r="D31" s="84" t="s">
        <v>277</v>
      </c>
      <c r="E31" s="29" t="s">
        <v>278</v>
      </c>
      <c r="F31" s="85">
        <v>45674</v>
      </c>
      <c r="G31" s="83" t="s">
        <v>279</v>
      </c>
      <c r="H31" s="32" t="s">
        <v>119</v>
      </c>
      <c r="I31" s="33" t="s">
        <v>104</v>
      </c>
      <c r="J31" s="34" t="s">
        <v>41</v>
      </c>
      <c r="K31" s="35" t="s">
        <v>80</v>
      </c>
      <c r="L31" s="35" t="s">
        <v>68</v>
      </c>
      <c r="M31" s="45" t="s">
        <v>280</v>
      </c>
      <c r="N31" s="87" t="s">
        <v>281</v>
      </c>
      <c r="O31" s="88" t="s">
        <v>282</v>
      </c>
      <c r="P31" s="86" t="s">
        <v>164</v>
      </c>
      <c r="Q31" s="98">
        <v>45680</v>
      </c>
      <c r="R31" s="39" t="s">
        <v>47</v>
      </c>
      <c r="S31" s="39" t="str">
        <f t="shared" si="5"/>
        <v>ABC</v>
      </c>
      <c r="T31" s="91">
        <v>45706</v>
      </c>
      <c r="U31" s="35" t="str">
        <f t="shared" si="9"/>
        <v>ABC</v>
      </c>
      <c r="V31" s="92" t="s">
        <v>97</v>
      </c>
      <c r="W31" s="99">
        <v>45713</v>
      </c>
      <c r="X31" s="94">
        <v>45713</v>
      </c>
      <c r="Y31" s="41" t="s">
        <v>47</v>
      </c>
      <c r="Z31" s="41" t="s">
        <v>47</v>
      </c>
      <c r="AA31" s="35">
        <f t="shared" ref="AA31:AA35" si="14">(AB31-X31)+1</f>
        <v>57</v>
      </c>
      <c r="AB31" s="42">
        <v>45769</v>
      </c>
      <c r="AC31" s="35">
        <f t="shared" si="11"/>
        <v>96</v>
      </c>
      <c r="AD31" s="83" t="s">
        <v>73</v>
      </c>
      <c r="AE31" s="95" t="s">
        <v>282</v>
      </c>
      <c r="AF31" s="87" t="s">
        <v>47</v>
      </c>
      <c r="AG31" s="95" t="s">
        <v>283</v>
      </c>
      <c r="AH31" s="51"/>
      <c r="AI31" s="51"/>
    </row>
    <row r="32" spans="1:35">
      <c r="A32" s="82" t="s">
        <v>62</v>
      </c>
      <c r="B32" s="62">
        <v>45809</v>
      </c>
      <c r="C32" s="83" t="s">
        <v>63</v>
      </c>
      <c r="D32" s="84" t="s">
        <v>284</v>
      </c>
      <c r="E32" s="29" t="s">
        <v>285</v>
      </c>
      <c r="F32" s="85">
        <v>45674</v>
      </c>
      <c r="G32" s="83" t="s">
        <v>286</v>
      </c>
      <c r="H32" s="32" t="s">
        <v>119</v>
      </c>
      <c r="I32" s="33" t="s">
        <v>104</v>
      </c>
      <c r="J32" s="34" t="s">
        <v>41</v>
      </c>
      <c r="K32" s="35" t="s">
        <v>80</v>
      </c>
      <c r="L32" s="35" t="s">
        <v>92</v>
      </c>
      <c r="M32" s="45" t="s">
        <v>287</v>
      </c>
      <c r="N32" s="87" t="s">
        <v>288</v>
      </c>
      <c r="O32" s="88" t="s">
        <v>289</v>
      </c>
      <c r="P32" s="83" t="s">
        <v>47</v>
      </c>
      <c r="Q32" s="98">
        <v>45680</v>
      </c>
      <c r="R32" s="39" t="s">
        <v>47</v>
      </c>
      <c r="S32" s="39" t="str">
        <f t="shared" si="5"/>
        <v>ABC</v>
      </c>
      <c r="T32" s="91">
        <v>45706</v>
      </c>
      <c r="U32" s="35" t="str">
        <f t="shared" si="9"/>
        <v>ABC</v>
      </c>
      <c r="V32" s="92" t="s">
        <v>97</v>
      </c>
      <c r="W32" s="42">
        <v>45709</v>
      </c>
      <c r="X32" s="42">
        <v>45712</v>
      </c>
      <c r="Y32" s="41" t="s">
        <v>47</v>
      </c>
      <c r="Z32" s="41" t="s">
        <v>47</v>
      </c>
      <c r="AA32" s="35">
        <f t="shared" si="14"/>
        <v>12</v>
      </c>
      <c r="AB32" s="42">
        <v>45723</v>
      </c>
      <c r="AC32" s="35">
        <f t="shared" si="11"/>
        <v>50</v>
      </c>
      <c r="AD32" s="83" t="s">
        <v>73</v>
      </c>
      <c r="AE32" s="95" t="s">
        <v>289</v>
      </c>
      <c r="AF32" s="87" t="s">
        <v>47</v>
      </c>
      <c r="AG32" s="95" t="s">
        <v>290</v>
      </c>
      <c r="AH32" s="51"/>
      <c r="AI32" s="51"/>
    </row>
    <row r="33" spans="1:35">
      <c r="A33" s="82" t="s">
        <v>62</v>
      </c>
      <c r="B33" s="62">
        <v>45748</v>
      </c>
      <c r="C33" s="83" t="s">
        <v>63</v>
      </c>
      <c r="D33" s="84" t="s">
        <v>291</v>
      </c>
      <c r="E33" s="29" t="s">
        <v>292</v>
      </c>
      <c r="F33" s="85">
        <v>45680</v>
      </c>
      <c r="G33" s="83" t="s">
        <v>293</v>
      </c>
      <c r="H33" s="32" t="s">
        <v>39</v>
      </c>
      <c r="I33" s="33" t="s">
        <v>104</v>
      </c>
      <c r="J33" s="34" t="s">
        <v>41</v>
      </c>
      <c r="K33" s="35" t="s">
        <v>80</v>
      </c>
      <c r="L33" s="35" t="s">
        <v>132</v>
      </c>
      <c r="M33" s="45" t="s">
        <v>294</v>
      </c>
      <c r="N33" s="87" t="s">
        <v>295</v>
      </c>
      <c r="O33" s="165" t="s">
        <v>296</v>
      </c>
      <c r="P33" s="104" t="s">
        <v>47</v>
      </c>
      <c r="Q33" s="98">
        <v>45680</v>
      </c>
      <c r="R33" s="39" t="s">
        <v>47</v>
      </c>
      <c r="S33" s="39" t="str">
        <f t="shared" si="5"/>
        <v>ABC</v>
      </c>
      <c r="T33" s="105">
        <v>45706</v>
      </c>
      <c r="U33" s="35" t="str">
        <f t="shared" si="9"/>
        <v>ABC</v>
      </c>
      <c r="V33" s="92" t="s">
        <v>97</v>
      </c>
      <c r="W33" s="42">
        <v>45709</v>
      </c>
      <c r="X33" s="42">
        <v>45709</v>
      </c>
      <c r="Y33" s="41" t="s">
        <v>47</v>
      </c>
      <c r="Z33" s="41" t="s">
        <v>47</v>
      </c>
      <c r="AA33" s="35">
        <f t="shared" si="14"/>
        <v>14</v>
      </c>
      <c r="AB33" s="42">
        <v>45722</v>
      </c>
      <c r="AC33" s="35">
        <f t="shared" si="11"/>
        <v>43</v>
      </c>
      <c r="AD33" s="83" t="s">
        <v>73</v>
      </c>
      <c r="AE33" s="166" t="s">
        <v>47</v>
      </c>
      <c r="AF33" s="87" t="s">
        <v>47</v>
      </c>
      <c r="AG33" s="95" t="s">
        <v>297</v>
      </c>
      <c r="AH33" s="109"/>
      <c r="AI33" s="109"/>
    </row>
    <row r="34" spans="1:35" ht="39" customHeight="1">
      <c r="A34" s="86" t="s">
        <v>246</v>
      </c>
      <c r="B34" s="26" t="s">
        <v>47</v>
      </c>
      <c r="C34" s="83" t="s">
        <v>63</v>
      </c>
      <c r="D34" s="96" t="s">
        <v>298</v>
      </c>
      <c r="E34" s="29" t="s">
        <v>299</v>
      </c>
      <c r="F34" s="85">
        <v>45710</v>
      </c>
      <c r="G34" s="35" t="s">
        <v>300</v>
      </c>
      <c r="H34" s="32" t="s">
        <v>119</v>
      </c>
      <c r="I34" s="33" t="s">
        <v>40</v>
      </c>
      <c r="J34" s="34" t="s">
        <v>41</v>
      </c>
      <c r="K34" s="35" t="s">
        <v>80</v>
      </c>
      <c r="L34" s="35" t="s">
        <v>68</v>
      </c>
      <c r="M34" s="45" t="s">
        <v>301</v>
      </c>
      <c r="N34" s="87" t="s">
        <v>302</v>
      </c>
      <c r="O34" s="97" t="s">
        <v>303</v>
      </c>
      <c r="P34" s="104" t="s">
        <v>47</v>
      </c>
      <c r="Q34" s="98">
        <v>45680</v>
      </c>
      <c r="R34" s="39" t="s">
        <v>47</v>
      </c>
      <c r="S34" s="39" t="str">
        <f t="shared" si="5"/>
        <v>ABC</v>
      </c>
      <c r="T34" s="60">
        <v>45734</v>
      </c>
      <c r="U34" s="35" t="str">
        <f t="shared" si="9"/>
        <v>ABC</v>
      </c>
      <c r="V34" s="92" t="s">
        <v>304</v>
      </c>
      <c r="W34" s="42">
        <v>45743</v>
      </c>
      <c r="X34" s="42">
        <v>45744</v>
      </c>
      <c r="Y34" s="41" t="s">
        <v>47</v>
      </c>
      <c r="Z34" s="41" t="s">
        <v>47</v>
      </c>
      <c r="AA34" s="35">
        <f t="shared" si="14"/>
        <v>5</v>
      </c>
      <c r="AB34" s="42">
        <v>45748</v>
      </c>
      <c r="AC34" s="35">
        <f t="shared" si="11"/>
        <v>39</v>
      </c>
      <c r="AD34" s="83" t="s">
        <v>63</v>
      </c>
      <c r="AE34" s="166" t="s">
        <v>47</v>
      </c>
      <c r="AF34" s="87" t="s">
        <v>47</v>
      </c>
      <c r="AG34" s="95" t="s">
        <v>305</v>
      </c>
      <c r="AH34" s="109"/>
      <c r="AI34" s="109"/>
    </row>
    <row r="35" spans="1:35" ht="78.75" customHeight="1">
      <c r="A35" s="86" t="s">
        <v>201</v>
      </c>
      <c r="B35" s="62">
        <v>45839</v>
      </c>
      <c r="C35" s="83" t="s">
        <v>63</v>
      </c>
      <c r="D35" s="84" t="s">
        <v>306</v>
      </c>
      <c r="E35" s="29" t="s">
        <v>307</v>
      </c>
      <c r="F35" s="85">
        <v>45680</v>
      </c>
      <c r="G35" s="83" t="s">
        <v>308</v>
      </c>
      <c r="H35" s="167" t="s">
        <v>119</v>
      </c>
      <c r="I35" s="33" t="s">
        <v>104</v>
      </c>
      <c r="J35" s="35" t="s">
        <v>41</v>
      </c>
      <c r="K35" s="35" t="s">
        <v>80</v>
      </c>
      <c r="L35" s="35" t="s">
        <v>132</v>
      </c>
      <c r="M35" s="45" t="s">
        <v>309</v>
      </c>
      <c r="N35" s="112" t="s">
        <v>310</v>
      </c>
      <c r="O35" s="97" t="s">
        <v>311</v>
      </c>
      <c r="P35" s="104" t="s">
        <v>47</v>
      </c>
      <c r="Q35" s="98">
        <v>45680</v>
      </c>
      <c r="R35" s="39" t="s">
        <v>47</v>
      </c>
      <c r="S35" s="39" t="str">
        <f t="shared" si="5"/>
        <v>ABC</v>
      </c>
      <c r="T35" s="105">
        <v>45686</v>
      </c>
      <c r="U35" s="35" t="str">
        <f t="shared" si="9"/>
        <v>ABC</v>
      </c>
      <c r="V35" s="92" t="s">
        <v>72</v>
      </c>
      <c r="W35" s="42">
        <v>45693</v>
      </c>
      <c r="X35" s="42">
        <v>45694</v>
      </c>
      <c r="Y35" s="41" t="s">
        <v>47</v>
      </c>
      <c r="Z35" s="41" t="s">
        <v>47</v>
      </c>
      <c r="AA35" s="35">
        <f t="shared" si="14"/>
        <v>102</v>
      </c>
      <c r="AB35" s="42">
        <v>45795</v>
      </c>
      <c r="AC35" s="35">
        <f t="shared" si="11"/>
        <v>116</v>
      </c>
      <c r="AD35" s="83" t="s">
        <v>73</v>
      </c>
      <c r="AE35" s="166" t="s">
        <v>47</v>
      </c>
      <c r="AF35" s="112" t="s">
        <v>47</v>
      </c>
      <c r="AG35" s="95" t="s">
        <v>312</v>
      </c>
      <c r="AH35" s="111"/>
      <c r="AI35" s="111"/>
    </row>
    <row r="36" spans="1:35">
      <c r="A36" s="49" t="s">
        <v>86</v>
      </c>
      <c r="B36" s="26" t="s">
        <v>313</v>
      </c>
      <c r="C36" s="83" t="s">
        <v>63</v>
      </c>
      <c r="D36" s="168" t="s">
        <v>314</v>
      </c>
      <c r="E36" s="29" t="s">
        <v>315</v>
      </c>
      <c r="F36" s="85">
        <v>45686</v>
      </c>
      <c r="G36" s="35" t="s">
        <v>316</v>
      </c>
      <c r="H36" s="32" t="s">
        <v>175</v>
      </c>
      <c r="I36" s="33" t="s">
        <v>104</v>
      </c>
      <c r="J36" s="34" t="s">
        <v>41</v>
      </c>
      <c r="K36" s="35" t="s">
        <v>80</v>
      </c>
      <c r="L36" s="35" t="s">
        <v>112</v>
      </c>
      <c r="M36" s="169" t="s">
        <v>317</v>
      </c>
      <c r="N36" s="170">
        <v>45658</v>
      </c>
      <c r="O36" s="88" t="s">
        <v>318</v>
      </c>
      <c r="P36" s="89" t="s">
        <v>84</v>
      </c>
      <c r="Q36" s="98">
        <v>45686</v>
      </c>
      <c r="R36" s="39" t="s">
        <v>47</v>
      </c>
      <c r="S36" s="39" t="str">
        <f t="shared" si="5"/>
        <v>ABC</v>
      </c>
      <c r="T36" s="105">
        <v>45692</v>
      </c>
      <c r="U36" s="35" t="str">
        <f t="shared" si="9"/>
        <v>ABC</v>
      </c>
      <c r="V36" s="92" t="s">
        <v>97</v>
      </c>
      <c r="W36" s="42">
        <v>45693</v>
      </c>
      <c r="X36" s="42">
        <v>45694</v>
      </c>
      <c r="Y36" s="41"/>
      <c r="Z36" s="41" t="s">
        <v>47</v>
      </c>
      <c r="AA36" s="35" t="str">
        <f t="shared" ref="AA36:AA37" si="15">IFERROR((AB36-X36)+1,"ABC")</f>
        <v>ABC</v>
      </c>
      <c r="AB36" s="35" t="s">
        <v>47</v>
      </c>
      <c r="AC36" s="35" t="str">
        <f t="shared" si="11"/>
        <v>ABC</v>
      </c>
      <c r="AD36" s="83" t="s">
        <v>73</v>
      </c>
      <c r="AE36" s="166" t="s">
        <v>47</v>
      </c>
      <c r="AF36" s="95" t="s">
        <v>47</v>
      </c>
      <c r="AG36" s="95" t="s">
        <v>319</v>
      </c>
      <c r="AH36" s="51"/>
      <c r="AI36" s="51"/>
    </row>
    <row r="37" spans="1:35">
      <c r="A37" s="128" t="s">
        <v>320</v>
      </c>
      <c r="B37" s="53" t="s">
        <v>321</v>
      </c>
      <c r="C37" s="83" t="s">
        <v>47</v>
      </c>
      <c r="D37" s="96" t="s">
        <v>322</v>
      </c>
      <c r="E37" s="29" t="s">
        <v>323</v>
      </c>
      <c r="F37" s="85">
        <v>45691</v>
      </c>
      <c r="G37" s="116" t="s">
        <v>324</v>
      </c>
      <c r="H37" s="32" t="s">
        <v>175</v>
      </c>
      <c r="I37" s="33" t="s">
        <v>104</v>
      </c>
      <c r="J37" s="115" t="s">
        <v>41</v>
      </c>
      <c r="K37" s="116" t="s">
        <v>80</v>
      </c>
      <c r="L37" s="116" t="s">
        <v>112</v>
      </c>
      <c r="M37" s="171" t="s">
        <v>325</v>
      </c>
      <c r="N37" s="172" t="s">
        <v>47</v>
      </c>
      <c r="O37" s="88" t="s">
        <v>326</v>
      </c>
      <c r="P37" s="114" t="s">
        <v>327</v>
      </c>
      <c r="Q37" s="118">
        <v>45692</v>
      </c>
      <c r="R37" s="39" t="s">
        <v>47</v>
      </c>
      <c r="S37" s="39" t="str">
        <f t="shared" si="5"/>
        <v>ABC</v>
      </c>
      <c r="T37" s="127">
        <v>45694</v>
      </c>
      <c r="U37" s="35" t="str">
        <f t="shared" si="9"/>
        <v>ABC</v>
      </c>
      <c r="V37" s="120" t="s">
        <v>328</v>
      </c>
      <c r="W37" s="116" t="s">
        <v>47</v>
      </c>
      <c r="X37" s="116" t="s">
        <v>47</v>
      </c>
      <c r="Y37" s="129" t="s">
        <v>47</v>
      </c>
      <c r="Z37" s="129" t="s">
        <v>47</v>
      </c>
      <c r="AA37" s="35" t="str">
        <f t="shared" si="15"/>
        <v>ABC</v>
      </c>
      <c r="AB37" s="116" t="s">
        <v>47</v>
      </c>
      <c r="AC37" s="35" t="str">
        <f t="shared" si="11"/>
        <v>ABC</v>
      </c>
      <c r="AD37" s="114" t="s">
        <v>73</v>
      </c>
      <c r="AE37" s="173" t="s">
        <v>47</v>
      </c>
      <c r="AF37" s="173" t="s">
        <v>47</v>
      </c>
      <c r="AG37" s="95" t="s">
        <v>329</v>
      </c>
      <c r="AH37" s="174"/>
      <c r="AI37" s="174"/>
    </row>
    <row r="38" spans="1:35">
      <c r="A38" s="86" t="s">
        <v>246</v>
      </c>
      <c r="B38" s="62" t="s">
        <v>330</v>
      </c>
      <c r="C38" s="83" t="s">
        <v>331</v>
      </c>
      <c r="D38" s="84" t="s">
        <v>332</v>
      </c>
      <c r="E38" s="29" t="s">
        <v>333</v>
      </c>
      <c r="F38" s="85">
        <v>45691</v>
      </c>
      <c r="G38" s="83" t="s">
        <v>334</v>
      </c>
      <c r="H38" s="32" t="s">
        <v>39</v>
      </c>
      <c r="I38" s="33" t="s">
        <v>40</v>
      </c>
      <c r="J38" s="34" t="s">
        <v>41</v>
      </c>
      <c r="K38" s="35" t="s">
        <v>42</v>
      </c>
      <c r="L38" s="35" t="s">
        <v>43</v>
      </c>
      <c r="M38" s="57" t="s">
        <v>335</v>
      </c>
      <c r="N38" s="87" t="s">
        <v>336</v>
      </c>
      <c r="O38" s="97" t="s">
        <v>337</v>
      </c>
      <c r="P38" s="104" t="s">
        <v>47</v>
      </c>
      <c r="Q38" s="98">
        <v>45692</v>
      </c>
      <c r="R38" s="39" t="s">
        <v>47</v>
      </c>
      <c r="S38" s="39" t="str">
        <f t="shared" si="5"/>
        <v>ABC</v>
      </c>
      <c r="T38" s="60">
        <v>45722</v>
      </c>
      <c r="U38" s="35" t="str">
        <f t="shared" si="9"/>
        <v>ABC</v>
      </c>
      <c r="V38" s="92" t="s">
        <v>72</v>
      </c>
      <c r="W38" s="42">
        <v>45698</v>
      </c>
      <c r="X38" s="42">
        <v>45699</v>
      </c>
      <c r="Y38" s="41" t="s">
        <v>47</v>
      </c>
      <c r="Z38" s="129" t="s">
        <v>47</v>
      </c>
      <c r="AA38" s="35">
        <f t="shared" ref="AA38:AA40" si="16">(AB38-X38)+1</f>
        <v>10</v>
      </c>
      <c r="AB38" s="42">
        <v>45708</v>
      </c>
      <c r="AC38" s="35">
        <f t="shared" si="11"/>
        <v>18</v>
      </c>
      <c r="AD38" s="83" t="s">
        <v>63</v>
      </c>
      <c r="AE38" s="95" t="s">
        <v>47</v>
      </c>
      <c r="AF38" s="95" t="s">
        <v>47</v>
      </c>
      <c r="AG38" s="95" t="s">
        <v>338</v>
      </c>
      <c r="AH38" s="51"/>
      <c r="AI38" s="51"/>
    </row>
    <row r="39" spans="1:35" ht="90.75" customHeight="1">
      <c r="A39" s="82" t="s">
        <v>246</v>
      </c>
      <c r="B39" s="62">
        <v>45717</v>
      </c>
      <c r="C39" s="83" t="s">
        <v>100</v>
      </c>
      <c r="D39" s="103" t="s">
        <v>339</v>
      </c>
      <c r="E39" s="29" t="s">
        <v>340</v>
      </c>
      <c r="F39" s="85">
        <v>45694</v>
      </c>
      <c r="G39" s="83" t="s">
        <v>341</v>
      </c>
      <c r="H39" s="32" t="s">
        <v>39</v>
      </c>
      <c r="I39" s="33" t="s">
        <v>104</v>
      </c>
      <c r="J39" s="34" t="s">
        <v>41</v>
      </c>
      <c r="K39" s="35" t="s">
        <v>80</v>
      </c>
      <c r="L39" s="35" t="s">
        <v>342</v>
      </c>
      <c r="M39" s="45" t="s">
        <v>343</v>
      </c>
      <c r="N39" s="87" t="s">
        <v>344</v>
      </c>
      <c r="O39" s="88" t="s">
        <v>345</v>
      </c>
      <c r="P39" s="104" t="s">
        <v>47</v>
      </c>
      <c r="Q39" s="98">
        <v>45694</v>
      </c>
      <c r="R39" s="39" t="s">
        <v>47</v>
      </c>
      <c r="S39" s="39" t="str">
        <f t="shared" si="5"/>
        <v>ABC</v>
      </c>
      <c r="T39" s="105">
        <v>45702</v>
      </c>
      <c r="U39" s="35" t="str">
        <f t="shared" si="9"/>
        <v>ABC</v>
      </c>
      <c r="V39" s="92" t="s">
        <v>72</v>
      </c>
      <c r="W39" s="42">
        <v>45713</v>
      </c>
      <c r="X39" s="42">
        <v>45713</v>
      </c>
      <c r="Y39" s="41" t="s">
        <v>47</v>
      </c>
      <c r="Z39" s="129" t="s">
        <v>47</v>
      </c>
      <c r="AA39" s="35">
        <f t="shared" si="16"/>
        <v>10</v>
      </c>
      <c r="AB39" s="42">
        <v>45722</v>
      </c>
      <c r="AC39" s="35">
        <f t="shared" si="11"/>
        <v>29</v>
      </c>
      <c r="AD39" s="83" t="s">
        <v>73</v>
      </c>
      <c r="AE39" s="175" t="s">
        <v>47</v>
      </c>
      <c r="AF39" s="175" t="s">
        <v>47</v>
      </c>
      <c r="AG39" s="95" t="s">
        <v>346</v>
      </c>
      <c r="AH39" s="111"/>
      <c r="AI39" s="111"/>
    </row>
    <row r="40" spans="1:35">
      <c r="A40" s="82" t="s">
        <v>62</v>
      </c>
      <c r="B40" s="26" t="s">
        <v>347</v>
      </c>
      <c r="C40" s="176" t="s">
        <v>348</v>
      </c>
      <c r="D40" s="177" t="s">
        <v>349</v>
      </c>
      <c r="E40" s="29" t="s">
        <v>350</v>
      </c>
      <c r="F40" s="85">
        <v>45694</v>
      </c>
      <c r="G40" s="83" t="s">
        <v>351</v>
      </c>
      <c r="H40" s="32" t="s">
        <v>39</v>
      </c>
      <c r="I40" s="33" t="s">
        <v>40</v>
      </c>
      <c r="J40" s="34" t="s">
        <v>41</v>
      </c>
      <c r="K40" s="35" t="s">
        <v>80</v>
      </c>
      <c r="L40" s="35" t="s">
        <v>68</v>
      </c>
      <c r="M40" s="45" t="s">
        <v>352</v>
      </c>
      <c r="N40" s="87" t="s">
        <v>353</v>
      </c>
      <c r="O40" s="88" t="s">
        <v>354</v>
      </c>
      <c r="P40" s="104" t="s">
        <v>47</v>
      </c>
      <c r="Q40" s="98">
        <v>45698</v>
      </c>
      <c r="R40" s="39" t="s">
        <v>47</v>
      </c>
      <c r="S40" s="39" t="str">
        <f t="shared" si="5"/>
        <v>ABC</v>
      </c>
      <c r="T40" s="60">
        <v>45748</v>
      </c>
      <c r="U40" s="35" t="str">
        <f t="shared" si="9"/>
        <v>ABC</v>
      </c>
      <c r="V40" s="92" t="s">
        <v>304</v>
      </c>
      <c r="W40" s="42">
        <v>45760</v>
      </c>
      <c r="X40" s="42">
        <v>45783</v>
      </c>
      <c r="Y40" s="41" t="s">
        <v>47</v>
      </c>
      <c r="Z40" s="41" t="s">
        <v>47</v>
      </c>
      <c r="AA40" s="35">
        <f t="shared" si="16"/>
        <v>13</v>
      </c>
      <c r="AB40" s="42">
        <v>45795</v>
      </c>
      <c r="AC40" s="35">
        <f t="shared" si="11"/>
        <v>102</v>
      </c>
      <c r="AD40" s="83" t="s">
        <v>73</v>
      </c>
      <c r="AE40" s="87" t="s">
        <v>47</v>
      </c>
      <c r="AF40" s="87" t="s">
        <v>47</v>
      </c>
      <c r="AG40" s="95" t="s">
        <v>355</v>
      </c>
      <c r="AH40" s="109"/>
      <c r="AI40" s="109"/>
    </row>
    <row r="41" spans="1:35">
      <c r="A41" s="82" t="s">
        <v>86</v>
      </c>
      <c r="B41" s="26" t="s">
        <v>47</v>
      </c>
      <c r="C41" s="83" t="s">
        <v>63</v>
      </c>
      <c r="D41" s="84" t="s">
        <v>356</v>
      </c>
      <c r="E41" s="29" t="s">
        <v>357</v>
      </c>
      <c r="F41" s="85">
        <v>45695</v>
      </c>
      <c r="G41" s="83" t="s">
        <v>358</v>
      </c>
      <c r="H41" s="32" t="s">
        <v>119</v>
      </c>
      <c r="I41" s="33" t="s">
        <v>40</v>
      </c>
      <c r="J41" s="34" t="s">
        <v>41</v>
      </c>
      <c r="K41" s="35" t="s">
        <v>80</v>
      </c>
      <c r="L41" s="35" t="s">
        <v>92</v>
      </c>
      <c r="M41" s="45" t="s">
        <v>359</v>
      </c>
      <c r="N41" s="87" t="s">
        <v>360</v>
      </c>
      <c r="O41" s="97" t="s">
        <v>361</v>
      </c>
      <c r="P41" s="104" t="s">
        <v>47</v>
      </c>
      <c r="Q41" s="98">
        <v>45698</v>
      </c>
      <c r="R41" s="39" t="s">
        <v>47</v>
      </c>
      <c r="S41" s="39" t="str">
        <f t="shared" si="5"/>
        <v>ABC</v>
      </c>
      <c r="T41" s="60">
        <v>45706</v>
      </c>
      <c r="U41" s="35" t="str">
        <f t="shared" si="9"/>
        <v>ABC</v>
      </c>
      <c r="V41" s="92" t="s">
        <v>72</v>
      </c>
      <c r="W41" s="42">
        <v>45715</v>
      </c>
      <c r="X41" s="42">
        <v>45716</v>
      </c>
      <c r="Y41" s="41" t="s">
        <v>47</v>
      </c>
      <c r="Z41" s="41" t="s">
        <v>47</v>
      </c>
      <c r="AA41" s="35" t="str">
        <f>IFERROR((AB41-X41)+1,"ABC")</f>
        <v>ABC</v>
      </c>
      <c r="AB41" s="35" t="s">
        <v>47</v>
      </c>
      <c r="AC41" s="35" t="str">
        <f t="shared" si="11"/>
        <v>ABC</v>
      </c>
      <c r="AD41" s="83" t="s">
        <v>63</v>
      </c>
      <c r="AE41" s="87" t="s">
        <v>47</v>
      </c>
      <c r="AF41" s="87" t="s">
        <v>47</v>
      </c>
      <c r="AG41" s="95" t="s">
        <v>362</v>
      </c>
      <c r="AH41" s="51"/>
      <c r="AI41" s="51"/>
    </row>
    <row r="42" spans="1:35">
      <c r="A42" s="82" t="s">
        <v>62</v>
      </c>
      <c r="B42" s="26" t="s">
        <v>47</v>
      </c>
      <c r="C42" s="83" t="s">
        <v>63</v>
      </c>
      <c r="D42" s="84" t="s">
        <v>363</v>
      </c>
      <c r="E42" s="29" t="s">
        <v>364</v>
      </c>
      <c r="F42" s="85">
        <v>45695</v>
      </c>
      <c r="G42" s="83" t="s">
        <v>365</v>
      </c>
      <c r="H42" s="32" t="s">
        <v>175</v>
      </c>
      <c r="I42" s="33" t="s">
        <v>40</v>
      </c>
      <c r="J42" s="34" t="s">
        <v>41</v>
      </c>
      <c r="K42" s="35" t="s">
        <v>80</v>
      </c>
      <c r="L42" s="35" t="s">
        <v>366</v>
      </c>
      <c r="M42" s="45" t="s">
        <v>367</v>
      </c>
      <c r="N42" s="147" t="s">
        <v>368</v>
      </c>
      <c r="O42" s="97" t="s">
        <v>369</v>
      </c>
      <c r="P42" s="104" t="s">
        <v>47</v>
      </c>
      <c r="Q42" s="98">
        <v>45698</v>
      </c>
      <c r="R42" s="39" t="s">
        <v>47</v>
      </c>
      <c r="S42" s="39" t="str">
        <f t="shared" si="5"/>
        <v>ABC</v>
      </c>
      <c r="T42" s="60">
        <v>45706</v>
      </c>
      <c r="U42" s="35" t="str">
        <f t="shared" si="9"/>
        <v>ABC</v>
      </c>
      <c r="V42" s="92" t="s">
        <v>72</v>
      </c>
      <c r="W42" s="42">
        <v>45713</v>
      </c>
      <c r="X42" s="42">
        <v>45713</v>
      </c>
      <c r="Y42" s="41" t="s">
        <v>47</v>
      </c>
      <c r="Z42" s="41" t="s">
        <v>47</v>
      </c>
      <c r="AA42" s="35">
        <f>(AB42-X42)+1</f>
        <v>39</v>
      </c>
      <c r="AB42" s="42">
        <v>45751</v>
      </c>
      <c r="AC42" s="35">
        <f t="shared" si="11"/>
        <v>57</v>
      </c>
      <c r="AD42" s="83" t="s">
        <v>73</v>
      </c>
      <c r="AE42" s="87" t="s">
        <v>47</v>
      </c>
      <c r="AF42" s="87" t="s">
        <v>47</v>
      </c>
      <c r="AG42" s="95" t="s">
        <v>370</v>
      </c>
      <c r="AH42" s="109"/>
      <c r="AI42" s="109"/>
    </row>
    <row r="43" spans="1:35">
      <c r="A43" s="82" t="s">
        <v>123</v>
      </c>
      <c r="B43" s="26" t="s">
        <v>47</v>
      </c>
      <c r="C43" s="83" t="s">
        <v>63</v>
      </c>
      <c r="D43" s="103" t="s">
        <v>371</v>
      </c>
      <c r="E43" s="29" t="s">
        <v>372</v>
      </c>
      <c r="F43" s="85">
        <v>45699</v>
      </c>
      <c r="G43" s="83" t="s">
        <v>373</v>
      </c>
      <c r="H43" s="32" t="s">
        <v>119</v>
      </c>
      <c r="I43" s="33" t="s">
        <v>104</v>
      </c>
      <c r="J43" s="34" t="s">
        <v>41</v>
      </c>
      <c r="K43" s="35" t="s">
        <v>80</v>
      </c>
      <c r="L43" s="35" t="s">
        <v>374</v>
      </c>
      <c r="M43" s="45" t="s">
        <v>375</v>
      </c>
      <c r="N43" s="87" t="s">
        <v>376</v>
      </c>
      <c r="O43" s="97" t="s">
        <v>377</v>
      </c>
      <c r="P43" s="104" t="s">
        <v>47</v>
      </c>
      <c r="Q43" s="98">
        <v>45701</v>
      </c>
      <c r="R43" s="39" t="s">
        <v>47</v>
      </c>
      <c r="S43" s="39" t="str">
        <f t="shared" si="5"/>
        <v>ABC</v>
      </c>
      <c r="T43" s="105">
        <v>45705</v>
      </c>
      <c r="U43" s="35" t="str">
        <f t="shared" si="9"/>
        <v>ABC</v>
      </c>
      <c r="V43" s="92" t="s">
        <v>97</v>
      </c>
      <c r="W43" s="99">
        <v>45713</v>
      </c>
      <c r="X43" s="42">
        <v>45713</v>
      </c>
      <c r="Y43" s="41" t="s">
        <v>47</v>
      </c>
      <c r="Z43" s="41" t="s">
        <v>47</v>
      </c>
      <c r="AA43" s="35" t="str">
        <f t="shared" ref="AA43:AA44" si="17">IFERROR((AB43-X43)+1,"ABC")</f>
        <v>ABC</v>
      </c>
      <c r="AB43" s="35" t="s">
        <v>47</v>
      </c>
      <c r="AC43" s="35" t="str">
        <f t="shared" si="11"/>
        <v>ABC</v>
      </c>
      <c r="AD43" s="83" t="s">
        <v>63</v>
      </c>
      <c r="AE43" s="87" t="s">
        <v>47</v>
      </c>
      <c r="AF43" s="87" t="s">
        <v>47</v>
      </c>
      <c r="AG43" s="95" t="s">
        <v>378</v>
      </c>
      <c r="AH43" s="143"/>
      <c r="AI43" s="143"/>
    </row>
    <row r="44" spans="1:35" ht="76.5" customHeight="1">
      <c r="A44" s="82" t="s">
        <v>123</v>
      </c>
      <c r="B44" s="26" t="s">
        <v>47</v>
      </c>
      <c r="C44" s="83" t="s">
        <v>63</v>
      </c>
      <c r="D44" s="178" t="s">
        <v>379</v>
      </c>
      <c r="E44" s="29" t="s">
        <v>380</v>
      </c>
      <c r="F44" s="85">
        <v>45699</v>
      </c>
      <c r="G44" s="83" t="s">
        <v>381</v>
      </c>
      <c r="H44" s="32" t="s">
        <v>119</v>
      </c>
      <c r="I44" s="33" t="s">
        <v>104</v>
      </c>
      <c r="J44" s="34" t="s">
        <v>41</v>
      </c>
      <c r="K44" s="35" t="s">
        <v>80</v>
      </c>
      <c r="L44" s="35" t="s">
        <v>68</v>
      </c>
      <c r="M44" s="57" t="s">
        <v>382</v>
      </c>
      <c r="N44" s="87" t="s">
        <v>383</v>
      </c>
      <c r="O44" s="97" t="s">
        <v>384</v>
      </c>
      <c r="P44" s="179" t="s">
        <v>47</v>
      </c>
      <c r="Q44" s="98">
        <v>45701</v>
      </c>
      <c r="R44" s="39" t="s">
        <v>47</v>
      </c>
      <c r="S44" s="39" t="str">
        <f t="shared" si="5"/>
        <v>ABC</v>
      </c>
      <c r="T44" s="105">
        <v>45705</v>
      </c>
      <c r="U44" s="35" t="str">
        <f t="shared" si="9"/>
        <v>ABC</v>
      </c>
      <c r="V44" s="92" t="s">
        <v>72</v>
      </c>
      <c r="W44" s="42">
        <v>45713</v>
      </c>
      <c r="X44" s="42">
        <v>45713</v>
      </c>
      <c r="Y44" s="41" t="s">
        <v>47</v>
      </c>
      <c r="Z44" s="41" t="s">
        <v>47</v>
      </c>
      <c r="AA44" s="35" t="str">
        <f t="shared" si="17"/>
        <v>ABC</v>
      </c>
      <c r="AB44" s="35" t="s">
        <v>47</v>
      </c>
      <c r="AC44" s="35" t="str">
        <f t="shared" si="11"/>
        <v>ABC</v>
      </c>
      <c r="AD44" s="83" t="s">
        <v>63</v>
      </c>
      <c r="AE44" s="87" t="s">
        <v>47</v>
      </c>
      <c r="AF44" s="87" t="s">
        <v>47</v>
      </c>
      <c r="AG44" s="95" t="s">
        <v>385</v>
      </c>
      <c r="AH44" s="102"/>
      <c r="AI44" s="102"/>
    </row>
    <row r="45" spans="1:35">
      <c r="A45" s="49" t="s">
        <v>62</v>
      </c>
      <c r="B45" s="26" t="s">
        <v>47</v>
      </c>
      <c r="C45" s="83" t="s">
        <v>63</v>
      </c>
      <c r="D45" s="103" t="s">
        <v>386</v>
      </c>
      <c r="E45" s="29" t="s">
        <v>387</v>
      </c>
      <c r="F45" s="85">
        <v>45700</v>
      </c>
      <c r="G45" s="49" t="s">
        <v>388</v>
      </c>
      <c r="H45" s="32" t="s">
        <v>39</v>
      </c>
      <c r="I45" s="33" t="s">
        <v>40</v>
      </c>
      <c r="J45" s="34" t="s">
        <v>41</v>
      </c>
      <c r="K45" s="35" t="s">
        <v>80</v>
      </c>
      <c r="L45" s="35" t="s">
        <v>68</v>
      </c>
      <c r="M45" s="45" t="s">
        <v>389</v>
      </c>
      <c r="N45" s="87">
        <v>2025</v>
      </c>
      <c r="O45" s="97" t="s">
        <v>390</v>
      </c>
      <c r="P45" s="104" t="s">
        <v>84</v>
      </c>
      <c r="Q45" s="98">
        <v>45701</v>
      </c>
      <c r="R45" s="39" t="s">
        <v>47</v>
      </c>
      <c r="S45" s="39" t="str">
        <f t="shared" si="5"/>
        <v>ABC</v>
      </c>
      <c r="T45" s="60">
        <v>45748</v>
      </c>
      <c r="U45" s="35" t="str">
        <f t="shared" si="9"/>
        <v>ABC</v>
      </c>
      <c r="V45" s="92" t="s">
        <v>97</v>
      </c>
      <c r="W45" s="94">
        <v>45760</v>
      </c>
      <c r="X45" s="42">
        <v>45761</v>
      </c>
      <c r="Y45" s="41" t="s">
        <v>84</v>
      </c>
      <c r="Z45" s="41" t="s">
        <v>47</v>
      </c>
      <c r="AA45" s="35">
        <f>(AB45-X45)+1</f>
        <v>37</v>
      </c>
      <c r="AB45" s="42">
        <v>45797</v>
      </c>
      <c r="AC45" s="35">
        <f t="shared" si="11"/>
        <v>98</v>
      </c>
      <c r="AD45" s="83" t="s">
        <v>73</v>
      </c>
      <c r="AE45" s="87" t="s">
        <v>47</v>
      </c>
      <c r="AF45" s="87" t="s">
        <v>47</v>
      </c>
      <c r="AG45" s="95" t="s">
        <v>391</v>
      </c>
      <c r="AH45" s="51"/>
      <c r="AI45" s="51"/>
    </row>
    <row r="46" spans="1:35">
      <c r="A46" s="49" t="s">
        <v>392</v>
      </c>
      <c r="B46" s="26" t="s">
        <v>47</v>
      </c>
      <c r="C46" s="83" t="s">
        <v>63</v>
      </c>
      <c r="D46" s="177" t="s">
        <v>393</v>
      </c>
      <c r="E46" s="29" t="s">
        <v>394</v>
      </c>
      <c r="F46" s="85">
        <v>45701</v>
      </c>
      <c r="G46" s="35" t="s">
        <v>395</v>
      </c>
      <c r="H46" s="32" t="s">
        <v>39</v>
      </c>
      <c r="I46" s="33" t="s">
        <v>104</v>
      </c>
      <c r="J46" s="34" t="s">
        <v>396</v>
      </c>
      <c r="K46" s="35" t="s">
        <v>42</v>
      </c>
      <c r="L46" s="35" t="s">
        <v>366</v>
      </c>
      <c r="M46" s="45" t="s">
        <v>397</v>
      </c>
      <c r="N46" s="87" t="s">
        <v>398</v>
      </c>
      <c r="O46" s="97" t="s">
        <v>399</v>
      </c>
      <c r="P46" s="104" t="s">
        <v>84</v>
      </c>
      <c r="Q46" s="98">
        <v>45701</v>
      </c>
      <c r="R46" s="39" t="s">
        <v>47</v>
      </c>
      <c r="S46" s="39" t="str">
        <f t="shared" si="5"/>
        <v>ABC</v>
      </c>
      <c r="T46" s="105">
        <v>45748</v>
      </c>
      <c r="U46" s="35" t="str">
        <f t="shared" si="9"/>
        <v>ABC</v>
      </c>
      <c r="V46" s="92" t="s">
        <v>72</v>
      </c>
      <c r="W46" s="42">
        <v>45734</v>
      </c>
      <c r="X46" s="42">
        <v>45777</v>
      </c>
      <c r="Y46" s="41" t="s">
        <v>47</v>
      </c>
      <c r="Z46" s="41" t="s">
        <v>47</v>
      </c>
      <c r="AA46" s="35" t="str">
        <f t="shared" ref="AA46:AA48" si="18">IFERROR((AB46-X46)+1,"ABC")</f>
        <v>ABC</v>
      </c>
      <c r="AB46" s="35" t="s">
        <v>47</v>
      </c>
      <c r="AC46" s="35" t="str">
        <f t="shared" si="11"/>
        <v>ABC</v>
      </c>
      <c r="AD46" s="83" t="s">
        <v>49</v>
      </c>
      <c r="AE46" s="87" t="s">
        <v>47</v>
      </c>
      <c r="AF46" s="87" t="s">
        <v>47</v>
      </c>
      <c r="AG46" s="95" t="s">
        <v>47</v>
      </c>
      <c r="AH46" s="51"/>
      <c r="AI46" s="51"/>
    </row>
    <row r="47" spans="1:35">
      <c r="A47" s="49" t="s">
        <v>86</v>
      </c>
      <c r="B47" s="26" t="s">
        <v>400</v>
      </c>
      <c r="C47" s="83" t="s">
        <v>63</v>
      </c>
      <c r="D47" s="180" t="s">
        <v>401</v>
      </c>
      <c r="E47" s="29" t="s">
        <v>402</v>
      </c>
      <c r="F47" s="85">
        <v>45701</v>
      </c>
      <c r="G47" s="35" t="s">
        <v>403</v>
      </c>
      <c r="H47" s="32" t="s">
        <v>39</v>
      </c>
      <c r="I47" s="33" t="s">
        <v>104</v>
      </c>
      <c r="J47" s="34" t="s">
        <v>41</v>
      </c>
      <c r="K47" s="35" t="s">
        <v>80</v>
      </c>
      <c r="L47" s="35" t="s">
        <v>43</v>
      </c>
      <c r="M47" s="45" t="s">
        <v>404</v>
      </c>
      <c r="N47" s="87" t="s">
        <v>405</v>
      </c>
      <c r="O47" s="97" t="s">
        <v>406</v>
      </c>
      <c r="P47" s="104" t="s">
        <v>84</v>
      </c>
      <c r="Q47" s="98">
        <v>45701</v>
      </c>
      <c r="R47" s="39" t="s">
        <v>47</v>
      </c>
      <c r="S47" s="39" t="str">
        <f t="shared" si="5"/>
        <v>ABC</v>
      </c>
      <c r="T47" s="105">
        <v>45713</v>
      </c>
      <c r="U47" s="35" t="str">
        <f t="shared" si="9"/>
        <v>ABC</v>
      </c>
      <c r="V47" s="92" t="s">
        <v>97</v>
      </c>
      <c r="W47" s="42">
        <v>45715</v>
      </c>
      <c r="X47" s="42">
        <v>45716</v>
      </c>
      <c r="Y47" s="41" t="s">
        <v>47</v>
      </c>
      <c r="Z47" s="41" t="s">
        <v>47</v>
      </c>
      <c r="AA47" s="35" t="str">
        <f t="shared" si="18"/>
        <v>ABC</v>
      </c>
      <c r="AB47" s="35" t="s">
        <v>47</v>
      </c>
      <c r="AC47" s="35" t="str">
        <f t="shared" si="11"/>
        <v>ABC</v>
      </c>
      <c r="AD47" s="83" t="s">
        <v>63</v>
      </c>
      <c r="AE47" s="87" t="s">
        <v>47</v>
      </c>
      <c r="AF47" s="87" t="s">
        <v>47</v>
      </c>
      <c r="AG47" s="95" t="s">
        <v>407</v>
      </c>
      <c r="AH47" s="109"/>
      <c r="AI47" s="109"/>
    </row>
    <row r="48" spans="1:35">
      <c r="A48" s="82" t="s">
        <v>123</v>
      </c>
      <c r="B48" s="26" t="s">
        <v>47</v>
      </c>
      <c r="C48" s="83" t="s">
        <v>63</v>
      </c>
      <c r="D48" s="84" t="s">
        <v>408</v>
      </c>
      <c r="E48" s="29" t="s">
        <v>409</v>
      </c>
      <c r="F48" s="85">
        <v>45701</v>
      </c>
      <c r="G48" s="83" t="s">
        <v>410</v>
      </c>
      <c r="H48" s="32" t="s">
        <v>175</v>
      </c>
      <c r="I48" s="33" t="s">
        <v>104</v>
      </c>
      <c r="J48" s="34" t="s">
        <v>79</v>
      </c>
      <c r="K48" s="35" t="s">
        <v>80</v>
      </c>
      <c r="L48" s="35" t="s">
        <v>43</v>
      </c>
      <c r="M48" s="57" t="s">
        <v>411</v>
      </c>
      <c r="N48" s="87" t="s">
        <v>412</v>
      </c>
      <c r="O48" s="97" t="s">
        <v>413</v>
      </c>
      <c r="P48" s="104" t="s">
        <v>47</v>
      </c>
      <c r="Q48" s="98">
        <v>45701</v>
      </c>
      <c r="R48" s="39" t="s">
        <v>47</v>
      </c>
      <c r="S48" s="39" t="str">
        <f t="shared" si="5"/>
        <v>ABC</v>
      </c>
      <c r="T48" s="105">
        <v>45705</v>
      </c>
      <c r="U48" s="35" t="str">
        <f t="shared" si="9"/>
        <v>ABC</v>
      </c>
      <c r="V48" s="92" t="s">
        <v>72</v>
      </c>
      <c r="W48" s="42">
        <v>45713</v>
      </c>
      <c r="X48" s="42">
        <v>45713</v>
      </c>
      <c r="Y48" s="41" t="s">
        <v>47</v>
      </c>
      <c r="Z48" s="41" t="s">
        <v>47</v>
      </c>
      <c r="AA48" s="35" t="str">
        <f t="shared" si="18"/>
        <v>ABC</v>
      </c>
      <c r="AB48" s="35" t="s">
        <v>47</v>
      </c>
      <c r="AC48" s="35" t="str">
        <f t="shared" si="11"/>
        <v>ABC</v>
      </c>
      <c r="AD48" s="83" t="s">
        <v>63</v>
      </c>
      <c r="AE48" s="87" t="s">
        <v>47</v>
      </c>
      <c r="AF48" s="87" t="s">
        <v>47</v>
      </c>
      <c r="AG48" s="95" t="s">
        <v>414</v>
      </c>
      <c r="AH48" s="82"/>
      <c r="AI48" s="82"/>
    </row>
    <row r="49" spans="1:35">
      <c r="A49" s="86" t="s">
        <v>62</v>
      </c>
      <c r="B49" s="26" t="s">
        <v>415</v>
      </c>
      <c r="C49" s="83" t="s">
        <v>63</v>
      </c>
      <c r="D49" s="181" t="s">
        <v>416</v>
      </c>
      <c r="E49" s="29" t="s">
        <v>417</v>
      </c>
      <c r="F49" s="85">
        <v>45702</v>
      </c>
      <c r="G49" s="149" t="s">
        <v>418</v>
      </c>
      <c r="H49" s="32" t="s">
        <v>39</v>
      </c>
      <c r="I49" s="33" t="s">
        <v>104</v>
      </c>
      <c r="J49" s="34" t="s">
        <v>396</v>
      </c>
      <c r="K49" s="35" t="s">
        <v>57</v>
      </c>
      <c r="L49" s="35" t="s">
        <v>132</v>
      </c>
      <c r="M49" s="63" t="s">
        <v>419</v>
      </c>
      <c r="N49" s="182" t="s">
        <v>420</v>
      </c>
      <c r="O49" s="97" t="s">
        <v>421</v>
      </c>
      <c r="P49" s="104" t="s">
        <v>47</v>
      </c>
      <c r="Q49" s="98">
        <v>45706</v>
      </c>
      <c r="R49" s="39" t="s">
        <v>47</v>
      </c>
      <c r="S49" s="39" t="str">
        <f t="shared" si="5"/>
        <v>ABC</v>
      </c>
      <c r="T49" s="105">
        <v>45709</v>
      </c>
      <c r="U49" s="35" t="str">
        <f t="shared" si="9"/>
        <v>ABC</v>
      </c>
      <c r="V49" s="92" t="s">
        <v>97</v>
      </c>
      <c r="W49" s="42">
        <v>45716</v>
      </c>
      <c r="X49" s="42">
        <v>45716</v>
      </c>
      <c r="Y49" s="108">
        <v>45769</v>
      </c>
      <c r="Z49" s="108">
        <v>45775</v>
      </c>
      <c r="AA49" s="35">
        <f>(AB49-X49)+1</f>
        <v>70</v>
      </c>
      <c r="AB49" s="42">
        <v>45785</v>
      </c>
      <c r="AC49" s="35">
        <f t="shared" si="11"/>
        <v>84</v>
      </c>
      <c r="AD49" s="83" t="s">
        <v>73</v>
      </c>
      <c r="AE49" s="87" t="s">
        <v>47</v>
      </c>
      <c r="AF49" s="87" t="s">
        <v>47</v>
      </c>
      <c r="AG49" s="95" t="s">
        <v>422</v>
      </c>
      <c r="AH49" s="111"/>
      <c r="AI49" s="111"/>
    </row>
    <row r="50" spans="1:35">
      <c r="A50" s="82" t="s">
        <v>62</v>
      </c>
      <c r="B50" s="26" t="s">
        <v>423</v>
      </c>
      <c r="C50" s="183" t="s">
        <v>424</v>
      </c>
      <c r="D50" s="84" t="s">
        <v>425</v>
      </c>
      <c r="E50" s="29" t="s">
        <v>426</v>
      </c>
      <c r="F50" s="85">
        <v>45706</v>
      </c>
      <c r="G50" s="83" t="s">
        <v>427</v>
      </c>
      <c r="H50" s="32" t="s">
        <v>39</v>
      </c>
      <c r="I50" s="33" t="s">
        <v>104</v>
      </c>
      <c r="J50" s="34" t="s">
        <v>428</v>
      </c>
      <c r="K50" s="35" t="s">
        <v>57</v>
      </c>
      <c r="L50" s="35" t="s">
        <v>43</v>
      </c>
      <c r="M50" s="184" t="s">
        <v>429</v>
      </c>
      <c r="N50" s="147" t="s">
        <v>430</v>
      </c>
      <c r="O50" s="97" t="s">
        <v>431</v>
      </c>
      <c r="P50" s="104" t="s">
        <v>432</v>
      </c>
      <c r="Q50" s="98">
        <v>45713</v>
      </c>
      <c r="R50" s="118">
        <v>45714</v>
      </c>
      <c r="S50" s="39">
        <f t="shared" si="5"/>
        <v>9</v>
      </c>
      <c r="T50" s="105">
        <v>45716</v>
      </c>
      <c r="U50" s="35">
        <f t="shared" si="9"/>
        <v>3</v>
      </c>
      <c r="V50" s="92" t="s">
        <v>72</v>
      </c>
      <c r="W50" s="42">
        <v>45734</v>
      </c>
      <c r="X50" s="42">
        <v>45734</v>
      </c>
      <c r="Y50" s="41" t="s">
        <v>47</v>
      </c>
      <c r="Z50" s="41" t="s">
        <v>47</v>
      </c>
      <c r="AA50" s="35">
        <f t="shared" ref="AA50:AA51" si="19">IFERROR((AB50-X50)+1,"ABC")</f>
        <v>338</v>
      </c>
      <c r="AB50" s="42">
        <v>46071</v>
      </c>
      <c r="AC50" s="35">
        <f t="shared" si="11"/>
        <v>366</v>
      </c>
      <c r="AD50" s="83" t="s">
        <v>49</v>
      </c>
      <c r="AE50" s="87" t="s">
        <v>47</v>
      </c>
      <c r="AF50" s="87" t="s">
        <v>47</v>
      </c>
      <c r="AG50" s="95" t="s">
        <v>433</v>
      </c>
      <c r="AH50" s="109"/>
      <c r="AI50" s="109"/>
    </row>
    <row r="51" spans="1:35">
      <c r="A51" s="82" t="s">
        <v>123</v>
      </c>
      <c r="B51" s="26" t="s">
        <v>47</v>
      </c>
      <c r="C51" s="83" t="s">
        <v>63</v>
      </c>
      <c r="D51" s="181" t="s">
        <v>434</v>
      </c>
      <c r="E51" s="29" t="s">
        <v>435</v>
      </c>
      <c r="F51" s="85">
        <v>45707</v>
      </c>
      <c r="G51" s="152" t="s">
        <v>436</v>
      </c>
      <c r="H51" s="32" t="s">
        <v>39</v>
      </c>
      <c r="I51" s="33" t="s">
        <v>104</v>
      </c>
      <c r="J51" s="34" t="s">
        <v>41</v>
      </c>
      <c r="K51" s="35" t="s">
        <v>80</v>
      </c>
      <c r="L51" s="35" t="s">
        <v>374</v>
      </c>
      <c r="M51" s="57" t="s">
        <v>437</v>
      </c>
      <c r="N51" s="87" t="s">
        <v>438</v>
      </c>
      <c r="O51" s="97" t="s">
        <v>282</v>
      </c>
      <c r="P51" s="104" t="s">
        <v>47</v>
      </c>
      <c r="Q51" s="98">
        <v>45713</v>
      </c>
      <c r="R51" s="39" t="s">
        <v>47</v>
      </c>
      <c r="S51" s="39" t="str">
        <f t="shared" si="5"/>
        <v>ABC</v>
      </c>
      <c r="T51" s="105">
        <v>45716</v>
      </c>
      <c r="U51" s="35" t="str">
        <f t="shared" si="9"/>
        <v>ABC</v>
      </c>
      <c r="V51" s="92" t="s">
        <v>72</v>
      </c>
      <c r="W51" s="42">
        <v>45734</v>
      </c>
      <c r="X51" s="42">
        <v>45734</v>
      </c>
      <c r="Y51" s="41" t="s">
        <v>47</v>
      </c>
      <c r="Z51" s="41" t="s">
        <v>47</v>
      </c>
      <c r="AA51" s="35" t="str">
        <f t="shared" si="19"/>
        <v>ABC</v>
      </c>
      <c r="AB51" s="35" t="s">
        <v>47</v>
      </c>
      <c r="AC51" s="35" t="str">
        <f t="shared" si="11"/>
        <v>ABC</v>
      </c>
      <c r="AD51" s="83" t="s">
        <v>73</v>
      </c>
      <c r="AE51" s="87" t="s">
        <v>47</v>
      </c>
      <c r="AF51" s="87" t="s">
        <v>47</v>
      </c>
      <c r="AG51" s="95" t="s">
        <v>439</v>
      </c>
      <c r="AH51" s="51"/>
      <c r="AI51" s="51"/>
    </row>
    <row r="52" spans="1:35">
      <c r="A52" s="101" t="s">
        <v>246</v>
      </c>
      <c r="B52" s="62" t="s">
        <v>440</v>
      </c>
      <c r="C52" s="83" t="s">
        <v>63</v>
      </c>
      <c r="D52" s="185" t="s">
        <v>441</v>
      </c>
      <c r="E52" s="29" t="s">
        <v>442</v>
      </c>
      <c r="F52" s="85">
        <v>45708</v>
      </c>
      <c r="G52" s="86" t="s">
        <v>443</v>
      </c>
      <c r="H52" s="32" t="s">
        <v>175</v>
      </c>
      <c r="I52" s="33" t="s">
        <v>40</v>
      </c>
      <c r="J52" s="34" t="s">
        <v>41</v>
      </c>
      <c r="K52" s="35" t="s">
        <v>80</v>
      </c>
      <c r="L52" s="35" t="s">
        <v>43</v>
      </c>
      <c r="M52" s="45" t="s">
        <v>444</v>
      </c>
      <c r="N52" s="87" t="s">
        <v>445</v>
      </c>
      <c r="O52" s="97" t="s">
        <v>446</v>
      </c>
      <c r="P52" s="104" t="s">
        <v>447</v>
      </c>
      <c r="Q52" s="90">
        <v>45713</v>
      </c>
      <c r="R52" s="39" t="s">
        <v>47</v>
      </c>
      <c r="S52" s="39" t="str">
        <f t="shared" si="5"/>
        <v>ABC</v>
      </c>
      <c r="T52" s="186">
        <v>45716</v>
      </c>
      <c r="U52" s="35" t="str">
        <f t="shared" si="9"/>
        <v>ABC</v>
      </c>
      <c r="V52" s="92" t="s">
        <v>72</v>
      </c>
      <c r="W52" s="94">
        <v>45716</v>
      </c>
      <c r="X52" s="94">
        <v>45734</v>
      </c>
      <c r="Y52" s="41" t="s">
        <v>47</v>
      </c>
      <c r="Z52" s="41" t="s">
        <v>47</v>
      </c>
      <c r="AA52" s="35">
        <f t="shared" ref="AA52:AA56" si="20">(AB52-X52)+1</f>
        <v>17</v>
      </c>
      <c r="AB52" s="94">
        <v>45750</v>
      </c>
      <c r="AC52" s="35">
        <f t="shared" si="11"/>
        <v>43</v>
      </c>
      <c r="AD52" s="83" t="s">
        <v>73</v>
      </c>
      <c r="AE52" s="87" t="s">
        <v>47</v>
      </c>
      <c r="AF52" s="87" t="s">
        <v>47</v>
      </c>
      <c r="AG52" s="95" t="s">
        <v>448</v>
      </c>
      <c r="AH52" s="51"/>
      <c r="AI52" s="51"/>
    </row>
    <row r="53" spans="1:35">
      <c r="A53" s="86" t="s">
        <v>246</v>
      </c>
      <c r="B53" s="62" t="s">
        <v>449</v>
      </c>
      <c r="C53" s="83" t="s">
        <v>63</v>
      </c>
      <c r="D53" s="187" t="s">
        <v>450</v>
      </c>
      <c r="E53" s="29" t="s">
        <v>451</v>
      </c>
      <c r="F53" s="85">
        <v>45712</v>
      </c>
      <c r="G53" s="86" t="s">
        <v>452</v>
      </c>
      <c r="H53" s="32" t="s">
        <v>119</v>
      </c>
      <c r="I53" s="33" t="s">
        <v>40</v>
      </c>
      <c r="J53" s="34" t="s">
        <v>41</v>
      </c>
      <c r="K53" s="35" t="s">
        <v>80</v>
      </c>
      <c r="L53" s="35" t="s">
        <v>453</v>
      </c>
      <c r="M53" s="57" t="s">
        <v>454</v>
      </c>
      <c r="N53" s="87" t="s">
        <v>455</v>
      </c>
      <c r="O53" s="97" t="s">
        <v>456</v>
      </c>
      <c r="P53" s="104" t="s">
        <v>457</v>
      </c>
      <c r="Q53" s="98">
        <v>45713</v>
      </c>
      <c r="R53" s="39" t="s">
        <v>47</v>
      </c>
      <c r="S53" s="39" t="str">
        <f t="shared" si="5"/>
        <v>ABC</v>
      </c>
      <c r="T53" s="60">
        <v>45754</v>
      </c>
      <c r="U53" s="35" t="str">
        <f t="shared" si="9"/>
        <v>ABC</v>
      </c>
      <c r="V53" s="92" t="s">
        <v>97</v>
      </c>
      <c r="W53" s="42">
        <v>45707</v>
      </c>
      <c r="X53" s="42">
        <v>45761</v>
      </c>
      <c r="Y53" s="41" t="s">
        <v>47</v>
      </c>
      <c r="Z53" s="41" t="s">
        <v>47</v>
      </c>
      <c r="AA53" s="35">
        <f t="shared" si="20"/>
        <v>49</v>
      </c>
      <c r="AB53" s="42">
        <v>45809</v>
      </c>
      <c r="AC53" s="35">
        <f t="shared" si="11"/>
        <v>98</v>
      </c>
      <c r="AD53" s="83" t="s">
        <v>73</v>
      </c>
      <c r="AE53" s="87" t="s">
        <v>47</v>
      </c>
      <c r="AF53" s="87" t="s">
        <v>47</v>
      </c>
      <c r="AG53" s="95" t="s">
        <v>458</v>
      </c>
      <c r="AH53" s="109"/>
      <c r="AI53" s="109"/>
    </row>
    <row r="54" spans="1:35">
      <c r="A54" s="188" t="s">
        <v>62</v>
      </c>
      <c r="B54" s="189" t="s">
        <v>459</v>
      </c>
      <c r="C54" s="131" t="s">
        <v>63</v>
      </c>
      <c r="D54" s="190" t="s">
        <v>460</v>
      </c>
      <c r="E54" s="29" t="s">
        <v>461</v>
      </c>
      <c r="F54" s="191">
        <v>45712</v>
      </c>
      <c r="G54" s="188" t="s">
        <v>462</v>
      </c>
      <c r="H54" s="32" t="s">
        <v>175</v>
      </c>
      <c r="I54" s="33" t="s">
        <v>40</v>
      </c>
      <c r="J54" s="132" t="s">
        <v>41</v>
      </c>
      <c r="K54" s="133" t="s">
        <v>80</v>
      </c>
      <c r="L54" s="133" t="s">
        <v>43</v>
      </c>
      <c r="M54" s="54" t="s">
        <v>463</v>
      </c>
      <c r="N54" s="192" t="s">
        <v>464</v>
      </c>
      <c r="O54" s="97" t="s">
        <v>465</v>
      </c>
      <c r="P54" s="193" t="s">
        <v>466</v>
      </c>
      <c r="Q54" s="118">
        <v>45713</v>
      </c>
      <c r="R54" s="118">
        <v>45714</v>
      </c>
      <c r="S54" s="39">
        <f t="shared" si="5"/>
        <v>3</v>
      </c>
      <c r="T54" s="194">
        <v>45716</v>
      </c>
      <c r="U54" s="35">
        <f t="shared" si="9"/>
        <v>3</v>
      </c>
      <c r="V54" s="137" t="s">
        <v>72</v>
      </c>
      <c r="W54" s="138">
        <v>45734</v>
      </c>
      <c r="X54" s="138">
        <v>45734</v>
      </c>
      <c r="Y54" s="140" t="s">
        <v>47</v>
      </c>
      <c r="Z54" s="140" t="s">
        <v>47</v>
      </c>
      <c r="AA54" s="133">
        <f t="shared" si="20"/>
        <v>17</v>
      </c>
      <c r="AB54" s="138">
        <v>45750</v>
      </c>
      <c r="AC54" s="35">
        <f t="shared" si="11"/>
        <v>39</v>
      </c>
      <c r="AD54" s="131" t="s">
        <v>73</v>
      </c>
      <c r="AE54" s="192" t="s">
        <v>47</v>
      </c>
      <c r="AF54" s="192" t="s">
        <v>47</v>
      </c>
      <c r="AG54" s="195" t="s">
        <v>467</v>
      </c>
      <c r="AH54" s="141"/>
      <c r="AI54" s="141"/>
    </row>
    <row r="55" spans="1:35">
      <c r="A55" s="82" t="s">
        <v>62</v>
      </c>
      <c r="B55" s="62">
        <v>45962</v>
      </c>
      <c r="C55" s="83" t="s">
        <v>63</v>
      </c>
      <c r="D55" s="196" t="s">
        <v>468</v>
      </c>
      <c r="E55" s="29" t="s">
        <v>469</v>
      </c>
      <c r="F55" s="85">
        <v>45715</v>
      </c>
      <c r="G55" s="83" t="s">
        <v>470</v>
      </c>
      <c r="H55" s="32" t="s">
        <v>119</v>
      </c>
      <c r="I55" s="33" t="s">
        <v>104</v>
      </c>
      <c r="J55" s="34" t="s">
        <v>41</v>
      </c>
      <c r="K55" s="35" t="s">
        <v>80</v>
      </c>
      <c r="L55" s="35" t="s">
        <v>132</v>
      </c>
      <c r="M55" s="57" t="s">
        <v>471</v>
      </c>
      <c r="N55" s="87" t="s">
        <v>472</v>
      </c>
      <c r="O55" s="97" t="s">
        <v>473</v>
      </c>
      <c r="P55" s="83" t="s">
        <v>47</v>
      </c>
      <c r="Q55" s="98">
        <v>45722</v>
      </c>
      <c r="R55" s="39" t="s">
        <v>47</v>
      </c>
      <c r="S55" s="39" t="str">
        <f t="shared" si="5"/>
        <v>ABC</v>
      </c>
      <c r="T55" s="91">
        <v>45728</v>
      </c>
      <c r="U55" s="35" t="str">
        <f t="shared" si="9"/>
        <v>ABC</v>
      </c>
      <c r="V55" s="92" t="s">
        <v>72</v>
      </c>
      <c r="W55" s="42">
        <v>45743</v>
      </c>
      <c r="X55" s="42">
        <v>45744</v>
      </c>
      <c r="Y55" s="41" t="s">
        <v>47</v>
      </c>
      <c r="Z55" s="41" t="s">
        <v>47</v>
      </c>
      <c r="AA55" s="35">
        <f t="shared" si="20"/>
        <v>26</v>
      </c>
      <c r="AB55" s="42">
        <v>45769</v>
      </c>
      <c r="AC55" s="35">
        <f t="shared" si="11"/>
        <v>55</v>
      </c>
      <c r="AD55" s="83" t="s">
        <v>73</v>
      </c>
      <c r="AE55" s="87" t="s">
        <v>47</v>
      </c>
      <c r="AF55" s="87" t="s">
        <v>47</v>
      </c>
      <c r="AG55" s="95" t="s">
        <v>474</v>
      </c>
      <c r="AH55" s="109"/>
      <c r="AI55" s="109"/>
    </row>
    <row r="56" spans="1:35">
      <c r="A56" s="82" t="s">
        <v>62</v>
      </c>
      <c r="B56" s="26" t="s">
        <v>47</v>
      </c>
      <c r="C56" s="83" t="s">
        <v>63</v>
      </c>
      <c r="D56" s="84" t="s">
        <v>475</v>
      </c>
      <c r="E56" s="197" t="s">
        <v>476</v>
      </c>
      <c r="F56" s="85">
        <v>45733</v>
      </c>
      <c r="G56" s="83" t="s">
        <v>477</v>
      </c>
      <c r="H56" s="32" t="s">
        <v>119</v>
      </c>
      <c r="I56" s="33" t="s">
        <v>40</v>
      </c>
      <c r="J56" s="34" t="s">
        <v>41</v>
      </c>
      <c r="K56" s="35" t="s">
        <v>80</v>
      </c>
      <c r="L56" s="35" t="s">
        <v>68</v>
      </c>
      <c r="M56" s="57" t="s">
        <v>478</v>
      </c>
      <c r="N56" s="87" t="s">
        <v>479</v>
      </c>
      <c r="O56" s="97" t="s">
        <v>480</v>
      </c>
      <c r="P56" s="104" t="s">
        <v>47</v>
      </c>
      <c r="Q56" s="98">
        <v>45733</v>
      </c>
      <c r="R56" s="39" t="s">
        <v>47</v>
      </c>
      <c r="S56" s="39" t="str">
        <f t="shared" si="5"/>
        <v>ABC</v>
      </c>
      <c r="T56" s="60">
        <v>45737</v>
      </c>
      <c r="U56" s="35" t="str">
        <f t="shared" si="9"/>
        <v>ABC</v>
      </c>
      <c r="V56" s="92" t="s">
        <v>72</v>
      </c>
      <c r="W56" s="42">
        <v>45743</v>
      </c>
      <c r="X56" s="42">
        <v>45744</v>
      </c>
      <c r="Y56" s="41" t="s">
        <v>47</v>
      </c>
      <c r="Z56" s="41" t="s">
        <v>47</v>
      </c>
      <c r="AA56" s="35">
        <f t="shared" si="20"/>
        <v>52</v>
      </c>
      <c r="AB56" s="42">
        <v>45795</v>
      </c>
      <c r="AC56" s="35">
        <f t="shared" si="11"/>
        <v>63</v>
      </c>
      <c r="AD56" s="83" t="s">
        <v>73</v>
      </c>
      <c r="AE56" s="87" t="s">
        <v>47</v>
      </c>
      <c r="AF56" s="87" t="s">
        <v>47</v>
      </c>
      <c r="AG56" s="95" t="s">
        <v>481</v>
      </c>
      <c r="AH56" s="111"/>
      <c r="AI56" s="111"/>
    </row>
    <row r="57" spans="1:35">
      <c r="A57" s="82" t="s">
        <v>123</v>
      </c>
      <c r="B57" s="26" t="s">
        <v>47</v>
      </c>
      <c r="C57" s="83" t="s">
        <v>63</v>
      </c>
      <c r="D57" s="84" t="s">
        <v>482</v>
      </c>
      <c r="E57" s="197" t="s">
        <v>483</v>
      </c>
      <c r="F57" s="85">
        <v>45733</v>
      </c>
      <c r="G57" s="86" t="s">
        <v>484</v>
      </c>
      <c r="H57" s="32" t="s">
        <v>39</v>
      </c>
      <c r="I57" s="33" t="s">
        <v>104</v>
      </c>
      <c r="J57" s="34" t="s">
        <v>41</v>
      </c>
      <c r="K57" s="35" t="s">
        <v>57</v>
      </c>
      <c r="L57" s="35" t="s">
        <v>374</v>
      </c>
      <c r="M57" s="45" t="s">
        <v>485</v>
      </c>
      <c r="N57" s="87" t="s">
        <v>486</v>
      </c>
      <c r="O57" s="97" t="s">
        <v>487</v>
      </c>
      <c r="P57" s="104" t="s">
        <v>164</v>
      </c>
      <c r="Q57" s="98">
        <v>45733</v>
      </c>
      <c r="R57" s="39" t="s">
        <v>47</v>
      </c>
      <c r="S57" s="39" t="str">
        <f t="shared" si="5"/>
        <v>ABC</v>
      </c>
      <c r="T57" s="105">
        <v>45748</v>
      </c>
      <c r="U57" s="35" t="str">
        <f t="shared" si="9"/>
        <v>ABC</v>
      </c>
      <c r="V57" s="92" t="s">
        <v>97</v>
      </c>
      <c r="W57" s="42">
        <v>45760</v>
      </c>
      <c r="X57" s="42">
        <v>45761</v>
      </c>
      <c r="Y57" s="41" t="s">
        <v>47</v>
      </c>
      <c r="Z57" s="41" t="s">
        <v>47</v>
      </c>
      <c r="AA57" s="35" t="str">
        <f t="shared" ref="AA57:AA58" si="21">IFERROR((AB57-X57)+1,"ABC")</f>
        <v>ABC</v>
      </c>
      <c r="AB57" s="35" t="s">
        <v>47</v>
      </c>
      <c r="AC57" s="35" t="str">
        <f t="shared" si="11"/>
        <v>ABC</v>
      </c>
      <c r="AD57" s="83" t="s">
        <v>63</v>
      </c>
      <c r="AE57" s="87" t="s">
        <v>47</v>
      </c>
      <c r="AF57" s="87" t="s">
        <v>47</v>
      </c>
      <c r="AG57" s="83" t="s">
        <v>47</v>
      </c>
      <c r="AH57" s="111"/>
      <c r="AI57" s="111"/>
    </row>
    <row r="58" spans="1:35" ht="54.75" customHeight="1">
      <c r="A58" s="82" t="s">
        <v>320</v>
      </c>
      <c r="B58" s="26" t="s">
        <v>47</v>
      </c>
      <c r="C58" s="83" t="s">
        <v>63</v>
      </c>
      <c r="D58" s="84" t="s">
        <v>488</v>
      </c>
      <c r="E58" s="197" t="s">
        <v>489</v>
      </c>
      <c r="F58" s="85">
        <v>45750</v>
      </c>
      <c r="G58" s="83" t="s">
        <v>490</v>
      </c>
      <c r="H58" s="32" t="s">
        <v>56</v>
      </c>
      <c r="I58" s="198" t="s">
        <v>104</v>
      </c>
      <c r="J58" s="34" t="s">
        <v>491</v>
      </c>
      <c r="K58" s="35" t="s">
        <v>42</v>
      </c>
      <c r="L58" s="35" t="s">
        <v>492</v>
      </c>
      <c r="M58" s="45" t="s">
        <v>493</v>
      </c>
      <c r="N58" s="147"/>
      <c r="O58" s="148" t="s">
        <v>494</v>
      </c>
      <c r="P58" s="83" t="s">
        <v>495</v>
      </c>
      <c r="Q58" s="98">
        <v>45750</v>
      </c>
      <c r="R58" s="118">
        <v>45754</v>
      </c>
      <c r="S58" s="39">
        <f t="shared" si="5"/>
        <v>5</v>
      </c>
      <c r="T58" s="83" t="s">
        <v>496</v>
      </c>
      <c r="U58" s="35" t="str">
        <f t="shared" si="9"/>
        <v>ABC</v>
      </c>
      <c r="V58" s="92" t="s">
        <v>497</v>
      </c>
      <c r="W58" s="35" t="s">
        <v>47</v>
      </c>
      <c r="X58" s="35" t="s">
        <v>47</v>
      </c>
      <c r="Y58" s="41" t="s">
        <v>47</v>
      </c>
      <c r="Z58" s="41" t="s">
        <v>47</v>
      </c>
      <c r="AA58" s="35" t="str">
        <f t="shared" si="21"/>
        <v>ABC</v>
      </c>
      <c r="AB58" s="35" t="s">
        <v>47</v>
      </c>
      <c r="AC58" s="35" t="str">
        <f t="shared" si="11"/>
        <v>ABC</v>
      </c>
      <c r="AD58" s="83" t="s">
        <v>49</v>
      </c>
      <c r="AE58" s="87" t="s">
        <v>47</v>
      </c>
      <c r="AF58" s="87" t="s">
        <v>47</v>
      </c>
      <c r="AG58" s="87" t="s">
        <v>47</v>
      </c>
      <c r="AH58" s="109"/>
      <c r="AI58" s="109"/>
    </row>
    <row r="59" spans="1:35">
      <c r="A59" s="49" t="s">
        <v>62</v>
      </c>
      <c r="B59" s="26" t="s">
        <v>498</v>
      </c>
      <c r="C59" s="83" t="s">
        <v>63</v>
      </c>
      <c r="D59" s="199" t="s">
        <v>499</v>
      </c>
      <c r="E59" s="197" t="s">
        <v>500</v>
      </c>
      <c r="F59" s="85">
        <v>45754</v>
      </c>
      <c r="G59" s="200" t="s">
        <v>501</v>
      </c>
      <c r="H59" s="32" t="s">
        <v>39</v>
      </c>
      <c r="I59" s="33" t="s">
        <v>104</v>
      </c>
      <c r="J59" s="34" t="s">
        <v>41</v>
      </c>
      <c r="K59" s="35" t="s">
        <v>80</v>
      </c>
      <c r="L59" s="35" t="s">
        <v>68</v>
      </c>
      <c r="M59" s="45" t="s">
        <v>502</v>
      </c>
      <c r="N59" s="87" t="s">
        <v>503</v>
      </c>
      <c r="O59" s="97" t="s">
        <v>504</v>
      </c>
      <c r="P59" s="83" t="s">
        <v>505</v>
      </c>
      <c r="Q59" s="98">
        <v>45756</v>
      </c>
      <c r="R59" s="39" t="s">
        <v>47</v>
      </c>
      <c r="S59" s="39" t="str">
        <f t="shared" si="5"/>
        <v>ABC</v>
      </c>
      <c r="T59" s="91">
        <v>45763</v>
      </c>
      <c r="U59" s="35" t="str">
        <f t="shared" si="9"/>
        <v>ABC</v>
      </c>
      <c r="V59" s="92" t="s">
        <v>97</v>
      </c>
      <c r="W59" s="42">
        <v>45776</v>
      </c>
      <c r="X59" s="42">
        <v>45777</v>
      </c>
      <c r="Y59" s="41" t="s">
        <v>84</v>
      </c>
      <c r="Z59" s="41" t="s">
        <v>84</v>
      </c>
      <c r="AA59" s="35">
        <f t="shared" ref="AA59:AA60" si="22">(AB59-X59)+1</f>
        <v>33</v>
      </c>
      <c r="AB59" s="42">
        <v>45809</v>
      </c>
      <c r="AC59" s="35">
        <f t="shared" si="11"/>
        <v>56</v>
      </c>
      <c r="AD59" s="83" t="s">
        <v>63</v>
      </c>
      <c r="AE59" s="87" t="s">
        <v>47</v>
      </c>
      <c r="AF59" s="87" t="s">
        <v>47</v>
      </c>
      <c r="AG59" s="95" t="s">
        <v>506</v>
      </c>
      <c r="AH59" s="51"/>
      <c r="AI59" s="51"/>
    </row>
    <row r="60" spans="1:35">
      <c r="A60" s="82" t="s">
        <v>246</v>
      </c>
      <c r="B60" s="62" t="s">
        <v>507</v>
      </c>
      <c r="C60" s="83" t="s">
        <v>63</v>
      </c>
      <c r="D60" s="201" t="s">
        <v>508</v>
      </c>
      <c r="E60" s="197" t="s">
        <v>509</v>
      </c>
      <c r="F60" s="85">
        <v>45754</v>
      </c>
      <c r="G60" s="83" t="s">
        <v>510</v>
      </c>
      <c r="H60" s="32" t="s">
        <v>39</v>
      </c>
      <c r="I60" s="33" t="s">
        <v>104</v>
      </c>
      <c r="J60" s="34" t="s">
        <v>41</v>
      </c>
      <c r="K60" s="35" t="s">
        <v>80</v>
      </c>
      <c r="L60" s="35" t="s">
        <v>92</v>
      </c>
      <c r="M60" s="45" t="s">
        <v>511</v>
      </c>
      <c r="N60" s="147" t="s">
        <v>512</v>
      </c>
      <c r="O60" s="97" t="s">
        <v>513</v>
      </c>
      <c r="P60" s="83" t="s">
        <v>514</v>
      </c>
      <c r="Q60" s="98">
        <v>45756</v>
      </c>
      <c r="R60" s="39" t="s">
        <v>47</v>
      </c>
      <c r="S60" s="39" t="str">
        <f t="shared" si="5"/>
        <v>ABC</v>
      </c>
      <c r="T60" s="91">
        <v>45762</v>
      </c>
      <c r="U60" s="35" t="str">
        <f t="shared" si="9"/>
        <v>ABC</v>
      </c>
      <c r="V60" s="92" t="s">
        <v>72</v>
      </c>
      <c r="W60" s="42">
        <v>45776</v>
      </c>
      <c r="X60" s="42">
        <v>45777</v>
      </c>
      <c r="Y60" s="41" t="s">
        <v>84</v>
      </c>
      <c r="Z60" s="41" t="s">
        <v>84</v>
      </c>
      <c r="AA60" s="35">
        <f t="shared" si="22"/>
        <v>38</v>
      </c>
      <c r="AB60" s="42">
        <v>45814</v>
      </c>
      <c r="AC60" s="35">
        <f t="shared" si="11"/>
        <v>61</v>
      </c>
      <c r="AD60" s="83" t="s">
        <v>73</v>
      </c>
      <c r="AE60" s="87" t="s">
        <v>47</v>
      </c>
      <c r="AF60" s="87" t="s">
        <v>47</v>
      </c>
      <c r="AG60" s="95" t="s">
        <v>515</v>
      </c>
      <c r="AH60" s="111"/>
      <c r="AI60" s="111"/>
    </row>
    <row r="61" spans="1:35" ht="82.5" customHeight="1">
      <c r="A61" s="49" t="s">
        <v>62</v>
      </c>
      <c r="B61" s="26" t="s">
        <v>516</v>
      </c>
      <c r="C61" s="83" t="s">
        <v>33</v>
      </c>
      <c r="D61" s="103" t="s">
        <v>517</v>
      </c>
      <c r="E61" s="197" t="s">
        <v>518</v>
      </c>
      <c r="F61" s="85">
        <v>45771</v>
      </c>
      <c r="G61" s="200" t="s">
        <v>519</v>
      </c>
      <c r="H61" s="32" t="s">
        <v>39</v>
      </c>
      <c r="I61" s="33" t="s">
        <v>104</v>
      </c>
      <c r="J61" s="34" t="s">
        <v>41</v>
      </c>
      <c r="K61" s="35" t="s">
        <v>520</v>
      </c>
      <c r="L61" s="35" t="s">
        <v>366</v>
      </c>
      <c r="M61" s="45" t="s">
        <v>521</v>
      </c>
      <c r="N61" s="87">
        <v>2025</v>
      </c>
      <c r="O61" s="88" t="s">
        <v>522</v>
      </c>
      <c r="P61" s="202" t="s">
        <v>47</v>
      </c>
      <c r="Q61" s="47" t="s">
        <v>47</v>
      </c>
      <c r="R61" s="39" t="s">
        <v>47</v>
      </c>
      <c r="S61" s="39" t="str">
        <f t="shared" si="5"/>
        <v>ABC</v>
      </c>
      <c r="T61" s="86" t="s">
        <v>84</v>
      </c>
      <c r="U61" s="35" t="str">
        <f t="shared" si="9"/>
        <v>ABC</v>
      </c>
      <c r="V61" s="92"/>
      <c r="W61" s="49" t="s">
        <v>47</v>
      </c>
      <c r="X61" s="49" t="s">
        <v>47</v>
      </c>
      <c r="Y61" s="41" t="s">
        <v>84</v>
      </c>
      <c r="Z61" s="41" t="s">
        <v>84</v>
      </c>
      <c r="AA61" s="35" t="str">
        <f>IFERROR((AB61-X61)+1,"ABC")</f>
        <v>ABC</v>
      </c>
      <c r="AB61" s="94">
        <v>45702</v>
      </c>
      <c r="AC61" s="35">
        <f t="shared" si="11"/>
        <v>-68</v>
      </c>
      <c r="AD61" s="83" t="s">
        <v>49</v>
      </c>
      <c r="AE61" s="95" t="s">
        <v>523</v>
      </c>
      <c r="AF61" s="87" t="s">
        <v>47</v>
      </c>
      <c r="AG61" s="87" t="s">
        <v>47</v>
      </c>
      <c r="AH61" s="51"/>
      <c r="AI61" s="51"/>
    </row>
    <row r="62" spans="1:35">
      <c r="A62" s="128" t="s">
        <v>123</v>
      </c>
      <c r="B62" s="53" t="s">
        <v>47</v>
      </c>
      <c r="C62" s="86" t="s">
        <v>63</v>
      </c>
      <c r="D62" s="84" t="s">
        <v>524</v>
      </c>
      <c r="E62" s="29" t="s">
        <v>525</v>
      </c>
      <c r="F62" s="85">
        <v>45777</v>
      </c>
      <c r="G62" s="203" t="s">
        <v>526</v>
      </c>
      <c r="H62" s="32" t="s">
        <v>119</v>
      </c>
      <c r="I62" s="33" t="s">
        <v>40</v>
      </c>
      <c r="J62" s="115" t="s">
        <v>41</v>
      </c>
      <c r="K62" s="116" t="s">
        <v>80</v>
      </c>
      <c r="L62" s="115" t="s">
        <v>68</v>
      </c>
      <c r="M62" s="54" t="s">
        <v>527</v>
      </c>
      <c r="N62" s="134" t="s">
        <v>47</v>
      </c>
      <c r="O62" s="97" t="s">
        <v>528</v>
      </c>
      <c r="P62" s="114" t="s">
        <v>529</v>
      </c>
      <c r="Q62" s="117">
        <v>45782</v>
      </c>
      <c r="R62" s="118">
        <v>45782</v>
      </c>
      <c r="S62" s="39">
        <f t="shared" si="5"/>
        <v>6</v>
      </c>
      <c r="T62" s="119">
        <v>45817</v>
      </c>
      <c r="U62" s="35">
        <f t="shared" si="9"/>
        <v>36</v>
      </c>
      <c r="V62" s="120" t="s">
        <v>97</v>
      </c>
      <c r="W62" s="121">
        <v>45835</v>
      </c>
      <c r="X62" s="122">
        <v>45838</v>
      </c>
      <c r="Y62" s="129" t="s">
        <v>47</v>
      </c>
      <c r="Z62" s="129" t="s">
        <v>47</v>
      </c>
      <c r="AA62" s="35" t="e">
        <f t="shared" ref="AA62:AA84" si="23">(AB62-X62)+1</f>
        <v>#VALUE!</v>
      </c>
      <c r="AB62" s="116" t="s">
        <v>47</v>
      </c>
      <c r="AC62" s="35" t="str">
        <f t="shared" si="11"/>
        <v>ABC</v>
      </c>
      <c r="AD62" s="114" t="s">
        <v>63</v>
      </c>
      <c r="AE62" s="204" t="s">
        <v>47</v>
      </c>
      <c r="AF62" s="87" t="s">
        <v>47</v>
      </c>
      <c r="AG62" s="95" t="s">
        <v>530</v>
      </c>
      <c r="AH62" s="125"/>
      <c r="AI62" s="125"/>
    </row>
    <row r="63" spans="1:35">
      <c r="A63" s="49" t="s">
        <v>123</v>
      </c>
      <c r="B63" s="53" t="s">
        <v>47</v>
      </c>
      <c r="C63" s="83" t="s">
        <v>63</v>
      </c>
      <c r="D63" s="205" t="s">
        <v>531</v>
      </c>
      <c r="E63" s="197"/>
      <c r="F63" s="85">
        <v>45791</v>
      </c>
      <c r="G63" s="206" t="s">
        <v>532</v>
      </c>
      <c r="H63" s="32" t="s">
        <v>175</v>
      </c>
      <c r="I63" s="33" t="s">
        <v>40</v>
      </c>
      <c r="J63" s="207" t="s">
        <v>41</v>
      </c>
      <c r="K63" s="208" t="s">
        <v>80</v>
      </c>
      <c r="L63" s="208" t="s">
        <v>533</v>
      </c>
      <c r="M63" s="106" t="s">
        <v>534</v>
      </c>
      <c r="N63" s="147" t="s">
        <v>535</v>
      </c>
      <c r="O63" s="97" t="s">
        <v>536</v>
      </c>
      <c r="P63" s="84" t="s">
        <v>537</v>
      </c>
      <c r="Q63" s="98">
        <v>45800</v>
      </c>
      <c r="R63" s="39" t="s">
        <v>47</v>
      </c>
      <c r="S63" s="39" t="str">
        <f t="shared" si="5"/>
        <v>ABC</v>
      </c>
      <c r="T63" s="209">
        <v>45817</v>
      </c>
      <c r="U63" s="35" t="str">
        <f t="shared" si="9"/>
        <v>ABC</v>
      </c>
      <c r="V63" s="210" t="s">
        <v>72</v>
      </c>
      <c r="W63" s="211">
        <v>45823</v>
      </c>
      <c r="X63" s="211">
        <v>45824</v>
      </c>
      <c r="Y63" s="129" t="s">
        <v>47</v>
      </c>
      <c r="Z63" s="129" t="s">
        <v>47</v>
      </c>
      <c r="AA63" s="35" t="e">
        <f t="shared" si="23"/>
        <v>#VALUE!</v>
      </c>
      <c r="AB63" s="208" t="s">
        <v>47</v>
      </c>
      <c r="AC63" s="35" t="str">
        <f t="shared" si="11"/>
        <v>ABC</v>
      </c>
      <c r="AD63" s="84" t="s">
        <v>63</v>
      </c>
      <c r="AE63" s="204" t="s">
        <v>47</v>
      </c>
      <c r="AF63" s="87" t="s">
        <v>47</v>
      </c>
      <c r="AG63" s="95" t="s">
        <v>538</v>
      </c>
      <c r="AH63" s="212"/>
      <c r="AI63" s="212"/>
    </row>
    <row r="64" spans="1:35">
      <c r="A64" s="82" t="s">
        <v>123</v>
      </c>
      <c r="B64" s="53" t="s">
        <v>47</v>
      </c>
      <c r="C64" s="83" t="s">
        <v>63</v>
      </c>
      <c r="D64" s="196" t="s">
        <v>539</v>
      </c>
      <c r="E64" s="197" t="s">
        <v>540</v>
      </c>
      <c r="F64" s="85">
        <v>45393</v>
      </c>
      <c r="G64" s="86" t="s">
        <v>541</v>
      </c>
      <c r="H64" s="32" t="s">
        <v>39</v>
      </c>
      <c r="I64" s="33" t="s">
        <v>104</v>
      </c>
      <c r="J64" s="34" t="s">
        <v>41</v>
      </c>
      <c r="K64" s="35" t="s">
        <v>42</v>
      </c>
      <c r="L64" s="35" t="s">
        <v>68</v>
      </c>
      <c r="M64" s="45" t="s">
        <v>542</v>
      </c>
      <c r="N64" s="87" t="s">
        <v>543</v>
      </c>
      <c r="O64" s="97" t="s">
        <v>544</v>
      </c>
      <c r="P64" s="110" t="s">
        <v>545</v>
      </c>
      <c r="Q64" s="213">
        <v>45581</v>
      </c>
      <c r="R64" s="213">
        <v>45581</v>
      </c>
      <c r="S64" s="39">
        <f>(R64-Q64)+1</f>
        <v>1</v>
      </c>
      <c r="T64" s="91">
        <v>45758</v>
      </c>
      <c r="U64" s="35">
        <f t="shared" si="9"/>
        <v>178</v>
      </c>
      <c r="V64" s="92" t="s">
        <v>47</v>
      </c>
      <c r="W64" s="35" t="s">
        <v>47</v>
      </c>
      <c r="X64" s="35" t="s">
        <v>47</v>
      </c>
      <c r="Y64" s="129" t="s">
        <v>47</v>
      </c>
      <c r="Z64" s="129" t="s">
        <v>47</v>
      </c>
      <c r="AA64" s="35" t="e">
        <f t="shared" si="23"/>
        <v>#VALUE!</v>
      </c>
      <c r="AB64" s="35" t="s">
        <v>47</v>
      </c>
      <c r="AC64" s="35" t="str">
        <f t="shared" si="11"/>
        <v>ABC</v>
      </c>
      <c r="AD64" s="83" t="s">
        <v>49</v>
      </c>
      <c r="AE64" s="204" t="s">
        <v>47</v>
      </c>
      <c r="AF64" s="87" t="s">
        <v>47</v>
      </c>
      <c r="AG64" s="87" t="s">
        <v>47</v>
      </c>
      <c r="AH64" s="111"/>
      <c r="AI64" s="111"/>
    </row>
    <row r="65" spans="1:35">
      <c r="A65" s="86" t="s">
        <v>546</v>
      </c>
      <c r="B65" s="53" t="s">
        <v>47</v>
      </c>
      <c r="C65" s="83" t="s">
        <v>63</v>
      </c>
      <c r="D65" s="84" t="s">
        <v>547</v>
      </c>
      <c r="E65" s="197" t="s">
        <v>548</v>
      </c>
      <c r="F65" s="85">
        <v>45701</v>
      </c>
      <c r="G65" s="83" t="s">
        <v>549</v>
      </c>
      <c r="H65" s="32" t="s">
        <v>56</v>
      </c>
      <c r="I65" s="33" t="s">
        <v>40</v>
      </c>
      <c r="J65" s="34" t="s">
        <v>79</v>
      </c>
      <c r="K65" s="35" t="s">
        <v>80</v>
      </c>
      <c r="L65" s="35" t="s">
        <v>68</v>
      </c>
      <c r="M65" s="45" t="s">
        <v>550</v>
      </c>
      <c r="N65" s="87" t="s">
        <v>551</v>
      </c>
      <c r="O65" s="97" t="s">
        <v>552</v>
      </c>
      <c r="P65" s="214" t="s">
        <v>553</v>
      </c>
      <c r="Q65" s="98">
        <v>45701</v>
      </c>
      <c r="R65" s="39" t="s">
        <v>47</v>
      </c>
      <c r="S65" s="39" t="str">
        <f t="shared" ref="S65:S68" si="24">IFERROR((R65-F65)+1,"ABC")</f>
        <v>ABC</v>
      </c>
      <c r="T65" s="60">
        <v>45777</v>
      </c>
      <c r="U65" s="35" t="str">
        <f t="shared" si="9"/>
        <v>ABC</v>
      </c>
      <c r="V65" s="92" t="s">
        <v>97</v>
      </c>
      <c r="W65" s="35" t="s">
        <v>47</v>
      </c>
      <c r="X65" s="35" t="s">
        <v>47</v>
      </c>
      <c r="Y65" s="41" t="s">
        <v>47</v>
      </c>
      <c r="Z65" s="41" t="s">
        <v>47</v>
      </c>
      <c r="AA65" s="35" t="e">
        <f t="shared" si="23"/>
        <v>#VALUE!</v>
      </c>
      <c r="AB65" s="35" t="s">
        <v>47</v>
      </c>
      <c r="AC65" s="35" t="str">
        <f t="shared" si="11"/>
        <v>ABC</v>
      </c>
      <c r="AD65" s="83" t="s">
        <v>63</v>
      </c>
      <c r="AE65" s="204" t="s">
        <v>47</v>
      </c>
      <c r="AF65" s="87" t="s">
        <v>47</v>
      </c>
      <c r="AG65" s="95" t="s">
        <v>554</v>
      </c>
      <c r="AH65" s="109"/>
      <c r="AI65" s="109"/>
    </row>
    <row r="66" spans="1:35">
      <c r="A66" s="82" t="s">
        <v>62</v>
      </c>
      <c r="B66" s="26">
        <v>2025</v>
      </c>
      <c r="C66" s="83" t="s">
        <v>63</v>
      </c>
      <c r="D66" s="164" t="s">
        <v>555</v>
      </c>
      <c r="E66" s="197" t="s">
        <v>556</v>
      </c>
      <c r="F66" s="85">
        <v>45673</v>
      </c>
      <c r="G66" s="83" t="s">
        <v>557</v>
      </c>
      <c r="H66" s="32" t="s">
        <v>119</v>
      </c>
      <c r="I66" s="33" t="s">
        <v>104</v>
      </c>
      <c r="J66" s="34" t="s">
        <v>41</v>
      </c>
      <c r="K66" s="35" t="s">
        <v>80</v>
      </c>
      <c r="L66" s="35" t="s">
        <v>92</v>
      </c>
      <c r="M66" s="45" t="s">
        <v>63</v>
      </c>
      <c r="N66" s="112" t="s">
        <v>558</v>
      </c>
      <c r="O66" s="88" t="s">
        <v>559</v>
      </c>
      <c r="P66" s="83" t="s">
        <v>47</v>
      </c>
      <c r="Q66" s="98">
        <v>45680</v>
      </c>
      <c r="R66" s="39" t="s">
        <v>47</v>
      </c>
      <c r="S66" s="39" t="str">
        <f t="shared" si="24"/>
        <v>ABC</v>
      </c>
      <c r="T66" s="91">
        <v>45686</v>
      </c>
      <c r="U66" s="35" t="str">
        <f t="shared" si="9"/>
        <v>ABC</v>
      </c>
      <c r="V66" s="92" t="s">
        <v>72</v>
      </c>
      <c r="W66" s="42">
        <v>45693</v>
      </c>
      <c r="X66" s="94">
        <v>45694</v>
      </c>
      <c r="Y66" s="41" t="s">
        <v>47</v>
      </c>
      <c r="Z66" s="129" t="s">
        <v>47</v>
      </c>
      <c r="AA66" s="35">
        <f t="shared" si="23"/>
        <v>30</v>
      </c>
      <c r="AB66" s="42">
        <v>45723</v>
      </c>
      <c r="AC66" s="35">
        <f t="shared" si="11"/>
        <v>51</v>
      </c>
      <c r="AD66" s="83" t="s">
        <v>73</v>
      </c>
      <c r="AE66" s="204" t="s">
        <v>47</v>
      </c>
      <c r="AF66" s="87" t="s">
        <v>47</v>
      </c>
      <c r="AG66" s="95" t="s">
        <v>560</v>
      </c>
      <c r="AH66" s="51"/>
      <c r="AI66" s="51"/>
    </row>
    <row r="67" spans="1:35">
      <c r="A67" s="82" t="s">
        <v>123</v>
      </c>
      <c r="B67" s="26" t="s">
        <v>47</v>
      </c>
      <c r="C67" s="83" t="s">
        <v>63</v>
      </c>
      <c r="D67" s="84" t="s">
        <v>561</v>
      </c>
      <c r="E67" s="197" t="s">
        <v>562</v>
      </c>
      <c r="F67" s="85">
        <v>45804</v>
      </c>
      <c r="G67" s="83" t="s">
        <v>563</v>
      </c>
      <c r="H67" s="32" t="s">
        <v>175</v>
      </c>
      <c r="I67" s="33" t="s">
        <v>104</v>
      </c>
      <c r="J67" s="34" t="s">
        <v>41</v>
      </c>
      <c r="K67" s="35" t="s">
        <v>80</v>
      </c>
      <c r="L67" s="35" t="s">
        <v>132</v>
      </c>
      <c r="M67" s="45" t="s">
        <v>564</v>
      </c>
      <c r="N67" s="87" t="s">
        <v>565</v>
      </c>
      <c r="O67" s="97" t="s">
        <v>566</v>
      </c>
      <c r="P67" s="83" t="s">
        <v>567</v>
      </c>
      <c r="Q67" s="90">
        <v>45811</v>
      </c>
      <c r="R67" s="39" t="s">
        <v>47</v>
      </c>
      <c r="S67" s="39" t="str">
        <f t="shared" si="24"/>
        <v>ABC</v>
      </c>
      <c r="T67" s="83" t="s">
        <v>47</v>
      </c>
      <c r="U67" s="35" t="str">
        <f t="shared" si="9"/>
        <v>ABC</v>
      </c>
      <c r="V67" s="92" t="s">
        <v>72</v>
      </c>
      <c r="W67" s="35" t="s">
        <v>47</v>
      </c>
      <c r="X67" s="49" t="s">
        <v>47</v>
      </c>
      <c r="Y67" s="41" t="s">
        <v>47</v>
      </c>
      <c r="Z67" s="129" t="s">
        <v>47</v>
      </c>
      <c r="AA67" s="35" t="e">
        <f t="shared" si="23"/>
        <v>#VALUE!</v>
      </c>
      <c r="AB67" s="35" t="s">
        <v>47</v>
      </c>
      <c r="AC67" s="35" t="str">
        <f t="shared" si="11"/>
        <v>ABC</v>
      </c>
      <c r="AD67" s="83" t="s">
        <v>63</v>
      </c>
      <c r="AE67" s="204" t="s">
        <v>47</v>
      </c>
      <c r="AF67" s="87" t="s">
        <v>47</v>
      </c>
      <c r="AG67" s="95" t="s">
        <v>568</v>
      </c>
      <c r="AH67" s="51"/>
      <c r="AI67" s="51"/>
    </row>
    <row r="68" spans="1:35">
      <c r="A68" s="86" t="s">
        <v>123</v>
      </c>
      <c r="B68" s="53" t="s">
        <v>47</v>
      </c>
      <c r="C68" s="83" t="s">
        <v>63</v>
      </c>
      <c r="D68" s="84" t="s">
        <v>569</v>
      </c>
      <c r="E68" s="197" t="s">
        <v>570</v>
      </c>
      <c r="F68" s="85">
        <v>45790</v>
      </c>
      <c r="G68" s="83" t="s">
        <v>571</v>
      </c>
      <c r="H68" s="32" t="s">
        <v>39</v>
      </c>
      <c r="I68" s="33" t="s">
        <v>104</v>
      </c>
      <c r="J68" s="34" t="s">
        <v>572</v>
      </c>
      <c r="K68" s="35" t="s">
        <v>42</v>
      </c>
      <c r="L68" s="35" t="s">
        <v>573</v>
      </c>
      <c r="M68" s="45" t="s">
        <v>574</v>
      </c>
      <c r="N68" s="215" t="s">
        <v>575</v>
      </c>
      <c r="O68" s="97" t="s">
        <v>576</v>
      </c>
      <c r="P68" s="104" t="s">
        <v>514</v>
      </c>
      <c r="Q68" s="98">
        <v>45790</v>
      </c>
      <c r="R68" s="39" t="s">
        <v>47</v>
      </c>
      <c r="S68" s="39" t="str">
        <f t="shared" si="24"/>
        <v>ABC</v>
      </c>
      <c r="T68" s="445">
        <v>45846</v>
      </c>
      <c r="U68" s="35" t="str">
        <f t="shared" si="9"/>
        <v>ABC</v>
      </c>
      <c r="V68" s="446" t="s">
        <v>149</v>
      </c>
      <c r="W68" s="118">
        <v>45846</v>
      </c>
      <c r="X68" s="49" t="s">
        <v>47</v>
      </c>
      <c r="Y68" s="447" t="s">
        <v>47</v>
      </c>
      <c r="Z68" s="447" t="s">
        <v>47</v>
      </c>
      <c r="AA68" s="35" t="e">
        <f t="shared" si="23"/>
        <v>#VALUE!</v>
      </c>
      <c r="AB68" s="39" t="s">
        <v>47</v>
      </c>
      <c r="AC68" s="35" t="str">
        <f t="shared" si="11"/>
        <v>ABC</v>
      </c>
      <c r="AD68" s="448" t="s">
        <v>73</v>
      </c>
      <c r="AE68" s="449" t="s">
        <v>47</v>
      </c>
      <c r="AF68" s="87" t="s">
        <v>47</v>
      </c>
      <c r="AG68" s="87" t="s">
        <v>47</v>
      </c>
      <c r="AH68" s="438"/>
      <c r="AI68" s="438"/>
    </row>
    <row r="69" spans="1:35">
      <c r="A69" s="216" t="s">
        <v>62</v>
      </c>
      <c r="B69" s="62" t="s">
        <v>577</v>
      </c>
      <c r="C69" s="83" t="s">
        <v>63</v>
      </c>
      <c r="D69" s="43" t="s">
        <v>578</v>
      </c>
      <c r="E69" s="197" t="s">
        <v>579</v>
      </c>
      <c r="F69" s="85">
        <v>45806</v>
      </c>
      <c r="G69" s="83" t="s">
        <v>580</v>
      </c>
      <c r="H69" s="32" t="s">
        <v>175</v>
      </c>
      <c r="I69" s="33" t="s">
        <v>104</v>
      </c>
      <c r="J69" s="34" t="s">
        <v>41</v>
      </c>
      <c r="K69" s="35" t="s">
        <v>80</v>
      </c>
      <c r="L69" s="35" t="s">
        <v>43</v>
      </c>
      <c r="M69" s="45" t="s">
        <v>581</v>
      </c>
      <c r="N69" s="87" t="s">
        <v>582</v>
      </c>
      <c r="O69" s="97" t="s">
        <v>583</v>
      </c>
      <c r="P69" s="87" t="s">
        <v>584</v>
      </c>
      <c r="Q69" s="98">
        <v>45811</v>
      </c>
      <c r="R69" s="98">
        <v>45811</v>
      </c>
      <c r="S69" s="39">
        <f t="shared" ref="S69:S70" si="25">(R69-F69)+1</f>
        <v>6</v>
      </c>
      <c r="T69" s="217">
        <v>45832</v>
      </c>
      <c r="U69" s="35">
        <f t="shared" si="9"/>
        <v>22</v>
      </c>
      <c r="V69" s="112" t="s">
        <v>304</v>
      </c>
      <c r="W69" s="42">
        <v>45835</v>
      </c>
      <c r="X69" s="35" t="s">
        <v>47</v>
      </c>
      <c r="Y69" s="41" t="s">
        <v>47</v>
      </c>
      <c r="Z69" s="41" t="s">
        <v>47</v>
      </c>
      <c r="AA69" s="35" t="e">
        <f t="shared" si="23"/>
        <v>#VALUE!</v>
      </c>
      <c r="AB69" s="35">
        <v>45848</v>
      </c>
      <c r="AC69" s="35">
        <f t="shared" si="11"/>
        <v>43</v>
      </c>
      <c r="AD69" s="83" t="s">
        <v>73</v>
      </c>
      <c r="AE69" s="95"/>
      <c r="AF69" s="87" t="s">
        <v>47</v>
      </c>
      <c r="AG69" s="95" t="s">
        <v>585</v>
      </c>
      <c r="AH69" s="51"/>
      <c r="AI69" s="51"/>
    </row>
    <row r="70" spans="1:35">
      <c r="A70" s="216" t="s">
        <v>62</v>
      </c>
      <c r="B70" s="62" t="s">
        <v>586</v>
      </c>
      <c r="C70" s="83" t="s">
        <v>63</v>
      </c>
      <c r="D70" s="177" t="s">
        <v>587</v>
      </c>
      <c r="E70" s="197" t="s">
        <v>588</v>
      </c>
      <c r="F70" s="85">
        <v>45807</v>
      </c>
      <c r="G70" s="83" t="s">
        <v>589</v>
      </c>
      <c r="H70" s="32" t="s">
        <v>39</v>
      </c>
      <c r="I70" s="33" t="s">
        <v>104</v>
      </c>
      <c r="J70" s="34" t="s">
        <v>41</v>
      </c>
      <c r="K70" s="35" t="s">
        <v>42</v>
      </c>
      <c r="L70" s="35" t="s">
        <v>43</v>
      </c>
      <c r="M70" s="45" t="s">
        <v>590</v>
      </c>
      <c r="N70" s="87" t="s">
        <v>591</v>
      </c>
      <c r="O70" s="97" t="s">
        <v>592</v>
      </c>
      <c r="P70" s="86" t="s">
        <v>47</v>
      </c>
      <c r="Q70" s="98">
        <v>45811</v>
      </c>
      <c r="R70" s="98">
        <v>45811</v>
      </c>
      <c r="S70" s="39">
        <f t="shared" si="25"/>
        <v>5</v>
      </c>
      <c r="T70" s="105">
        <v>45817</v>
      </c>
      <c r="U70" s="35">
        <f t="shared" si="9"/>
        <v>7</v>
      </c>
      <c r="V70" s="92" t="s">
        <v>72</v>
      </c>
      <c r="W70" s="42">
        <v>45824</v>
      </c>
      <c r="X70" s="42">
        <v>45825</v>
      </c>
      <c r="Y70" s="41" t="s">
        <v>47</v>
      </c>
      <c r="Z70" s="41" t="s">
        <v>47</v>
      </c>
      <c r="AA70" s="35">
        <f t="shared" si="23"/>
        <v>11</v>
      </c>
      <c r="AB70" s="42">
        <v>45835</v>
      </c>
      <c r="AC70" s="35">
        <f t="shared" si="11"/>
        <v>29</v>
      </c>
      <c r="AD70" s="83" t="s">
        <v>49</v>
      </c>
      <c r="AE70" s="95" t="s">
        <v>47</v>
      </c>
      <c r="AF70" s="87" t="s">
        <v>47</v>
      </c>
      <c r="AG70" s="87" t="s">
        <v>47</v>
      </c>
      <c r="AH70" s="51"/>
      <c r="AI70" s="51"/>
    </row>
    <row r="71" spans="1:35">
      <c r="A71" s="216" t="s">
        <v>123</v>
      </c>
      <c r="B71" s="26" t="s">
        <v>593</v>
      </c>
      <c r="C71" s="83" t="s">
        <v>63</v>
      </c>
      <c r="D71" s="84" t="s">
        <v>594</v>
      </c>
      <c r="E71" s="197" t="s">
        <v>595</v>
      </c>
      <c r="F71" s="85">
        <v>45807</v>
      </c>
      <c r="G71" s="83" t="s">
        <v>596</v>
      </c>
      <c r="H71" s="32" t="s">
        <v>39</v>
      </c>
      <c r="I71" s="33" t="s">
        <v>40</v>
      </c>
      <c r="J71" s="34" t="s">
        <v>41</v>
      </c>
      <c r="K71" s="35" t="s">
        <v>80</v>
      </c>
      <c r="L71" s="35" t="s">
        <v>112</v>
      </c>
      <c r="M71" s="45" t="s">
        <v>597</v>
      </c>
      <c r="N71" s="87" t="s">
        <v>598</v>
      </c>
      <c r="O71" s="148" t="s">
        <v>599</v>
      </c>
      <c r="P71" s="83" t="s">
        <v>47</v>
      </c>
      <c r="Q71" s="98">
        <v>45811</v>
      </c>
      <c r="R71" s="98">
        <v>45811</v>
      </c>
      <c r="S71" s="39">
        <f>IFERROR((R71-F71)+1,"ABC")</f>
        <v>5</v>
      </c>
      <c r="T71" s="186">
        <v>45817</v>
      </c>
      <c r="U71" s="35">
        <f t="shared" si="9"/>
        <v>7</v>
      </c>
      <c r="V71" s="92" t="s">
        <v>72</v>
      </c>
      <c r="W71" s="42">
        <v>45823</v>
      </c>
      <c r="X71" s="42">
        <v>45793</v>
      </c>
      <c r="Y71" s="41" t="s">
        <v>47</v>
      </c>
      <c r="Z71" s="41" t="s">
        <v>47</v>
      </c>
      <c r="AA71" s="35">
        <f t="shared" si="23"/>
        <v>39</v>
      </c>
      <c r="AB71" s="42">
        <v>45831</v>
      </c>
      <c r="AC71" s="35">
        <f t="shared" si="11"/>
        <v>25</v>
      </c>
      <c r="AD71" s="83" t="s">
        <v>73</v>
      </c>
      <c r="AE71" s="95" t="s">
        <v>47</v>
      </c>
      <c r="AF71" s="87" t="s">
        <v>47</v>
      </c>
      <c r="AG71" s="95" t="s">
        <v>600</v>
      </c>
      <c r="AH71" s="111"/>
      <c r="AI71" s="111"/>
    </row>
    <row r="72" spans="1:35" ht="62.25" customHeight="1">
      <c r="A72" s="216" t="s">
        <v>62</v>
      </c>
      <c r="B72" s="62" t="s">
        <v>601</v>
      </c>
      <c r="C72" s="83" t="s">
        <v>63</v>
      </c>
      <c r="D72" s="84" t="s">
        <v>602</v>
      </c>
      <c r="E72" s="197" t="s">
        <v>603</v>
      </c>
      <c r="F72" s="85">
        <v>45810</v>
      </c>
      <c r="G72" s="83" t="s">
        <v>604</v>
      </c>
      <c r="H72" s="32" t="s">
        <v>119</v>
      </c>
      <c r="I72" s="33" t="s">
        <v>104</v>
      </c>
      <c r="J72" s="34" t="s">
        <v>41</v>
      </c>
      <c r="K72" s="35" t="s">
        <v>42</v>
      </c>
      <c r="L72" s="35" t="s">
        <v>43</v>
      </c>
      <c r="M72" s="45" t="s">
        <v>605</v>
      </c>
      <c r="N72" s="87" t="s">
        <v>606</v>
      </c>
      <c r="O72" s="97" t="s">
        <v>607</v>
      </c>
      <c r="P72" s="218" t="s">
        <v>608</v>
      </c>
      <c r="Q72" s="98">
        <v>45811</v>
      </c>
      <c r="R72" s="98">
        <v>45811</v>
      </c>
      <c r="S72" s="39">
        <f t="shared" ref="S72:S78" si="26">(R72-F72)+1</f>
        <v>2</v>
      </c>
      <c r="T72" s="219">
        <v>45855</v>
      </c>
      <c r="U72" s="35">
        <f t="shared" si="9"/>
        <v>45</v>
      </c>
      <c r="V72" s="218" t="s">
        <v>304</v>
      </c>
      <c r="W72" s="42">
        <v>45866</v>
      </c>
      <c r="X72" s="42">
        <v>45868</v>
      </c>
      <c r="Y72" s="41" t="s">
        <v>47</v>
      </c>
      <c r="Z72" s="41" t="s">
        <v>47</v>
      </c>
      <c r="AA72" s="35">
        <f t="shared" si="23"/>
        <v>24</v>
      </c>
      <c r="AB72" s="42">
        <v>45891</v>
      </c>
      <c r="AC72" s="35">
        <f t="shared" si="11"/>
        <v>82</v>
      </c>
      <c r="AD72" s="83" t="s">
        <v>63</v>
      </c>
      <c r="AE72" s="95" t="s">
        <v>47</v>
      </c>
      <c r="AF72" s="87" t="s">
        <v>47</v>
      </c>
      <c r="AG72" s="87" t="s">
        <v>609</v>
      </c>
      <c r="AH72" s="51"/>
      <c r="AI72" s="51"/>
    </row>
    <row r="73" spans="1:35">
      <c r="A73" s="216" t="s">
        <v>62</v>
      </c>
      <c r="B73" s="26" t="s">
        <v>47</v>
      </c>
      <c r="C73" s="83" t="s">
        <v>63</v>
      </c>
      <c r="D73" s="84" t="s">
        <v>610</v>
      </c>
      <c r="E73" s="220" t="s">
        <v>611</v>
      </c>
      <c r="F73" s="85">
        <v>45821</v>
      </c>
      <c r="G73" s="221" t="s">
        <v>612</v>
      </c>
      <c r="H73" s="32" t="s">
        <v>39</v>
      </c>
      <c r="I73" s="33" t="s">
        <v>104</v>
      </c>
      <c r="J73" s="34" t="s">
        <v>41</v>
      </c>
      <c r="K73" s="35" t="s">
        <v>42</v>
      </c>
      <c r="L73" s="35" t="s">
        <v>43</v>
      </c>
      <c r="M73" s="45" t="s">
        <v>613</v>
      </c>
      <c r="N73" s="87" t="s">
        <v>614</v>
      </c>
      <c r="O73" s="97" t="s">
        <v>615</v>
      </c>
      <c r="P73" s="104" t="s">
        <v>47</v>
      </c>
      <c r="Q73" s="98">
        <v>45821</v>
      </c>
      <c r="R73" s="38" t="s">
        <v>47</v>
      </c>
      <c r="S73" s="39" t="e">
        <f t="shared" si="26"/>
        <v>#VALUE!</v>
      </c>
      <c r="T73" s="105">
        <v>45821</v>
      </c>
      <c r="U73" s="35">
        <f t="shared" ref="U73:U77" si="27">(T73-Q73)+1</f>
        <v>1</v>
      </c>
      <c r="V73" s="92" t="s">
        <v>72</v>
      </c>
      <c r="W73" s="42">
        <v>45824</v>
      </c>
      <c r="X73" s="42">
        <v>45824</v>
      </c>
      <c r="Y73" s="41" t="s">
        <v>47</v>
      </c>
      <c r="Z73" s="41" t="s">
        <v>47</v>
      </c>
      <c r="AA73" s="35">
        <f t="shared" si="23"/>
        <v>2</v>
      </c>
      <c r="AB73" s="42">
        <v>45825</v>
      </c>
      <c r="AC73" s="35">
        <f t="shared" si="11"/>
        <v>5</v>
      </c>
      <c r="AD73" s="83" t="s">
        <v>73</v>
      </c>
      <c r="AE73" s="95" t="s">
        <v>47</v>
      </c>
      <c r="AF73" s="87" t="s">
        <v>47</v>
      </c>
      <c r="AG73" s="87" t="s">
        <v>47</v>
      </c>
      <c r="AH73" s="111"/>
      <c r="AI73" s="111"/>
    </row>
    <row r="74" spans="1:35">
      <c r="A74" s="216" t="s">
        <v>123</v>
      </c>
      <c r="B74" s="26" t="s">
        <v>47</v>
      </c>
      <c r="C74" s="83" t="s">
        <v>63</v>
      </c>
      <c r="D74" s="84" t="s">
        <v>616</v>
      </c>
      <c r="E74" s="197" t="s">
        <v>617</v>
      </c>
      <c r="F74" s="85">
        <v>45831</v>
      </c>
      <c r="G74" s="83" t="s">
        <v>618</v>
      </c>
      <c r="H74" s="32" t="s">
        <v>175</v>
      </c>
      <c r="I74" s="33" t="s">
        <v>104</v>
      </c>
      <c r="J74" s="34" t="s">
        <v>41</v>
      </c>
      <c r="K74" s="35" t="s">
        <v>80</v>
      </c>
      <c r="L74" s="35" t="s">
        <v>68</v>
      </c>
      <c r="M74" s="45" t="s">
        <v>619</v>
      </c>
      <c r="N74" s="87" t="s">
        <v>620</v>
      </c>
      <c r="O74" s="450" t="s">
        <v>621</v>
      </c>
      <c r="P74" s="104" t="s">
        <v>622</v>
      </c>
      <c r="Q74" s="98">
        <v>45839</v>
      </c>
      <c r="R74" s="38" t="s">
        <v>47</v>
      </c>
      <c r="S74" s="39" t="e">
        <f t="shared" si="26"/>
        <v>#VALUE!</v>
      </c>
      <c r="T74" s="105">
        <v>45846</v>
      </c>
      <c r="U74" s="35">
        <f t="shared" si="27"/>
        <v>8</v>
      </c>
      <c r="V74" s="92" t="s">
        <v>97</v>
      </c>
      <c r="W74" s="42">
        <v>45846</v>
      </c>
      <c r="X74" s="42">
        <v>45847</v>
      </c>
      <c r="Y74" s="41" t="s">
        <v>47</v>
      </c>
      <c r="Z74" s="41" t="s">
        <v>47</v>
      </c>
      <c r="AA74" s="35" t="e">
        <f t="shared" si="23"/>
        <v>#VALUE!</v>
      </c>
      <c r="AB74" s="35" t="s">
        <v>47</v>
      </c>
      <c r="AC74" s="35" t="str">
        <f t="shared" si="11"/>
        <v>ABC</v>
      </c>
      <c r="AD74" s="83" t="s">
        <v>73</v>
      </c>
      <c r="AE74" s="95" t="s">
        <v>47</v>
      </c>
      <c r="AF74" s="87" t="s">
        <v>47</v>
      </c>
      <c r="AG74" s="95" t="s">
        <v>623</v>
      </c>
      <c r="AH74" s="111"/>
      <c r="AI74" s="111"/>
    </row>
    <row r="75" spans="1:35">
      <c r="A75" s="49" t="s">
        <v>392</v>
      </c>
      <c r="B75" s="26" t="s">
        <v>47</v>
      </c>
      <c r="C75" s="83" t="s">
        <v>63</v>
      </c>
      <c r="D75" s="222" t="s">
        <v>624</v>
      </c>
      <c r="E75" s="220" t="s">
        <v>625</v>
      </c>
      <c r="F75" s="85">
        <v>45833</v>
      </c>
      <c r="G75" s="223" t="s">
        <v>626</v>
      </c>
      <c r="H75" s="32" t="s">
        <v>175</v>
      </c>
      <c r="I75" s="33" t="s">
        <v>627</v>
      </c>
      <c r="J75" s="34" t="s">
        <v>41</v>
      </c>
      <c r="K75" s="35" t="s">
        <v>80</v>
      </c>
      <c r="L75" s="35" t="s">
        <v>366</v>
      </c>
      <c r="M75" s="45" t="s">
        <v>628</v>
      </c>
      <c r="N75" s="224">
        <v>45901</v>
      </c>
      <c r="O75" s="97" t="s">
        <v>629</v>
      </c>
      <c r="P75" s="104" t="s">
        <v>84</v>
      </c>
      <c r="Q75" s="98">
        <v>45833</v>
      </c>
      <c r="R75" s="38" t="s">
        <v>47</v>
      </c>
      <c r="S75" s="39" t="e">
        <f t="shared" si="26"/>
        <v>#VALUE!</v>
      </c>
      <c r="T75" s="60">
        <v>45841</v>
      </c>
      <c r="U75" s="35">
        <f t="shared" si="27"/>
        <v>9</v>
      </c>
      <c r="V75" s="92" t="s">
        <v>72</v>
      </c>
      <c r="W75" s="42">
        <v>45846</v>
      </c>
      <c r="X75" s="42">
        <v>45847</v>
      </c>
      <c r="Y75" s="41" t="s">
        <v>47</v>
      </c>
      <c r="Z75" s="41" t="s">
        <v>47</v>
      </c>
      <c r="AA75" s="35" t="e">
        <f t="shared" si="23"/>
        <v>#VALUE!</v>
      </c>
      <c r="AB75" s="35" t="s">
        <v>47</v>
      </c>
      <c r="AC75" s="35" t="str">
        <f t="shared" si="11"/>
        <v>ABC</v>
      </c>
      <c r="AD75" s="83" t="s">
        <v>63</v>
      </c>
      <c r="AE75" s="95" t="s">
        <v>47</v>
      </c>
      <c r="AF75" s="87" t="s">
        <v>47</v>
      </c>
      <c r="AG75" s="95" t="s">
        <v>630</v>
      </c>
      <c r="AH75" s="111"/>
      <c r="AI75" s="111"/>
    </row>
    <row r="76" spans="1:35">
      <c r="A76" s="86" t="s">
        <v>123</v>
      </c>
      <c r="B76" s="26">
        <v>65</v>
      </c>
      <c r="C76" s="83" t="s">
        <v>63</v>
      </c>
      <c r="D76" s="180" t="s">
        <v>631</v>
      </c>
      <c r="E76" s="225" t="s">
        <v>632</v>
      </c>
      <c r="F76" s="85">
        <v>45845</v>
      </c>
      <c r="G76" s="86" t="s">
        <v>633</v>
      </c>
      <c r="H76" s="32" t="s">
        <v>175</v>
      </c>
      <c r="I76" s="33" t="s">
        <v>104</v>
      </c>
      <c r="J76" s="34" t="s">
        <v>41</v>
      </c>
      <c r="K76" s="35" t="s">
        <v>80</v>
      </c>
      <c r="L76" s="35" t="s">
        <v>43</v>
      </c>
      <c r="M76" s="45" t="s">
        <v>634</v>
      </c>
      <c r="N76" s="87" t="s">
        <v>635</v>
      </c>
      <c r="O76" s="97" t="s">
        <v>636</v>
      </c>
      <c r="P76" s="226" t="s">
        <v>47</v>
      </c>
      <c r="Q76" s="98">
        <v>45846</v>
      </c>
      <c r="R76" s="98">
        <v>45846</v>
      </c>
      <c r="S76" s="39">
        <f t="shared" si="26"/>
        <v>2</v>
      </c>
      <c r="T76" s="227">
        <v>45909</v>
      </c>
      <c r="U76" s="35">
        <f t="shared" si="27"/>
        <v>64</v>
      </c>
      <c r="V76" s="226" t="s">
        <v>97</v>
      </c>
      <c r="W76" s="42">
        <v>45915</v>
      </c>
      <c r="X76" s="42">
        <v>45916</v>
      </c>
      <c r="Y76" s="41" t="s">
        <v>47</v>
      </c>
      <c r="Z76" s="41" t="s">
        <v>47</v>
      </c>
      <c r="AA76" s="35" t="e">
        <f t="shared" si="23"/>
        <v>#VALUE!</v>
      </c>
      <c r="AB76" s="35" t="s">
        <v>47</v>
      </c>
      <c r="AC76" s="35" t="str">
        <f t="shared" si="11"/>
        <v>ABC</v>
      </c>
      <c r="AD76" s="83" t="s">
        <v>63</v>
      </c>
      <c r="AE76" s="95" t="s">
        <v>47</v>
      </c>
      <c r="AF76" s="87" t="s">
        <v>47</v>
      </c>
      <c r="AG76" s="95" t="s">
        <v>637</v>
      </c>
      <c r="AH76" s="111"/>
      <c r="AI76" s="111"/>
    </row>
    <row r="77" spans="1:35" ht="80.25" customHeight="1">
      <c r="A77" s="228" t="s">
        <v>638</v>
      </c>
      <c r="B77" s="26" t="s">
        <v>47</v>
      </c>
      <c r="C77" s="229" t="s">
        <v>639</v>
      </c>
      <c r="D77" s="84" t="s">
        <v>640</v>
      </c>
      <c r="E77" s="197" t="s">
        <v>641</v>
      </c>
      <c r="F77" s="85">
        <v>45845</v>
      </c>
      <c r="G77" s="83" t="s">
        <v>642</v>
      </c>
      <c r="H77" s="32" t="s">
        <v>39</v>
      </c>
      <c r="I77" s="33" t="s">
        <v>40</v>
      </c>
      <c r="J77" s="34" t="s">
        <v>41</v>
      </c>
      <c r="K77" s="35" t="s">
        <v>643</v>
      </c>
      <c r="L77" s="35" t="s">
        <v>644</v>
      </c>
      <c r="M77" s="45" t="s">
        <v>645</v>
      </c>
      <c r="N77" s="87" t="s">
        <v>646</v>
      </c>
      <c r="O77" s="97" t="s">
        <v>647</v>
      </c>
      <c r="P77" s="104" t="s">
        <v>84</v>
      </c>
      <c r="Q77" s="98">
        <v>45846</v>
      </c>
      <c r="R77" s="98">
        <v>45847</v>
      </c>
      <c r="S77" s="39">
        <f t="shared" si="26"/>
        <v>3</v>
      </c>
      <c r="T77" s="40" t="s">
        <v>47</v>
      </c>
      <c r="U77" s="35" t="e">
        <f t="shared" si="27"/>
        <v>#VALUE!</v>
      </c>
      <c r="V77" s="230" t="s">
        <v>497</v>
      </c>
      <c r="W77" s="35" t="s">
        <v>47</v>
      </c>
      <c r="X77" s="35" t="s">
        <v>47</v>
      </c>
      <c r="Y77" s="41" t="s">
        <v>47</v>
      </c>
      <c r="Z77" s="41" t="s">
        <v>47</v>
      </c>
      <c r="AA77" s="35" t="e">
        <f t="shared" si="23"/>
        <v>#VALUE!</v>
      </c>
      <c r="AB77" s="35" t="s">
        <v>47</v>
      </c>
      <c r="AC77" s="35" t="str">
        <f t="shared" si="11"/>
        <v>ABC</v>
      </c>
      <c r="AD77" s="83" t="s">
        <v>63</v>
      </c>
      <c r="AE77" s="95" t="s">
        <v>47</v>
      </c>
      <c r="AF77" s="87" t="s">
        <v>47</v>
      </c>
      <c r="AG77" s="112" t="s">
        <v>47</v>
      </c>
      <c r="AH77" s="111"/>
      <c r="AI77" s="111"/>
    </row>
    <row r="78" spans="1:35">
      <c r="A78" s="216" t="s">
        <v>123</v>
      </c>
      <c r="B78" s="26" t="s">
        <v>47</v>
      </c>
      <c r="C78" s="83" t="s">
        <v>100</v>
      </c>
      <c r="D78" s="84" t="s">
        <v>648</v>
      </c>
      <c r="E78" s="197" t="s">
        <v>649</v>
      </c>
      <c r="F78" s="85">
        <v>45852</v>
      </c>
      <c r="G78" s="83" t="s">
        <v>650</v>
      </c>
      <c r="H78" s="32" t="s">
        <v>39</v>
      </c>
      <c r="I78" s="33" t="s">
        <v>104</v>
      </c>
      <c r="J78" s="34" t="s">
        <v>79</v>
      </c>
      <c r="K78" s="35" t="s">
        <v>643</v>
      </c>
      <c r="L78" s="35" t="s">
        <v>63</v>
      </c>
      <c r="M78" s="45" t="s">
        <v>651</v>
      </c>
      <c r="N78" s="87" t="s">
        <v>652</v>
      </c>
      <c r="O78" s="97" t="s">
        <v>653</v>
      </c>
      <c r="P78" s="104" t="s">
        <v>47</v>
      </c>
      <c r="Q78" s="98">
        <v>45855</v>
      </c>
      <c r="R78" s="98">
        <v>45883</v>
      </c>
      <c r="S78" s="39">
        <f t="shared" si="26"/>
        <v>32</v>
      </c>
      <c r="T78" s="105">
        <v>45968</v>
      </c>
      <c r="U78" s="35">
        <f t="shared" ref="U78:U84" si="28">IFERROR((T78-R78)+1,"ABC")</f>
        <v>86</v>
      </c>
      <c r="V78" s="230" t="s">
        <v>72</v>
      </c>
      <c r="W78" s="231">
        <v>45978</v>
      </c>
      <c r="X78" s="231">
        <v>45980</v>
      </c>
      <c r="Y78" s="41" t="s">
        <v>47</v>
      </c>
      <c r="Z78" s="41" t="s">
        <v>47</v>
      </c>
      <c r="AA78" s="35" t="e">
        <f t="shared" si="23"/>
        <v>#VALUE!</v>
      </c>
      <c r="AB78" s="35" t="s">
        <v>47</v>
      </c>
      <c r="AC78" s="35" t="str">
        <f t="shared" si="11"/>
        <v>ABC</v>
      </c>
      <c r="AD78" s="83" t="s">
        <v>63</v>
      </c>
      <c r="AE78" s="95" t="s">
        <v>47</v>
      </c>
      <c r="AF78" s="87" t="s">
        <v>47</v>
      </c>
      <c r="AG78" s="112" t="s">
        <v>654</v>
      </c>
      <c r="AH78" s="111"/>
      <c r="AI78" s="111"/>
    </row>
    <row r="79" spans="1:35">
      <c r="A79" s="216" t="s">
        <v>62</v>
      </c>
      <c r="B79" s="26">
        <v>63</v>
      </c>
      <c r="C79" s="83" t="s">
        <v>63</v>
      </c>
      <c r="D79" s="177" t="s">
        <v>655</v>
      </c>
      <c r="E79" s="197" t="s">
        <v>656</v>
      </c>
      <c r="F79" s="85">
        <v>45856</v>
      </c>
      <c r="G79" s="83" t="s">
        <v>657</v>
      </c>
      <c r="H79" s="32" t="s">
        <v>56</v>
      </c>
      <c r="I79" s="33" t="s">
        <v>104</v>
      </c>
      <c r="J79" s="34" t="s">
        <v>79</v>
      </c>
      <c r="K79" s="35" t="s">
        <v>57</v>
      </c>
      <c r="L79" s="35" t="s">
        <v>366</v>
      </c>
      <c r="M79" s="232" t="s">
        <v>658</v>
      </c>
      <c r="N79" s="87" t="s">
        <v>659</v>
      </c>
      <c r="O79" s="97" t="s">
        <v>660</v>
      </c>
      <c r="P79" s="104" t="s">
        <v>661</v>
      </c>
      <c r="Q79" s="98">
        <v>45856</v>
      </c>
      <c r="R79" s="98">
        <v>45861</v>
      </c>
      <c r="S79" s="39">
        <f>IFERROR((R79-F79)+1,"ABC")</f>
        <v>6</v>
      </c>
      <c r="T79" s="233">
        <v>45864</v>
      </c>
      <c r="U79" s="35">
        <f t="shared" si="28"/>
        <v>4</v>
      </c>
      <c r="V79" s="92" t="s">
        <v>72</v>
      </c>
      <c r="W79" s="42">
        <v>45866</v>
      </c>
      <c r="X79" s="42">
        <v>45866</v>
      </c>
      <c r="Y79" s="124">
        <v>45980</v>
      </c>
      <c r="Z79" s="108">
        <v>45992</v>
      </c>
      <c r="AA79" s="35">
        <f t="shared" si="23"/>
        <v>147</v>
      </c>
      <c r="AB79" s="231">
        <v>46012</v>
      </c>
      <c r="AC79" s="35">
        <f t="shared" si="11"/>
        <v>157</v>
      </c>
      <c r="AD79" s="83" t="s">
        <v>49</v>
      </c>
      <c r="AE79" s="95" t="s">
        <v>47</v>
      </c>
      <c r="AF79" s="87" t="s">
        <v>47</v>
      </c>
      <c r="AG79" s="112" t="s">
        <v>662</v>
      </c>
      <c r="AH79" s="111"/>
      <c r="AI79" s="111"/>
    </row>
    <row r="80" spans="1:35" ht="54.75" customHeight="1">
      <c r="A80" s="216" t="s">
        <v>62</v>
      </c>
      <c r="B80" s="26">
        <v>45</v>
      </c>
      <c r="C80" s="234" t="s">
        <v>663</v>
      </c>
      <c r="D80" s="84" t="s">
        <v>664</v>
      </c>
      <c r="E80" s="197" t="s">
        <v>665</v>
      </c>
      <c r="F80" s="85">
        <v>45854</v>
      </c>
      <c r="G80" s="235" t="s">
        <v>666</v>
      </c>
      <c r="H80" s="32" t="s">
        <v>175</v>
      </c>
      <c r="I80" s="33" t="s">
        <v>40</v>
      </c>
      <c r="J80" s="34" t="s">
        <v>41</v>
      </c>
      <c r="K80" s="35" t="s">
        <v>80</v>
      </c>
      <c r="L80" s="35" t="s">
        <v>43</v>
      </c>
      <c r="M80" s="45" t="s">
        <v>667</v>
      </c>
      <c r="N80" s="87" t="s">
        <v>668</v>
      </c>
      <c r="O80" s="97" t="s">
        <v>669</v>
      </c>
      <c r="P80" s="104" t="s">
        <v>670</v>
      </c>
      <c r="Q80" s="98">
        <v>45855</v>
      </c>
      <c r="R80" s="98">
        <v>45856</v>
      </c>
      <c r="S80" s="39">
        <f t="shared" ref="S80:S83" si="29">(R80-F80)+1</f>
        <v>3</v>
      </c>
      <c r="T80" s="60">
        <v>45862</v>
      </c>
      <c r="U80" s="35">
        <f t="shared" si="28"/>
        <v>7</v>
      </c>
      <c r="V80" s="92" t="s">
        <v>72</v>
      </c>
      <c r="W80" s="42">
        <v>45877</v>
      </c>
      <c r="X80" s="42">
        <v>45880</v>
      </c>
      <c r="Y80" s="41" t="s">
        <v>47</v>
      </c>
      <c r="Z80" s="41" t="s">
        <v>47</v>
      </c>
      <c r="AA80" s="35">
        <f t="shared" si="23"/>
        <v>33</v>
      </c>
      <c r="AB80" s="42">
        <v>45912</v>
      </c>
      <c r="AC80" s="35">
        <f t="shared" si="11"/>
        <v>59</v>
      </c>
      <c r="AD80" s="83" t="s">
        <v>49</v>
      </c>
      <c r="AE80" s="95" t="s">
        <v>47</v>
      </c>
      <c r="AF80" s="87" t="s">
        <v>47</v>
      </c>
      <c r="AG80" s="95" t="s">
        <v>671</v>
      </c>
      <c r="AH80" s="111"/>
      <c r="AI80" s="111"/>
    </row>
    <row r="81" spans="1:35">
      <c r="A81" s="49" t="s">
        <v>201</v>
      </c>
      <c r="B81" s="26" t="s">
        <v>47</v>
      </c>
      <c r="C81" s="83" t="s">
        <v>63</v>
      </c>
      <c r="D81" s="84" t="s">
        <v>672</v>
      </c>
      <c r="E81" s="197" t="s">
        <v>673</v>
      </c>
      <c r="F81" s="85">
        <v>45852</v>
      </c>
      <c r="G81" s="236" t="s">
        <v>674</v>
      </c>
      <c r="H81" s="32" t="s">
        <v>39</v>
      </c>
      <c r="I81" s="33" t="s">
        <v>104</v>
      </c>
      <c r="J81" s="34" t="s">
        <v>41</v>
      </c>
      <c r="K81" s="35" t="s">
        <v>42</v>
      </c>
      <c r="L81" s="35" t="s">
        <v>675</v>
      </c>
      <c r="M81" s="45" t="s">
        <v>676</v>
      </c>
      <c r="N81" s="87" t="s">
        <v>84</v>
      </c>
      <c r="O81" s="97" t="s">
        <v>677</v>
      </c>
      <c r="P81" s="104" t="s">
        <v>47</v>
      </c>
      <c r="Q81" s="98">
        <v>45855</v>
      </c>
      <c r="R81" s="98">
        <v>45859</v>
      </c>
      <c r="S81" s="39">
        <f t="shared" si="29"/>
        <v>8</v>
      </c>
      <c r="T81" s="105">
        <v>45883</v>
      </c>
      <c r="U81" s="35">
        <f t="shared" si="28"/>
        <v>25</v>
      </c>
      <c r="V81" s="92" t="s">
        <v>97</v>
      </c>
      <c r="W81" s="42">
        <v>45898</v>
      </c>
      <c r="X81" s="42">
        <v>45901</v>
      </c>
      <c r="Y81" s="41" t="s">
        <v>47</v>
      </c>
      <c r="Z81" s="41" t="s">
        <v>47</v>
      </c>
      <c r="AA81" s="35">
        <f t="shared" si="23"/>
        <v>18</v>
      </c>
      <c r="AB81" s="42">
        <v>45918</v>
      </c>
      <c r="AC81" s="35">
        <f t="shared" si="11"/>
        <v>67</v>
      </c>
      <c r="AD81" s="83" t="s">
        <v>73</v>
      </c>
      <c r="AE81" s="87" t="s">
        <v>47</v>
      </c>
      <c r="AF81" s="87" t="s">
        <v>47</v>
      </c>
      <c r="AG81" s="112" t="s">
        <v>47</v>
      </c>
      <c r="AH81" s="111"/>
      <c r="AI81" s="111"/>
    </row>
    <row r="82" spans="1:35" ht="59.25" customHeight="1">
      <c r="A82" s="49" t="s">
        <v>201</v>
      </c>
      <c r="B82" s="26" t="s">
        <v>47</v>
      </c>
      <c r="C82" s="83" t="s">
        <v>63</v>
      </c>
      <c r="D82" s="84" t="s">
        <v>678</v>
      </c>
      <c r="E82" s="220" t="s">
        <v>679</v>
      </c>
      <c r="F82" s="85">
        <v>45852</v>
      </c>
      <c r="G82" s="110" t="s">
        <v>674</v>
      </c>
      <c r="H82" s="32" t="s">
        <v>39</v>
      </c>
      <c r="I82" s="33" t="s">
        <v>104</v>
      </c>
      <c r="J82" s="34" t="s">
        <v>41</v>
      </c>
      <c r="K82" s="35" t="s">
        <v>42</v>
      </c>
      <c r="L82" s="35" t="s">
        <v>112</v>
      </c>
      <c r="M82" s="45" t="s">
        <v>676</v>
      </c>
      <c r="N82" s="87" t="s">
        <v>113</v>
      </c>
      <c r="O82" s="97" t="s">
        <v>677</v>
      </c>
      <c r="P82" s="112" t="s">
        <v>47</v>
      </c>
      <c r="Q82" s="98">
        <v>45855</v>
      </c>
      <c r="R82" s="237">
        <v>45856</v>
      </c>
      <c r="S82" s="39">
        <f t="shared" si="29"/>
        <v>5</v>
      </c>
      <c r="T82" s="217">
        <v>45862</v>
      </c>
      <c r="U82" s="35">
        <f t="shared" si="28"/>
        <v>7</v>
      </c>
      <c r="V82" s="112" t="s">
        <v>72</v>
      </c>
      <c r="W82" s="42">
        <v>45896</v>
      </c>
      <c r="X82" s="42">
        <v>45896</v>
      </c>
      <c r="Y82" s="41" t="s">
        <v>47</v>
      </c>
      <c r="Z82" s="41" t="s">
        <v>47</v>
      </c>
      <c r="AA82" s="35">
        <f t="shared" si="23"/>
        <v>23</v>
      </c>
      <c r="AB82" s="42">
        <v>45918</v>
      </c>
      <c r="AC82" s="35">
        <f t="shared" si="11"/>
        <v>67</v>
      </c>
      <c r="AD82" s="83" t="s">
        <v>73</v>
      </c>
      <c r="AE82" s="87" t="s">
        <v>47</v>
      </c>
      <c r="AF82" s="87" t="s">
        <v>47</v>
      </c>
      <c r="AG82" s="112" t="s">
        <v>47</v>
      </c>
      <c r="AH82" s="111"/>
      <c r="AI82" s="111"/>
    </row>
    <row r="83" spans="1:35" ht="63.75" customHeight="1">
      <c r="A83" s="216" t="s">
        <v>123</v>
      </c>
      <c r="B83" s="26" t="s">
        <v>47</v>
      </c>
      <c r="C83" s="176" t="s">
        <v>680</v>
      </c>
      <c r="D83" s="177" t="s">
        <v>681</v>
      </c>
      <c r="E83" s="197" t="s">
        <v>682</v>
      </c>
      <c r="F83" s="85">
        <v>45863</v>
      </c>
      <c r="G83" s="83" t="s">
        <v>683</v>
      </c>
      <c r="H83" s="32" t="s">
        <v>39</v>
      </c>
      <c r="I83" s="33" t="s">
        <v>104</v>
      </c>
      <c r="J83" s="34" t="s">
        <v>41</v>
      </c>
      <c r="K83" s="35" t="s">
        <v>80</v>
      </c>
      <c r="L83" s="35" t="s">
        <v>43</v>
      </c>
      <c r="M83" s="45" t="s">
        <v>684</v>
      </c>
      <c r="N83" s="87" t="s">
        <v>685</v>
      </c>
      <c r="O83" s="97" t="s">
        <v>686</v>
      </c>
      <c r="P83" s="104" t="s">
        <v>47</v>
      </c>
      <c r="Q83" s="98">
        <v>45880</v>
      </c>
      <c r="R83" s="98">
        <v>45909</v>
      </c>
      <c r="S83" s="39">
        <f t="shared" si="29"/>
        <v>47</v>
      </c>
      <c r="T83" s="105">
        <v>45882</v>
      </c>
      <c r="U83" s="35">
        <f t="shared" si="28"/>
        <v>-26</v>
      </c>
      <c r="V83" s="92" t="s">
        <v>72</v>
      </c>
      <c r="W83" s="42">
        <v>45915</v>
      </c>
      <c r="X83" s="42">
        <v>45916</v>
      </c>
      <c r="Y83" s="41" t="s">
        <v>47</v>
      </c>
      <c r="Z83" s="41" t="s">
        <v>47</v>
      </c>
      <c r="AA83" s="35" t="e">
        <f t="shared" si="23"/>
        <v>#VALUE!</v>
      </c>
      <c r="AB83" s="35" t="s">
        <v>47</v>
      </c>
      <c r="AC83" s="35" t="str">
        <f t="shared" si="11"/>
        <v>ABC</v>
      </c>
      <c r="AD83" s="83" t="s">
        <v>63</v>
      </c>
      <c r="AE83" s="87" t="s">
        <v>47</v>
      </c>
      <c r="AF83" s="87" t="s">
        <v>47</v>
      </c>
      <c r="AG83" s="95" t="s">
        <v>687</v>
      </c>
      <c r="AH83" s="111"/>
      <c r="AI83" s="111"/>
    </row>
    <row r="84" spans="1:35" ht="69" customHeight="1">
      <c r="A84" s="216" t="s">
        <v>123</v>
      </c>
      <c r="B84" s="26" t="s">
        <v>47</v>
      </c>
      <c r="C84" s="83" t="s">
        <v>688</v>
      </c>
      <c r="D84" s="84" t="s">
        <v>689</v>
      </c>
      <c r="E84" s="197" t="s">
        <v>690</v>
      </c>
      <c r="F84" s="85">
        <v>45863</v>
      </c>
      <c r="G84" s="83" t="s">
        <v>691</v>
      </c>
      <c r="H84" s="32" t="s">
        <v>39</v>
      </c>
      <c r="I84" s="33" t="s">
        <v>104</v>
      </c>
      <c r="J84" s="34" t="s">
        <v>41</v>
      </c>
      <c r="K84" s="35" t="s">
        <v>80</v>
      </c>
      <c r="L84" s="35" t="s">
        <v>43</v>
      </c>
      <c r="M84" s="45" t="s">
        <v>692</v>
      </c>
      <c r="N84" s="87" t="s">
        <v>693</v>
      </c>
      <c r="O84" s="97" t="s">
        <v>694</v>
      </c>
      <c r="P84" s="104" t="s">
        <v>47</v>
      </c>
      <c r="Q84" s="98">
        <v>45880</v>
      </c>
      <c r="R84" s="98">
        <v>45882</v>
      </c>
      <c r="S84" s="35">
        <f t="shared" ref="S84:S95" si="30">(R84-Q84)+1</f>
        <v>3</v>
      </c>
      <c r="T84" s="105">
        <v>45888</v>
      </c>
      <c r="U84" s="35">
        <f t="shared" si="28"/>
        <v>7</v>
      </c>
      <c r="V84" s="92" t="s">
        <v>72</v>
      </c>
      <c r="W84" s="42">
        <v>45894</v>
      </c>
      <c r="X84" s="42">
        <v>45895</v>
      </c>
      <c r="Y84" s="41" t="s">
        <v>47</v>
      </c>
      <c r="Z84" s="41" t="s">
        <v>47</v>
      </c>
      <c r="AA84" s="35">
        <f t="shared" si="23"/>
        <v>21</v>
      </c>
      <c r="AB84" s="42">
        <v>45915</v>
      </c>
      <c r="AC84" s="35">
        <f t="shared" si="11"/>
        <v>53</v>
      </c>
      <c r="AD84" s="83" t="s">
        <v>63</v>
      </c>
      <c r="AE84" s="87" t="s">
        <v>47</v>
      </c>
      <c r="AF84" s="87" t="s">
        <v>47</v>
      </c>
      <c r="AG84" s="95" t="s">
        <v>695</v>
      </c>
      <c r="AH84" s="111"/>
      <c r="AI84" s="111"/>
    </row>
    <row r="85" spans="1:35" ht="135.75" customHeight="1">
      <c r="A85" s="86" t="s">
        <v>123</v>
      </c>
      <c r="B85" s="26">
        <v>67</v>
      </c>
      <c r="C85" s="83" t="s">
        <v>63</v>
      </c>
      <c r="D85" s="96" t="s">
        <v>696</v>
      </c>
      <c r="E85" s="197" t="s">
        <v>697</v>
      </c>
      <c r="F85" s="85">
        <v>45880</v>
      </c>
      <c r="G85" s="83" t="s">
        <v>698</v>
      </c>
      <c r="H85" s="32" t="s">
        <v>175</v>
      </c>
      <c r="I85" s="33" t="s">
        <v>104</v>
      </c>
      <c r="J85" s="34" t="s">
        <v>41</v>
      </c>
      <c r="K85" s="35" t="s">
        <v>80</v>
      </c>
      <c r="L85" s="35" t="s">
        <v>43</v>
      </c>
      <c r="M85" s="45" t="s">
        <v>699</v>
      </c>
      <c r="N85" s="147" t="s">
        <v>700</v>
      </c>
      <c r="O85" s="97" t="s">
        <v>701</v>
      </c>
      <c r="P85" s="104" t="s">
        <v>702</v>
      </c>
      <c r="Q85" s="98">
        <v>45880</v>
      </c>
      <c r="R85" s="98">
        <v>45880</v>
      </c>
      <c r="S85" s="35">
        <f t="shared" si="30"/>
        <v>1</v>
      </c>
      <c r="T85" s="105">
        <v>45931</v>
      </c>
      <c r="U85" s="35">
        <f>(T85-R85)+1</f>
        <v>52</v>
      </c>
      <c r="V85" s="40" t="s">
        <v>72</v>
      </c>
      <c r="W85" s="42">
        <v>45932</v>
      </c>
      <c r="X85" s="42">
        <v>45933</v>
      </c>
      <c r="Y85" s="41" t="s">
        <v>47</v>
      </c>
      <c r="Z85" s="41" t="s">
        <v>47</v>
      </c>
      <c r="AA85" s="40"/>
      <c r="AB85" s="35" t="s">
        <v>47</v>
      </c>
      <c r="AC85" s="35" t="str">
        <f t="shared" si="11"/>
        <v>ABC</v>
      </c>
      <c r="AD85" s="83" t="s">
        <v>63</v>
      </c>
      <c r="AE85" s="87" t="s">
        <v>47</v>
      </c>
      <c r="AF85" s="87" t="s">
        <v>47</v>
      </c>
      <c r="AG85" s="95" t="s">
        <v>703</v>
      </c>
      <c r="AH85" s="111"/>
      <c r="AI85" s="111"/>
    </row>
    <row r="86" spans="1:35" ht="82.5" customHeight="1">
      <c r="A86" s="238" t="s">
        <v>704</v>
      </c>
      <c r="B86" s="26" t="s">
        <v>47</v>
      </c>
      <c r="C86" s="239" t="s">
        <v>63</v>
      </c>
      <c r="D86" s="199" t="s">
        <v>705</v>
      </c>
      <c r="E86" s="197" t="s">
        <v>706</v>
      </c>
      <c r="F86" s="240">
        <v>45883</v>
      </c>
      <c r="G86" s="104" t="s">
        <v>707</v>
      </c>
      <c r="H86" s="32" t="s">
        <v>56</v>
      </c>
      <c r="I86" s="33" t="s">
        <v>104</v>
      </c>
      <c r="J86" s="34" t="s">
        <v>79</v>
      </c>
      <c r="K86" s="35" t="s">
        <v>42</v>
      </c>
      <c r="L86" s="39" t="s">
        <v>63</v>
      </c>
      <c r="M86" s="69" t="s">
        <v>63</v>
      </c>
      <c r="N86" s="173" t="s">
        <v>63</v>
      </c>
      <c r="O86" s="97" t="s">
        <v>708</v>
      </c>
      <c r="P86" s="416" t="s">
        <v>47</v>
      </c>
      <c r="Q86" s="118">
        <v>45883</v>
      </c>
      <c r="R86" s="118">
        <v>45888</v>
      </c>
      <c r="S86" s="35">
        <f t="shared" si="30"/>
        <v>6</v>
      </c>
      <c r="T86" s="104" t="s">
        <v>47</v>
      </c>
      <c r="U86" s="35" t="str">
        <f t="shared" ref="U86:U98" si="31">IFERROR((T86-R86)+1,"ABC")</f>
        <v>ABC</v>
      </c>
      <c r="V86" s="241" t="s">
        <v>497</v>
      </c>
      <c r="W86" s="35" t="s">
        <v>47</v>
      </c>
      <c r="X86" s="35" t="s">
        <v>47</v>
      </c>
      <c r="Y86" s="447" t="s">
        <v>47</v>
      </c>
      <c r="Z86" s="447" t="s">
        <v>47</v>
      </c>
      <c r="AA86" s="35" t="e">
        <f t="shared" ref="AA86:AA100" si="32">(AB86-X86)+1</f>
        <v>#VALUE!</v>
      </c>
      <c r="AB86" s="35" t="s">
        <v>47</v>
      </c>
      <c r="AC86" s="35" t="str">
        <f t="shared" si="11"/>
        <v>ABC</v>
      </c>
      <c r="AD86" s="83" t="s">
        <v>63</v>
      </c>
      <c r="AE86" s="87" t="s">
        <v>47</v>
      </c>
      <c r="AF86" s="87" t="s">
        <v>47</v>
      </c>
      <c r="AG86" s="112" t="s">
        <v>709</v>
      </c>
      <c r="AH86" s="444"/>
      <c r="AI86" s="444"/>
    </row>
    <row r="87" spans="1:35">
      <c r="A87" s="238" t="s">
        <v>710</v>
      </c>
      <c r="B87" s="26" t="s">
        <v>47</v>
      </c>
      <c r="C87" s="104" t="s">
        <v>47</v>
      </c>
      <c r="D87" s="103" t="s">
        <v>711</v>
      </c>
      <c r="E87" s="242" t="s">
        <v>712</v>
      </c>
      <c r="F87" s="85">
        <v>6705354</v>
      </c>
      <c r="G87" s="104" t="s">
        <v>713</v>
      </c>
      <c r="H87" s="32" t="s">
        <v>56</v>
      </c>
      <c r="I87" s="33" t="s">
        <v>104</v>
      </c>
      <c r="J87" s="34" t="s">
        <v>79</v>
      </c>
      <c r="K87" s="35" t="s">
        <v>643</v>
      </c>
      <c r="L87" s="35" t="s">
        <v>714</v>
      </c>
      <c r="M87" s="69" t="s">
        <v>63</v>
      </c>
      <c r="N87" s="112" t="s">
        <v>63</v>
      </c>
      <c r="O87" s="97" t="s">
        <v>715</v>
      </c>
      <c r="P87" s="104" t="s">
        <v>47</v>
      </c>
      <c r="Q87" s="98">
        <v>45889</v>
      </c>
      <c r="R87" s="98">
        <v>45889</v>
      </c>
      <c r="S87" s="35">
        <f t="shared" si="30"/>
        <v>1</v>
      </c>
      <c r="T87" s="105">
        <v>45903</v>
      </c>
      <c r="U87" s="35">
        <f t="shared" si="31"/>
        <v>15</v>
      </c>
      <c r="V87" s="243" t="s">
        <v>497</v>
      </c>
      <c r="W87" s="35" t="s">
        <v>47</v>
      </c>
      <c r="X87" s="35" t="s">
        <v>47</v>
      </c>
      <c r="Y87" s="447" t="s">
        <v>47</v>
      </c>
      <c r="Z87" s="41" t="s">
        <v>47</v>
      </c>
      <c r="AA87" s="35" t="e">
        <f t="shared" si="32"/>
        <v>#VALUE!</v>
      </c>
      <c r="AB87" s="35" t="s">
        <v>47</v>
      </c>
      <c r="AC87" s="35" t="str">
        <f t="shared" si="11"/>
        <v>ABC</v>
      </c>
      <c r="AD87" s="83" t="s">
        <v>63</v>
      </c>
      <c r="AE87" s="87" t="s">
        <v>47</v>
      </c>
      <c r="AF87" s="87" t="s">
        <v>47</v>
      </c>
      <c r="AG87" s="112" t="s">
        <v>716</v>
      </c>
      <c r="AH87" s="152"/>
      <c r="AI87" s="152"/>
    </row>
    <row r="88" spans="1:35" ht="82.5" customHeight="1">
      <c r="A88" s="86" t="s">
        <v>123</v>
      </c>
      <c r="B88" s="26">
        <v>68</v>
      </c>
      <c r="C88" s="83" t="s">
        <v>63</v>
      </c>
      <c r="D88" s="222" t="s">
        <v>717</v>
      </c>
      <c r="E88" s="220" t="s">
        <v>718</v>
      </c>
      <c r="F88" s="85">
        <v>45896</v>
      </c>
      <c r="G88" s="202" t="s">
        <v>719</v>
      </c>
      <c r="H88" s="32" t="s">
        <v>39</v>
      </c>
      <c r="I88" s="33" t="s">
        <v>40</v>
      </c>
      <c r="J88" s="34" t="s">
        <v>41</v>
      </c>
      <c r="K88" s="35" t="s">
        <v>42</v>
      </c>
      <c r="L88" s="35" t="s">
        <v>43</v>
      </c>
      <c r="M88" s="45" t="s">
        <v>720</v>
      </c>
      <c r="N88" s="244">
        <v>45931</v>
      </c>
      <c r="O88" s="88" t="s">
        <v>721</v>
      </c>
      <c r="P88" s="104" t="s">
        <v>722</v>
      </c>
      <c r="Q88" s="98">
        <v>45898</v>
      </c>
      <c r="R88" s="98">
        <v>45898</v>
      </c>
      <c r="S88" s="35">
        <f t="shared" si="30"/>
        <v>1</v>
      </c>
      <c r="T88" s="245">
        <v>45959</v>
      </c>
      <c r="U88" s="35">
        <f t="shared" si="31"/>
        <v>62</v>
      </c>
      <c r="V88" s="246" t="s">
        <v>304</v>
      </c>
      <c r="W88" s="231">
        <v>45960</v>
      </c>
      <c r="X88" s="231">
        <v>45961</v>
      </c>
      <c r="Y88" s="447" t="s">
        <v>47</v>
      </c>
      <c r="Z88" s="41" t="s">
        <v>47</v>
      </c>
      <c r="AA88" s="35" t="e">
        <f t="shared" si="32"/>
        <v>#VALUE!</v>
      </c>
      <c r="AB88" s="35" t="s">
        <v>47</v>
      </c>
      <c r="AC88" s="35" t="str">
        <f t="shared" si="11"/>
        <v>ABC</v>
      </c>
      <c r="AD88" s="83" t="s">
        <v>63</v>
      </c>
      <c r="AE88" s="87" t="s">
        <v>47</v>
      </c>
      <c r="AF88" s="87" t="s">
        <v>47</v>
      </c>
      <c r="AG88" s="112" t="s">
        <v>47</v>
      </c>
      <c r="AH88" s="109"/>
      <c r="AI88" s="109"/>
    </row>
    <row r="89" spans="1:35" ht="82.5" customHeight="1">
      <c r="A89" s="216" t="s">
        <v>723</v>
      </c>
      <c r="B89" s="26" t="s">
        <v>47</v>
      </c>
      <c r="C89" s="83" t="s">
        <v>63</v>
      </c>
      <c r="D89" s="247" t="s">
        <v>724</v>
      </c>
      <c r="E89" s="197" t="s">
        <v>725</v>
      </c>
      <c r="F89" s="85">
        <v>45902</v>
      </c>
      <c r="G89" s="86" t="s">
        <v>726</v>
      </c>
      <c r="H89" s="32" t="s">
        <v>39</v>
      </c>
      <c r="I89" s="33" t="s">
        <v>104</v>
      </c>
      <c r="J89" s="34" t="s">
        <v>41</v>
      </c>
      <c r="K89" s="35" t="s">
        <v>42</v>
      </c>
      <c r="L89" s="35" t="s">
        <v>727</v>
      </c>
      <c r="M89" s="45" t="s">
        <v>63</v>
      </c>
      <c r="N89" s="87" t="s">
        <v>63</v>
      </c>
      <c r="O89" s="97" t="s">
        <v>728</v>
      </c>
      <c r="P89" s="104" t="s">
        <v>47</v>
      </c>
      <c r="Q89" s="98">
        <v>45902</v>
      </c>
      <c r="R89" s="98">
        <v>45903</v>
      </c>
      <c r="S89" s="35">
        <f t="shared" si="30"/>
        <v>2</v>
      </c>
      <c r="T89" s="104" t="s">
        <v>47</v>
      </c>
      <c r="U89" s="35" t="str">
        <f t="shared" si="31"/>
        <v>ABC</v>
      </c>
      <c r="V89" s="92" t="s">
        <v>47</v>
      </c>
      <c r="W89" s="35" t="s">
        <v>47</v>
      </c>
      <c r="X89" s="35" t="s">
        <v>47</v>
      </c>
      <c r="Y89" s="447" t="s">
        <v>47</v>
      </c>
      <c r="Z89" s="41" t="s">
        <v>47</v>
      </c>
      <c r="AA89" s="35" t="e">
        <f t="shared" si="32"/>
        <v>#VALUE!</v>
      </c>
      <c r="AB89" s="35" t="s">
        <v>47</v>
      </c>
      <c r="AC89" s="35" t="str">
        <f t="shared" si="11"/>
        <v>ABC</v>
      </c>
      <c r="AD89" s="83" t="s">
        <v>63</v>
      </c>
      <c r="AE89" s="87" t="s">
        <v>47</v>
      </c>
      <c r="AF89" s="87" t="s">
        <v>47</v>
      </c>
      <c r="AG89" s="112" t="s">
        <v>47</v>
      </c>
      <c r="AH89" s="109"/>
      <c r="AI89" s="109"/>
    </row>
    <row r="90" spans="1:35" ht="118.5" customHeight="1">
      <c r="A90" s="216" t="s">
        <v>320</v>
      </c>
      <c r="B90" s="26" t="s">
        <v>47</v>
      </c>
      <c r="C90" s="83" t="s">
        <v>63</v>
      </c>
      <c r="D90" s="248" t="s">
        <v>729</v>
      </c>
      <c r="E90" s="197" t="s">
        <v>730</v>
      </c>
      <c r="F90" s="85">
        <v>45902</v>
      </c>
      <c r="G90" s="86" t="s">
        <v>731</v>
      </c>
      <c r="H90" s="32" t="s">
        <v>175</v>
      </c>
      <c r="I90" s="33" t="s">
        <v>104</v>
      </c>
      <c r="J90" s="34" t="s">
        <v>41</v>
      </c>
      <c r="K90" s="35" t="s">
        <v>80</v>
      </c>
      <c r="L90" s="35" t="s">
        <v>63</v>
      </c>
      <c r="M90" s="249" t="s">
        <v>732</v>
      </c>
      <c r="N90" s="87" t="s">
        <v>733</v>
      </c>
      <c r="O90" s="97" t="s">
        <v>734</v>
      </c>
      <c r="P90" s="104" t="s">
        <v>735</v>
      </c>
      <c r="Q90" s="98">
        <v>45903</v>
      </c>
      <c r="R90" s="98">
        <v>45904</v>
      </c>
      <c r="S90" s="35">
        <f t="shared" si="30"/>
        <v>2</v>
      </c>
      <c r="T90" s="104" t="s">
        <v>47</v>
      </c>
      <c r="U90" s="35" t="str">
        <f t="shared" si="31"/>
        <v>ABC</v>
      </c>
      <c r="V90" s="92" t="s">
        <v>47</v>
      </c>
      <c r="W90" s="35" t="s">
        <v>47</v>
      </c>
      <c r="X90" s="35" t="s">
        <v>47</v>
      </c>
      <c r="Y90" s="447" t="s">
        <v>47</v>
      </c>
      <c r="Z90" s="41" t="s">
        <v>47</v>
      </c>
      <c r="AA90" s="35" t="e">
        <f t="shared" si="32"/>
        <v>#VALUE!</v>
      </c>
      <c r="AB90" s="35" t="s">
        <v>47</v>
      </c>
      <c r="AC90" s="35" t="str">
        <f t="shared" si="11"/>
        <v>ABC</v>
      </c>
      <c r="AD90" s="83" t="s">
        <v>63</v>
      </c>
      <c r="AE90" s="87" t="s">
        <v>47</v>
      </c>
      <c r="AF90" s="87" t="s">
        <v>47</v>
      </c>
      <c r="AG90" s="95" t="s">
        <v>736</v>
      </c>
      <c r="AH90" s="109"/>
      <c r="AI90" s="109"/>
    </row>
    <row r="91" spans="1:35" ht="82.5" customHeight="1">
      <c r="A91" s="216" t="s">
        <v>238</v>
      </c>
      <c r="B91" s="26" t="s">
        <v>47</v>
      </c>
      <c r="C91" s="83" t="s">
        <v>63</v>
      </c>
      <c r="D91" s="187" t="s">
        <v>737</v>
      </c>
      <c r="E91" s="220" t="s">
        <v>738</v>
      </c>
      <c r="F91" s="85">
        <v>45903</v>
      </c>
      <c r="G91" s="86" t="s">
        <v>739</v>
      </c>
      <c r="H91" s="32" t="s">
        <v>119</v>
      </c>
      <c r="I91" s="33" t="s">
        <v>104</v>
      </c>
      <c r="J91" s="34" t="s">
        <v>41</v>
      </c>
      <c r="K91" s="35" t="s">
        <v>42</v>
      </c>
      <c r="L91" s="35" t="s">
        <v>112</v>
      </c>
      <c r="M91" s="45" t="s">
        <v>740</v>
      </c>
      <c r="N91" s="87" t="s">
        <v>113</v>
      </c>
      <c r="O91" s="97" t="s">
        <v>741</v>
      </c>
      <c r="P91" s="104" t="s">
        <v>742</v>
      </c>
      <c r="Q91" s="98">
        <v>45903</v>
      </c>
      <c r="R91" s="98">
        <v>45904</v>
      </c>
      <c r="S91" s="35">
        <f t="shared" si="30"/>
        <v>2</v>
      </c>
      <c r="T91" s="105">
        <v>45904</v>
      </c>
      <c r="U91" s="35">
        <f t="shared" si="31"/>
        <v>1</v>
      </c>
      <c r="V91" s="92" t="s">
        <v>72</v>
      </c>
      <c r="W91" s="42">
        <v>45905</v>
      </c>
      <c r="X91" s="42">
        <v>45905</v>
      </c>
      <c r="Y91" s="447" t="s">
        <v>47</v>
      </c>
      <c r="Z91" s="41" t="s">
        <v>47</v>
      </c>
      <c r="AA91" s="35" t="e">
        <f t="shared" si="32"/>
        <v>#VALUE!</v>
      </c>
      <c r="AB91" s="35" t="s">
        <v>47</v>
      </c>
      <c r="AC91" s="35" t="str">
        <f t="shared" si="11"/>
        <v>ABC</v>
      </c>
      <c r="AD91" s="83" t="s">
        <v>63</v>
      </c>
      <c r="AE91" s="87" t="s">
        <v>47</v>
      </c>
      <c r="AF91" s="87" t="s">
        <v>47</v>
      </c>
      <c r="AG91" s="112" t="s">
        <v>47</v>
      </c>
      <c r="AH91" s="111"/>
      <c r="AI91" s="111"/>
    </row>
    <row r="92" spans="1:35" ht="82.5" customHeight="1">
      <c r="A92" s="49" t="s">
        <v>62</v>
      </c>
      <c r="B92" s="26">
        <v>47</v>
      </c>
      <c r="C92" s="83" t="s">
        <v>63</v>
      </c>
      <c r="D92" s="206" t="s">
        <v>743</v>
      </c>
      <c r="E92" s="197" t="s">
        <v>744</v>
      </c>
      <c r="F92" s="85">
        <v>45903</v>
      </c>
      <c r="G92" s="200" t="s">
        <v>745</v>
      </c>
      <c r="H92" s="32" t="s">
        <v>39</v>
      </c>
      <c r="I92" s="33" t="s">
        <v>104</v>
      </c>
      <c r="J92" s="34" t="s">
        <v>41</v>
      </c>
      <c r="K92" s="35" t="s">
        <v>42</v>
      </c>
      <c r="L92" s="35" t="s">
        <v>43</v>
      </c>
      <c r="M92" s="40" t="s">
        <v>746</v>
      </c>
      <c r="N92" s="87" t="s">
        <v>747</v>
      </c>
      <c r="O92" s="97" t="s">
        <v>748</v>
      </c>
      <c r="P92" s="104" t="s">
        <v>47</v>
      </c>
      <c r="Q92" s="237">
        <v>45903</v>
      </c>
      <c r="R92" s="237">
        <v>45904</v>
      </c>
      <c r="S92" s="35">
        <f t="shared" si="30"/>
        <v>2</v>
      </c>
      <c r="T92" s="105">
        <v>45909</v>
      </c>
      <c r="U92" s="35">
        <f t="shared" si="31"/>
        <v>6</v>
      </c>
      <c r="V92" s="92" t="s">
        <v>72</v>
      </c>
      <c r="W92" s="42">
        <v>45915</v>
      </c>
      <c r="X92" s="42">
        <v>45917</v>
      </c>
      <c r="Y92" s="447" t="s">
        <v>47</v>
      </c>
      <c r="Z92" s="41" t="s">
        <v>47</v>
      </c>
      <c r="AA92" s="35">
        <f t="shared" si="32"/>
        <v>16</v>
      </c>
      <c r="AB92" s="42">
        <v>45932</v>
      </c>
      <c r="AC92" s="35">
        <f t="shared" si="11"/>
        <v>30</v>
      </c>
      <c r="AD92" s="83" t="s">
        <v>63</v>
      </c>
      <c r="AE92" s="87" t="s">
        <v>47</v>
      </c>
      <c r="AF92" s="87" t="s">
        <v>47</v>
      </c>
      <c r="AG92" s="112" t="s">
        <v>47</v>
      </c>
      <c r="AH92" s="111"/>
      <c r="AI92" s="111"/>
    </row>
    <row r="93" spans="1:35" ht="82.5" customHeight="1">
      <c r="A93" s="86" t="s">
        <v>123</v>
      </c>
      <c r="B93" s="26">
        <v>66</v>
      </c>
      <c r="C93" s="83" t="s">
        <v>63</v>
      </c>
      <c r="D93" s="206" t="s">
        <v>749</v>
      </c>
      <c r="E93" s="197" t="s">
        <v>750</v>
      </c>
      <c r="F93" s="85">
        <v>45903</v>
      </c>
      <c r="G93" s="200" t="s">
        <v>751</v>
      </c>
      <c r="H93" s="32" t="s">
        <v>39</v>
      </c>
      <c r="I93" s="33" t="s">
        <v>40</v>
      </c>
      <c r="J93" s="34" t="s">
        <v>41</v>
      </c>
      <c r="K93" s="35" t="s">
        <v>80</v>
      </c>
      <c r="L93" s="35" t="s">
        <v>43</v>
      </c>
      <c r="M93" s="45" t="s">
        <v>752</v>
      </c>
      <c r="N93" s="87" t="s">
        <v>753</v>
      </c>
      <c r="O93" s="97" t="s">
        <v>754</v>
      </c>
      <c r="P93" s="104" t="s">
        <v>47</v>
      </c>
      <c r="Q93" s="98">
        <v>45903</v>
      </c>
      <c r="R93" s="98">
        <v>45904</v>
      </c>
      <c r="S93" s="35">
        <f t="shared" si="30"/>
        <v>2</v>
      </c>
      <c r="T93" s="60">
        <v>45929</v>
      </c>
      <c r="U93" s="35">
        <f t="shared" si="31"/>
        <v>26</v>
      </c>
      <c r="V93" s="246" t="s">
        <v>97</v>
      </c>
      <c r="W93" s="42">
        <v>45929</v>
      </c>
      <c r="X93" s="42">
        <v>45930</v>
      </c>
      <c r="Y93" s="447" t="s">
        <v>47</v>
      </c>
      <c r="Z93" s="41" t="s">
        <v>47</v>
      </c>
      <c r="AA93" s="35" t="e">
        <f t="shared" si="32"/>
        <v>#VALUE!</v>
      </c>
      <c r="AB93" s="35" t="s">
        <v>47</v>
      </c>
      <c r="AC93" s="35" t="str">
        <f t="shared" si="11"/>
        <v>ABC</v>
      </c>
      <c r="AD93" s="83" t="s">
        <v>63</v>
      </c>
      <c r="AE93" s="87" t="s">
        <v>47</v>
      </c>
      <c r="AF93" s="87" t="s">
        <v>47</v>
      </c>
      <c r="AG93" s="95" t="s">
        <v>755</v>
      </c>
      <c r="AH93" s="111"/>
      <c r="AI93" s="111"/>
    </row>
    <row r="94" spans="1:35" ht="82.5" customHeight="1">
      <c r="A94" s="216" t="s">
        <v>62</v>
      </c>
      <c r="B94" s="26"/>
      <c r="C94" s="83"/>
      <c r="D94" s="206" t="s">
        <v>756</v>
      </c>
      <c r="E94" s="197" t="s">
        <v>757</v>
      </c>
      <c r="F94" s="85">
        <v>45909</v>
      </c>
      <c r="G94" s="86" t="s">
        <v>758</v>
      </c>
      <c r="H94" s="32" t="s">
        <v>39</v>
      </c>
      <c r="I94" s="33" t="s">
        <v>104</v>
      </c>
      <c r="J94" s="34" t="s">
        <v>41</v>
      </c>
      <c r="K94" s="35" t="s">
        <v>42</v>
      </c>
      <c r="L94" s="35" t="s">
        <v>68</v>
      </c>
      <c r="M94" s="45" t="s">
        <v>759</v>
      </c>
      <c r="N94" s="87" t="s">
        <v>760</v>
      </c>
      <c r="O94" s="97" t="s">
        <v>761</v>
      </c>
      <c r="P94" s="104" t="s">
        <v>47</v>
      </c>
      <c r="Q94" s="98">
        <v>45915</v>
      </c>
      <c r="R94" s="98">
        <v>45916</v>
      </c>
      <c r="S94" s="35">
        <f t="shared" si="30"/>
        <v>2</v>
      </c>
      <c r="T94" s="250">
        <v>46013</v>
      </c>
      <c r="U94" s="35">
        <f t="shared" si="31"/>
        <v>98</v>
      </c>
      <c r="V94" s="241" t="s">
        <v>97</v>
      </c>
      <c r="W94" s="42">
        <v>46066</v>
      </c>
      <c r="X94" s="42">
        <v>46072</v>
      </c>
      <c r="Y94" s="447" t="s">
        <v>47</v>
      </c>
      <c r="Z94" s="41" t="s">
        <v>47</v>
      </c>
      <c r="AA94" s="35">
        <f t="shared" si="32"/>
        <v>25</v>
      </c>
      <c r="AB94" s="42">
        <v>46096</v>
      </c>
      <c r="AC94" s="35">
        <f t="shared" si="11"/>
        <v>188</v>
      </c>
      <c r="AD94" s="83" t="s">
        <v>49</v>
      </c>
      <c r="AE94" s="87"/>
      <c r="AF94" s="87"/>
      <c r="AG94" s="112" t="s">
        <v>762</v>
      </c>
      <c r="AH94" s="111"/>
      <c r="AI94" s="111"/>
    </row>
    <row r="95" spans="1:35" ht="82.5" customHeight="1">
      <c r="A95" s="216" t="s">
        <v>123</v>
      </c>
      <c r="B95" s="26" t="s">
        <v>47</v>
      </c>
      <c r="C95" s="83" t="s">
        <v>63</v>
      </c>
      <c r="D95" s="206" t="s">
        <v>763</v>
      </c>
      <c r="E95" s="197" t="s">
        <v>764</v>
      </c>
      <c r="F95" s="85">
        <v>45908</v>
      </c>
      <c r="G95" s="86" t="s">
        <v>765</v>
      </c>
      <c r="H95" s="32" t="s">
        <v>175</v>
      </c>
      <c r="I95" s="33" t="s">
        <v>104</v>
      </c>
      <c r="J95" s="34" t="s">
        <v>41</v>
      </c>
      <c r="K95" s="35" t="s">
        <v>80</v>
      </c>
      <c r="L95" s="35" t="s">
        <v>112</v>
      </c>
      <c r="M95" s="45" t="s">
        <v>766</v>
      </c>
      <c r="N95" s="87" t="s">
        <v>113</v>
      </c>
      <c r="O95" s="97" t="s">
        <v>767</v>
      </c>
      <c r="P95" s="104" t="s">
        <v>47</v>
      </c>
      <c r="Q95" s="98">
        <v>45915</v>
      </c>
      <c r="R95" s="98">
        <v>45916</v>
      </c>
      <c r="S95" s="35">
        <f t="shared" si="30"/>
        <v>2</v>
      </c>
      <c r="T95" s="105">
        <v>45919</v>
      </c>
      <c r="U95" s="35">
        <f t="shared" si="31"/>
        <v>4</v>
      </c>
      <c r="V95" s="92" t="s">
        <v>72</v>
      </c>
      <c r="W95" s="42">
        <v>45929</v>
      </c>
      <c r="X95" s="42">
        <v>45930</v>
      </c>
      <c r="Y95" s="447" t="s">
        <v>47</v>
      </c>
      <c r="Z95" s="41" t="s">
        <v>47</v>
      </c>
      <c r="AA95" s="35" t="e">
        <f t="shared" si="32"/>
        <v>#VALUE!</v>
      </c>
      <c r="AB95" s="35" t="s">
        <v>47</v>
      </c>
      <c r="AC95" s="35" t="str">
        <f t="shared" si="11"/>
        <v>ABC</v>
      </c>
      <c r="AD95" s="83" t="s">
        <v>73</v>
      </c>
      <c r="AE95" s="87" t="s">
        <v>47</v>
      </c>
      <c r="AF95" s="87" t="s">
        <v>47</v>
      </c>
      <c r="AG95" s="95" t="s">
        <v>768</v>
      </c>
      <c r="AH95" s="111"/>
      <c r="AI95" s="111"/>
    </row>
    <row r="96" spans="1:35" ht="82.5" customHeight="1">
      <c r="A96" s="216" t="s">
        <v>392</v>
      </c>
      <c r="B96" s="26" t="s">
        <v>47</v>
      </c>
      <c r="C96" s="83" t="s">
        <v>63</v>
      </c>
      <c r="D96" s="206" t="s">
        <v>769</v>
      </c>
      <c r="E96" s="220" t="s">
        <v>770</v>
      </c>
      <c r="F96" s="85">
        <v>45915</v>
      </c>
      <c r="G96" s="86" t="s">
        <v>771</v>
      </c>
      <c r="H96" s="32" t="s">
        <v>39</v>
      </c>
      <c r="I96" s="33" t="s">
        <v>40</v>
      </c>
      <c r="J96" s="34" t="s">
        <v>225</v>
      </c>
      <c r="K96" s="35" t="s">
        <v>772</v>
      </c>
      <c r="L96" s="35" t="s">
        <v>63</v>
      </c>
      <c r="M96" s="45" t="s">
        <v>773</v>
      </c>
      <c r="N96" s="87" t="s">
        <v>774</v>
      </c>
      <c r="O96" s="97" t="s">
        <v>775</v>
      </c>
      <c r="P96" s="104" t="s">
        <v>47</v>
      </c>
      <c r="Q96" s="98">
        <v>45915</v>
      </c>
      <c r="R96" s="98">
        <v>45916</v>
      </c>
      <c r="S96" s="35">
        <f>IFERROR((R96-Q96)+1,"ABC")</f>
        <v>2</v>
      </c>
      <c r="T96" s="60">
        <v>45930</v>
      </c>
      <c r="U96" s="35">
        <f t="shared" si="31"/>
        <v>15</v>
      </c>
      <c r="V96" s="92" t="s">
        <v>304</v>
      </c>
      <c r="W96" s="251">
        <v>45930</v>
      </c>
      <c r="X96" s="35" t="s">
        <v>47</v>
      </c>
      <c r="Y96" s="447" t="s">
        <v>47</v>
      </c>
      <c r="Z96" s="41" t="s">
        <v>47</v>
      </c>
      <c r="AA96" s="35" t="e">
        <f t="shared" si="32"/>
        <v>#VALUE!</v>
      </c>
      <c r="AB96" s="35" t="s">
        <v>47</v>
      </c>
      <c r="AC96" s="35" t="str">
        <f t="shared" si="11"/>
        <v>ABC</v>
      </c>
      <c r="AD96" s="83" t="s">
        <v>63</v>
      </c>
      <c r="AE96" s="87" t="s">
        <v>47</v>
      </c>
      <c r="AF96" s="87" t="s">
        <v>47</v>
      </c>
      <c r="AG96" s="112" t="s">
        <v>47</v>
      </c>
      <c r="AH96" s="111"/>
      <c r="AI96" s="111"/>
    </row>
    <row r="97" spans="1:35" ht="82.5" customHeight="1">
      <c r="A97" s="216" t="s">
        <v>123</v>
      </c>
      <c r="B97" s="26" t="s">
        <v>47</v>
      </c>
      <c r="C97" s="83" t="s">
        <v>63</v>
      </c>
      <c r="D97" s="206" t="s">
        <v>776</v>
      </c>
      <c r="E97" s="197" t="s">
        <v>777</v>
      </c>
      <c r="F97" s="85">
        <v>45915</v>
      </c>
      <c r="G97" s="86" t="s">
        <v>778</v>
      </c>
      <c r="H97" s="32" t="s">
        <v>56</v>
      </c>
      <c r="I97" s="33" t="s">
        <v>104</v>
      </c>
      <c r="J97" s="34" t="s">
        <v>779</v>
      </c>
      <c r="K97" s="35" t="s">
        <v>57</v>
      </c>
      <c r="L97" s="35" t="s">
        <v>63</v>
      </c>
      <c r="M97" s="45" t="s">
        <v>780</v>
      </c>
      <c r="N97" s="87" t="s">
        <v>781</v>
      </c>
      <c r="O97" s="97" t="s">
        <v>782</v>
      </c>
      <c r="P97" s="104" t="s">
        <v>783</v>
      </c>
      <c r="Q97" s="98">
        <v>45915</v>
      </c>
      <c r="R97" s="98">
        <v>45916</v>
      </c>
      <c r="S97" s="35">
        <f>(R97-Q97)+1</f>
        <v>2</v>
      </c>
      <c r="T97" s="105">
        <v>45968</v>
      </c>
      <c r="U97" s="35">
        <f t="shared" si="31"/>
        <v>53</v>
      </c>
      <c r="V97" s="92" t="s">
        <v>97</v>
      </c>
      <c r="W97" s="42">
        <v>45968</v>
      </c>
      <c r="X97" s="231">
        <v>45971</v>
      </c>
      <c r="Y97" s="451">
        <v>46020</v>
      </c>
      <c r="Z97" s="108">
        <v>46027</v>
      </c>
      <c r="AA97" s="35" t="e">
        <f t="shared" si="32"/>
        <v>#VALUE!</v>
      </c>
      <c r="AB97" s="35" t="s">
        <v>47</v>
      </c>
      <c r="AC97" s="35" t="str">
        <f t="shared" si="11"/>
        <v>ABC</v>
      </c>
      <c r="AD97" s="83" t="s">
        <v>49</v>
      </c>
      <c r="AE97" s="87" t="s">
        <v>47</v>
      </c>
      <c r="AF97" s="87" t="s">
        <v>47</v>
      </c>
      <c r="AG97" s="112" t="s">
        <v>47</v>
      </c>
      <c r="AH97" s="111"/>
      <c r="AI97" s="111"/>
    </row>
    <row r="98" spans="1:35" ht="82.5" customHeight="1">
      <c r="A98" s="82" t="s">
        <v>123</v>
      </c>
      <c r="B98" s="26" t="s">
        <v>47</v>
      </c>
      <c r="C98" s="83" t="s">
        <v>63</v>
      </c>
      <c r="D98" s="206" t="s">
        <v>784</v>
      </c>
      <c r="E98" s="197" t="s">
        <v>785</v>
      </c>
      <c r="F98" s="85">
        <v>45918</v>
      </c>
      <c r="G98" s="86" t="s">
        <v>786</v>
      </c>
      <c r="H98" s="32" t="s">
        <v>119</v>
      </c>
      <c r="I98" s="33" t="s">
        <v>104</v>
      </c>
      <c r="J98" s="34" t="s">
        <v>41</v>
      </c>
      <c r="K98" s="35" t="s">
        <v>80</v>
      </c>
      <c r="L98" s="35" t="s">
        <v>43</v>
      </c>
      <c r="M98" s="45" t="s">
        <v>787</v>
      </c>
      <c r="N98" s="87" t="s">
        <v>788</v>
      </c>
      <c r="O98" s="97" t="s">
        <v>789</v>
      </c>
      <c r="P98" s="104" t="s">
        <v>790</v>
      </c>
      <c r="Q98" s="98">
        <v>45922</v>
      </c>
      <c r="R98" s="98">
        <v>45926</v>
      </c>
      <c r="S98" s="35">
        <f t="shared" ref="S98:S104" si="33">IFERROR((R98-Q98)+1,"ABC")</f>
        <v>5</v>
      </c>
      <c r="T98" s="250">
        <v>45989</v>
      </c>
      <c r="U98" s="35">
        <f t="shared" si="31"/>
        <v>64</v>
      </c>
      <c r="V98" s="92" t="s">
        <v>97</v>
      </c>
      <c r="W98" s="42">
        <v>45995</v>
      </c>
      <c r="X98" s="42">
        <v>45996</v>
      </c>
      <c r="Y98" s="447" t="s">
        <v>47</v>
      </c>
      <c r="Z98" s="41" t="s">
        <v>47</v>
      </c>
      <c r="AA98" s="35" t="e">
        <f t="shared" si="32"/>
        <v>#VALUE!</v>
      </c>
      <c r="AB98" s="35" t="s">
        <v>47</v>
      </c>
      <c r="AC98" s="35" t="str">
        <f t="shared" si="11"/>
        <v>ABC</v>
      </c>
      <c r="AD98" s="83" t="s">
        <v>73</v>
      </c>
      <c r="AE98" s="87" t="s">
        <v>47</v>
      </c>
      <c r="AF98" s="87" t="s">
        <v>47</v>
      </c>
      <c r="AG98" s="95" t="s">
        <v>791</v>
      </c>
      <c r="AH98" s="111"/>
      <c r="AI98" s="111"/>
    </row>
    <row r="99" spans="1:35" ht="82.5" customHeight="1">
      <c r="A99" s="49" t="s">
        <v>62</v>
      </c>
      <c r="B99" s="26" t="s">
        <v>792</v>
      </c>
      <c r="C99" s="83" t="s">
        <v>63</v>
      </c>
      <c r="D99" s="96" t="s">
        <v>793</v>
      </c>
      <c r="E99" s="197" t="s">
        <v>794</v>
      </c>
      <c r="F99" s="85">
        <v>45918</v>
      </c>
      <c r="G99" s="86" t="s">
        <v>795</v>
      </c>
      <c r="H99" s="32" t="s">
        <v>39</v>
      </c>
      <c r="I99" s="33" t="s">
        <v>40</v>
      </c>
      <c r="J99" s="34" t="s">
        <v>41</v>
      </c>
      <c r="K99" s="35" t="s">
        <v>42</v>
      </c>
      <c r="L99" s="35" t="s">
        <v>366</v>
      </c>
      <c r="M99" s="45" t="s">
        <v>796</v>
      </c>
      <c r="N99" s="87" t="s">
        <v>797</v>
      </c>
      <c r="O99" s="97" t="s">
        <v>798</v>
      </c>
      <c r="P99" s="104" t="s">
        <v>799</v>
      </c>
      <c r="Q99" s="98">
        <v>45922</v>
      </c>
      <c r="R99" s="98">
        <v>45922</v>
      </c>
      <c r="S99" s="35">
        <f t="shared" si="33"/>
        <v>1</v>
      </c>
      <c r="T99" s="245">
        <v>45958</v>
      </c>
      <c r="U99" s="35">
        <f>(T99-R99)+1</f>
        <v>37</v>
      </c>
      <c r="V99" s="92" t="s">
        <v>97</v>
      </c>
      <c r="W99" s="231">
        <v>45958</v>
      </c>
      <c r="X99" s="231">
        <v>45958</v>
      </c>
      <c r="Y99" s="451">
        <v>45973</v>
      </c>
      <c r="Z99" s="124">
        <v>45996</v>
      </c>
      <c r="AA99" s="35">
        <f t="shared" si="32"/>
        <v>81</v>
      </c>
      <c r="AB99" s="42">
        <v>46038</v>
      </c>
      <c r="AC99" s="35">
        <f t="shared" si="11"/>
        <v>121</v>
      </c>
      <c r="AD99" s="83" t="s">
        <v>49</v>
      </c>
      <c r="AE99" s="87" t="s">
        <v>47</v>
      </c>
      <c r="AF99" s="87" t="s">
        <v>47</v>
      </c>
      <c r="AG99" s="112" t="s">
        <v>800</v>
      </c>
      <c r="AH99" s="111"/>
      <c r="AI99" s="111"/>
    </row>
    <row r="100" spans="1:35" ht="64.5" customHeight="1">
      <c r="A100" s="86" t="s">
        <v>201</v>
      </c>
      <c r="B100" s="26">
        <v>57</v>
      </c>
      <c r="C100" s="83" t="s">
        <v>63</v>
      </c>
      <c r="D100" s="252" t="s">
        <v>801</v>
      </c>
      <c r="E100" s="197" t="s">
        <v>802</v>
      </c>
      <c r="F100" s="85">
        <v>45918</v>
      </c>
      <c r="G100" s="86" t="s">
        <v>803</v>
      </c>
      <c r="H100" s="32" t="s">
        <v>175</v>
      </c>
      <c r="I100" s="33" t="s">
        <v>40</v>
      </c>
      <c r="J100" s="34" t="s">
        <v>41</v>
      </c>
      <c r="K100" s="35" t="s">
        <v>80</v>
      </c>
      <c r="L100" s="35" t="s">
        <v>112</v>
      </c>
      <c r="M100" s="45" t="s">
        <v>804</v>
      </c>
      <c r="N100" s="253">
        <v>45925</v>
      </c>
      <c r="O100" s="97" t="s">
        <v>805</v>
      </c>
      <c r="P100" s="254" t="s">
        <v>806</v>
      </c>
      <c r="Q100" s="98">
        <v>45922</v>
      </c>
      <c r="R100" s="98">
        <v>45922</v>
      </c>
      <c r="S100" s="35">
        <f t="shared" si="33"/>
        <v>1</v>
      </c>
      <c r="T100" s="60">
        <v>45925</v>
      </c>
      <c r="U100" s="35">
        <f t="shared" ref="U100:U106" si="34">IFERROR((T100-R100)+1,"ABC")</f>
        <v>4</v>
      </c>
      <c r="V100" s="92" t="s">
        <v>72</v>
      </c>
      <c r="W100" s="42">
        <v>45929</v>
      </c>
      <c r="X100" s="42">
        <v>45930</v>
      </c>
      <c r="Y100" s="447" t="s">
        <v>47</v>
      </c>
      <c r="Z100" s="41" t="s">
        <v>47</v>
      </c>
      <c r="AA100" s="35">
        <f t="shared" si="32"/>
        <v>59</v>
      </c>
      <c r="AB100" s="231">
        <v>45988</v>
      </c>
      <c r="AC100" s="35">
        <f t="shared" si="11"/>
        <v>71</v>
      </c>
      <c r="AD100" s="83" t="s">
        <v>73</v>
      </c>
      <c r="AE100" s="87" t="s">
        <v>47</v>
      </c>
      <c r="AF100" s="87" t="s">
        <v>47</v>
      </c>
      <c r="AG100" s="95" t="s">
        <v>807</v>
      </c>
      <c r="AH100" s="111"/>
      <c r="AI100" s="111"/>
    </row>
    <row r="101" spans="1:35" ht="64.5" customHeight="1">
      <c r="A101" s="82" t="s">
        <v>123</v>
      </c>
      <c r="B101" s="26" t="s">
        <v>47</v>
      </c>
      <c r="C101" s="83" t="s">
        <v>63</v>
      </c>
      <c r="D101" s="255" t="s">
        <v>808</v>
      </c>
      <c r="E101" s="197" t="s">
        <v>809</v>
      </c>
      <c r="F101" s="85">
        <v>45918</v>
      </c>
      <c r="G101" s="86" t="s">
        <v>810</v>
      </c>
      <c r="H101" s="73" t="s">
        <v>39</v>
      </c>
      <c r="I101" s="256" t="s">
        <v>40</v>
      </c>
      <c r="J101" s="34" t="s">
        <v>41</v>
      </c>
      <c r="K101" s="35" t="s">
        <v>57</v>
      </c>
      <c r="L101" s="35" t="s">
        <v>68</v>
      </c>
      <c r="M101" s="257" t="s">
        <v>811</v>
      </c>
      <c r="N101" s="87" t="s">
        <v>812</v>
      </c>
      <c r="O101" s="97" t="s">
        <v>813</v>
      </c>
      <c r="P101" s="258" t="s">
        <v>47</v>
      </c>
      <c r="Q101" s="98">
        <v>45922</v>
      </c>
      <c r="R101" s="98">
        <v>45922</v>
      </c>
      <c r="S101" s="35">
        <f t="shared" si="33"/>
        <v>1</v>
      </c>
      <c r="T101" s="245">
        <v>45958</v>
      </c>
      <c r="U101" s="35">
        <f t="shared" si="34"/>
        <v>37</v>
      </c>
      <c r="V101" s="92" t="s">
        <v>97</v>
      </c>
      <c r="W101" s="231">
        <v>45960</v>
      </c>
      <c r="X101" s="231">
        <v>45961</v>
      </c>
      <c r="Y101" s="447" t="s">
        <v>47</v>
      </c>
      <c r="Z101" s="41" t="s">
        <v>47</v>
      </c>
      <c r="AA101" s="35"/>
      <c r="AB101" s="35"/>
      <c r="AC101" s="35"/>
      <c r="AD101" s="83"/>
      <c r="AE101" s="87"/>
      <c r="AF101" s="87"/>
      <c r="AG101" s="112"/>
      <c r="AH101" s="111"/>
      <c r="AI101" s="111"/>
    </row>
    <row r="102" spans="1:35" ht="64.5" customHeight="1">
      <c r="A102" s="82" t="s">
        <v>62</v>
      </c>
      <c r="B102" s="26" t="s">
        <v>47</v>
      </c>
      <c r="C102" s="83" t="s">
        <v>814</v>
      </c>
      <c r="D102" s="206" t="s">
        <v>815</v>
      </c>
      <c r="E102" s="197" t="s">
        <v>816</v>
      </c>
      <c r="F102" s="85">
        <v>45919</v>
      </c>
      <c r="G102" s="86" t="s">
        <v>817</v>
      </c>
      <c r="H102" s="32" t="s">
        <v>56</v>
      </c>
      <c r="I102" s="33" t="s">
        <v>104</v>
      </c>
      <c r="J102" s="34" t="s">
        <v>79</v>
      </c>
      <c r="K102" s="35" t="s">
        <v>643</v>
      </c>
      <c r="L102" s="35" t="s">
        <v>68</v>
      </c>
      <c r="M102" s="257" t="s">
        <v>818</v>
      </c>
      <c r="N102" s="87" t="s">
        <v>819</v>
      </c>
      <c r="O102" s="97" t="s">
        <v>820</v>
      </c>
      <c r="P102" s="104" t="s">
        <v>817</v>
      </c>
      <c r="Q102" s="98">
        <v>45922</v>
      </c>
      <c r="R102" s="98">
        <v>45924</v>
      </c>
      <c r="S102" s="35">
        <f t="shared" si="33"/>
        <v>3</v>
      </c>
      <c r="T102" s="105">
        <v>45936</v>
      </c>
      <c r="U102" s="35">
        <f t="shared" si="34"/>
        <v>13</v>
      </c>
      <c r="V102" s="92" t="s">
        <v>72</v>
      </c>
      <c r="W102" s="42">
        <v>46304</v>
      </c>
      <c r="X102" s="35" t="s">
        <v>47</v>
      </c>
      <c r="Y102" s="452">
        <v>46150</v>
      </c>
      <c r="Z102" s="108">
        <v>45938</v>
      </c>
      <c r="AA102" s="35">
        <f>(AB102-Z102)+1</f>
        <v>212</v>
      </c>
      <c r="AB102" s="42">
        <v>46149</v>
      </c>
      <c r="AC102" s="35">
        <f t="shared" ref="AC102:AC107" si="35">IFERROR((AB102-F102)+1,"ABC")</f>
        <v>231</v>
      </c>
      <c r="AD102" s="83" t="s">
        <v>49</v>
      </c>
      <c r="AE102" s="87" t="s">
        <v>47</v>
      </c>
      <c r="AF102" s="87" t="s">
        <v>47</v>
      </c>
      <c r="AG102" s="112" t="s">
        <v>821</v>
      </c>
      <c r="AH102" s="111"/>
      <c r="AI102" s="111"/>
    </row>
    <row r="103" spans="1:35" ht="51.75" customHeight="1">
      <c r="A103" s="82" t="s">
        <v>246</v>
      </c>
      <c r="B103" s="26" t="s">
        <v>47</v>
      </c>
      <c r="C103" s="234" t="s">
        <v>822</v>
      </c>
      <c r="D103" s="259" t="s">
        <v>823</v>
      </c>
      <c r="E103" s="197" t="s">
        <v>824</v>
      </c>
      <c r="F103" s="85">
        <v>45959</v>
      </c>
      <c r="G103" s="86" t="s">
        <v>825</v>
      </c>
      <c r="H103" s="32" t="s">
        <v>175</v>
      </c>
      <c r="I103" s="33" t="s">
        <v>104</v>
      </c>
      <c r="J103" s="34" t="s">
        <v>41</v>
      </c>
      <c r="K103" s="35" t="s">
        <v>80</v>
      </c>
      <c r="L103" s="35" t="s">
        <v>68</v>
      </c>
      <c r="M103" s="249" t="s">
        <v>826</v>
      </c>
      <c r="N103" s="87" t="s">
        <v>827</v>
      </c>
      <c r="O103" s="97" t="s">
        <v>828</v>
      </c>
      <c r="P103" s="104" t="s">
        <v>514</v>
      </c>
      <c r="Q103" s="213">
        <v>45959</v>
      </c>
      <c r="R103" s="213">
        <v>45960</v>
      </c>
      <c r="S103" s="35">
        <f t="shared" si="33"/>
        <v>2</v>
      </c>
      <c r="T103" s="105">
        <v>45968</v>
      </c>
      <c r="U103" s="35">
        <f t="shared" si="34"/>
        <v>9</v>
      </c>
      <c r="V103" s="92" t="s">
        <v>72</v>
      </c>
      <c r="W103" s="231">
        <v>45978</v>
      </c>
      <c r="X103" s="231">
        <v>45980</v>
      </c>
      <c r="Y103" s="447" t="s">
        <v>47</v>
      </c>
      <c r="Z103" s="41" t="s">
        <v>47</v>
      </c>
      <c r="AA103" s="35">
        <f t="shared" ref="AA103:AA105" si="36">(AB103-X103)+1</f>
        <v>29</v>
      </c>
      <c r="AB103" s="231">
        <v>46008</v>
      </c>
      <c r="AC103" s="35">
        <f t="shared" si="35"/>
        <v>50</v>
      </c>
      <c r="AD103" s="83" t="s">
        <v>73</v>
      </c>
      <c r="AE103" s="87" t="s">
        <v>47</v>
      </c>
      <c r="AF103" s="87" t="s">
        <v>47</v>
      </c>
      <c r="AG103" s="95" t="s">
        <v>829</v>
      </c>
      <c r="AH103" s="111"/>
      <c r="AI103" s="111"/>
    </row>
    <row r="104" spans="1:35" ht="42" customHeight="1">
      <c r="A104" s="82" t="s">
        <v>62</v>
      </c>
      <c r="B104" s="26" t="s">
        <v>47</v>
      </c>
      <c r="C104" s="83" t="s">
        <v>100</v>
      </c>
      <c r="D104" s="206" t="s">
        <v>830</v>
      </c>
      <c r="E104" s="197" t="s">
        <v>831</v>
      </c>
      <c r="F104" s="85">
        <v>45924</v>
      </c>
      <c r="G104" s="86" t="s">
        <v>832</v>
      </c>
      <c r="H104" s="32" t="s">
        <v>175</v>
      </c>
      <c r="I104" s="33" t="s">
        <v>104</v>
      </c>
      <c r="J104" s="34" t="s">
        <v>41</v>
      </c>
      <c r="K104" s="35" t="s">
        <v>80</v>
      </c>
      <c r="L104" s="35" t="s">
        <v>68</v>
      </c>
      <c r="M104" s="45" t="s">
        <v>833</v>
      </c>
      <c r="N104" s="87" t="s">
        <v>834</v>
      </c>
      <c r="O104" s="97" t="s">
        <v>835</v>
      </c>
      <c r="P104" s="104" t="s">
        <v>514</v>
      </c>
      <c r="Q104" s="98">
        <v>45930</v>
      </c>
      <c r="R104" s="98">
        <v>45930</v>
      </c>
      <c r="S104" s="35">
        <f t="shared" si="33"/>
        <v>1</v>
      </c>
      <c r="T104" s="250">
        <v>45989</v>
      </c>
      <c r="U104" s="35">
        <f t="shared" si="34"/>
        <v>60</v>
      </c>
      <c r="V104" s="241" t="s">
        <v>97</v>
      </c>
      <c r="W104" s="42">
        <v>6693408</v>
      </c>
      <c r="X104" s="42">
        <v>45996</v>
      </c>
      <c r="Y104" s="447" t="s">
        <v>47</v>
      </c>
      <c r="Z104" s="41" t="s">
        <v>47</v>
      </c>
      <c r="AA104" s="35">
        <f t="shared" si="36"/>
        <v>13</v>
      </c>
      <c r="AB104" s="231">
        <v>46008</v>
      </c>
      <c r="AC104" s="35">
        <f t="shared" si="35"/>
        <v>85</v>
      </c>
      <c r="AD104" s="83" t="s">
        <v>73</v>
      </c>
      <c r="AE104" s="87" t="s">
        <v>47</v>
      </c>
      <c r="AF104" s="87" t="s">
        <v>47</v>
      </c>
      <c r="AG104" s="95" t="s">
        <v>836</v>
      </c>
      <c r="AH104" s="111"/>
      <c r="AI104" s="111"/>
    </row>
    <row r="105" spans="1:35">
      <c r="A105" s="82" t="s">
        <v>180</v>
      </c>
      <c r="B105" s="26" t="s">
        <v>47</v>
      </c>
      <c r="C105" s="83" t="s">
        <v>63</v>
      </c>
      <c r="D105" s="206" t="s">
        <v>837</v>
      </c>
      <c r="E105" s="197" t="s">
        <v>838</v>
      </c>
      <c r="F105" s="85">
        <v>45931</v>
      </c>
      <c r="G105" s="86" t="s">
        <v>839</v>
      </c>
      <c r="H105" s="32" t="s">
        <v>175</v>
      </c>
      <c r="I105" s="33" t="s">
        <v>40</v>
      </c>
      <c r="J105" s="34" t="s">
        <v>41</v>
      </c>
      <c r="K105" s="35" t="s">
        <v>80</v>
      </c>
      <c r="L105" s="35" t="s">
        <v>43</v>
      </c>
      <c r="M105" s="40" t="s">
        <v>840</v>
      </c>
      <c r="N105" s="87" t="s">
        <v>841</v>
      </c>
      <c r="O105" s="97" t="s">
        <v>842</v>
      </c>
      <c r="P105" s="104" t="s">
        <v>843</v>
      </c>
      <c r="Q105" s="98">
        <v>45936</v>
      </c>
      <c r="R105" s="98">
        <v>45936</v>
      </c>
      <c r="S105" s="35"/>
      <c r="T105" s="40" t="s">
        <v>47</v>
      </c>
      <c r="U105" s="35" t="str">
        <f t="shared" si="34"/>
        <v>ABC</v>
      </c>
      <c r="V105" s="92" t="s">
        <v>497</v>
      </c>
      <c r="W105" s="35" t="s">
        <v>47</v>
      </c>
      <c r="X105" s="35" t="s">
        <v>47</v>
      </c>
      <c r="Y105" s="447" t="s">
        <v>47</v>
      </c>
      <c r="Z105" s="41" t="s">
        <v>47</v>
      </c>
      <c r="AA105" s="35" t="e">
        <f t="shared" si="36"/>
        <v>#VALUE!</v>
      </c>
      <c r="AB105" s="35" t="s">
        <v>47</v>
      </c>
      <c r="AC105" s="35" t="str">
        <f t="shared" si="35"/>
        <v>ABC</v>
      </c>
      <c r="AD105" s="83" t="s">
        <v>63</v>
      </c>
      <c r="AE105" s="87" t="s">
        <v>47</v>
      </c>
      <c r="AF105" s="87" t="s">
        <v>47</v>
      </c>
      <c r="AG105" s="95" t="s">
        <v>844</v>
      </c>
      <c r="AH105" s="111"/>
      <c r="AI105" s="111"/>
    </row>
    <row r="106" spans="1:35">
      <c r="A106" s="82" t="s">
        <v>123</v>
      </c>
      <c r="B106" s="26" t="s">
        <v>47</v>
      </c>
      <c r="C106" s="83" t="s">
        <v>63</v>
      </c>
      <c r="D106" s="206" t="s">
        <v>845</v>
      </c>
      <c r="E106" s="197" t="s">
        <v>846</v>
      </c>
      <c r="F106" s="85">
        <v>45931</v>
      </c>
      <c r="G106" s="86" t="s">
        <v>847</v>
      </c>
      <c r="H106" s="32" t="s">
        <v>119</v>
      </c>
      <c r="I106" s="33" t="s">
        <v>104</v>
      </c>
      <c r="J106" s="34" t="s">
        <v>41</v>
      </c>
      <c r="K106" s="35" t="s">
        <v>80</v>
      </c>
      <c r="L106" s="35" t="s">
        <v>43</v>
      </c>
      <c r="M106" s="45" t="s">
        <v>848</v>
      </c>
      <c r="N106" s="87" t="s">
        <v>849</v>
      </c>
      <c r="O106" s="97" t="s">
        <v>850</v>
      </c>
      <c r="P106" s="104" t="s">
        <v>851</v>
      </c>
      <c r="Q106" s="98">
        <v>45936</v>
      </c>
      <c r="R106" s="98">
        <v>45936</v>
      </c>
      <c r="S106" s="35">
        <f t="shared" ref="S106:S118" si="37">IFERROR((R106-Q106)+1,"ABC")</f>
        <v>1</v>
      </c>
      <c r="T106" s="250">
        <v>45958</v>
      </c>
      <c r="U106" s="35">
        <f t="shared" si="34"/>
        <v>23</v>
      </c>
      <c r="V106" s="92" t="s">
        <v>72</v>
      </c>
      <c r="W106" s="231">
        <v>45960</v>
      </c>
      <c r="X106" s="231">
        <v>45961</v>
      </c>
      <c r="Y106" s="447" t="s">
        <v>47</v>
      </c>
      <c r="Z106" s="41" t="s">
        <v>47</v>
      </c>
      <c r="AA106" s="35" t="s">
        <v>47</v>
      </c>
      <c r="AB106" s="35" t="s">
        <v>47</v>
      </c>
      <c r="AC106" s="35" t="str">
        <f t="shared" si="35"/>
        <v>ABC</v>
      </c>
      <c r="AD106" s="83" t="s">
        <v>73</v>
      </c>
      <c r="AE106" s="87" t="s">
        <v>47</v>
      </c>
      <c r="AF106" s="87" t="s">
        <v>47</v>
      </c>
      <c r="AG106" s="95" t="s">
        <v>852</v>
      </c>
      <c r="AH106" s="111"/>
      <c r="AI106" s="111"/>
    </row>
    <row r="107" spans="1:35">
      <c r="A107" s="82" t="s">
        <v>123</v>
      </c>
      <c r="B107" s="26" t="s">
        <v>47</v>
      </c>
      <c r="C107" s="83" t="s">
        <v>63</v>
      </c>
      <c r="D107" s="96" t="s">
        <v>853</v>
      </c>
      <c r="E107" s="197" t="s">
        <v>854</v>
      </c>
      <c r="F107" s="85">
        <v>45937</v>
      </c>
      <c r="G107" s="86" t="s">
        <v>855</v>
      </c>
      <c r="H107" s="32" t="s">
        <v>39</v>
      </c>
      <c r="I107" s="33" t="s">
        <v>104</v>
      </c>
      <c r="J107" s="34" t="s">
        <v>41</v>
      </c>
      <c r="K107" s="35" t="s">
        <v>42</v>
      </c>
      <c r="L107" s="35" t="s">
        <v>112</v>
      </c>
      <c r="M107" s="45" t="s">
        <v>856</v>
      </c>
      <c r="N107" s="87" t="s">
        <v>113</v>
      </c>
      <c r="O107" s="97" t="s">
        <v>47</v>
      </c>
      <c r="P107" s="104" t="s">
        <v>857</v>
      </c>
      <c r="Q107" s="98">
        <v>45938</v>
      </c>
      <c r="R107" s="98">
        <v>45938</v>
      </c>
      <c r="S107" s="35">
        <f t="shared" si="37"/>
        <v>1</v>
      </c>
      <c r="T107" s="250">
        <v>45943</v>
      </c>
      <c r="U107" s="35">
        <f t="shared" ref="U107:U114" si="38">(T107-R107)+1</f>
        <v>6</v>
      </c>
      <c r="V107" s="92" t="s">
        <v>72</v>
      </c>
      <c r="W107" s="231">
        <v>45953</v>
      </c>
      <c r="X107" s="231">
        <v>45954</v>
      </c>
      <c r="Y107" s="447" t="s">
        <v>47</v>
      </c>
      <c r="Z107" s="41" t="s">
        <v>47</v>
      </c>
      <c r="AA107" s="35" t="s">
        <v>47</v>
      </c>
      <c r="AB107" s="35" t="s">
        <v>47</v>
      </c>
      <c r="AC107" s="35" t="str">
        <f t="shared" si="35"/>
        <v>ABC</v>
      </c>
      <c r="AD107" s="83" t="s">
        <v>73</v>
      </c>
      <c r="AE107" s="87" t="s">
        <v>47</v>
      </c>
      <c r="AF107" s="87" t="s">
        <v>47</v>
      </c>
      <c r="AG107" s="95" t="s">
        <v>858</v>
      </c>
      <c r="AH107" s="111"/>
      <c r="AI107" s="111"/>
    </row>
    <row r="108" spans="1:35" ht="63" customHeight="1">
      <c r="A108" s="82" t="s">
        <v>123</v>
      </c>
      <c r="B108" s="26" t="s">
        <v>47</v>
      </c>
      <c r="C108" s="83" t="s">
        <v>63</v>
      </c>
      <c r="D108" s="96" t="s">
        <v>859</v>
      </c>
      <c r="E108" s="197" t="s">
        <v>860</v>
      </c>
      <c r="F108" s="85">
        <v>45937</v>
      </c>
      <c r="G108" s="86" t="s">
        <v>855</v>
      </c>
      <c r="H108" s="32" t="s">
        <v>39</v>
      </c>
      <c r="I108" s="33" t="s">
        <v>104</v>
      </c>
      <c r="J108" s="34" t="s">
        <v>41</v>
      </c>
      <c r="K108" s="35" t="s">
        <v>42</v>
      </c>
      <c r="L108" s="35" t="s">
        <v>112</v>
      </c>
      <c r="M108" s="45" t="s">
        <v>861</v>
      </c>
      <c r="N108" s="87" t="s">
        <v>113</v>
      </c>
      <c r="O108" s="97"/>
      <c r="P108" s="104" t="s">
        <v>857</v>
      </c>
      <c r="Q108" s="98">
        <v>45938</v>
      </c>
      <c r="R108" s="98">
        <v>45938</v>
      </c>
      <c r="S108" s="35">
        <f t="shared" si="37"/>
        <v>1</v>
      </c>
      <c r="T108" s="250">
        <v>45958</v>
      </c>
      <c r="U108" s="35">
        <f t="shared" si="38"/>
        <v>21</v>
      </c>
      <c r="V108" s="92" t="s">
        <v>72</v>
      </c>
      <c r="W108" s="35" t="s">
        <v>862</v>
      </c>
      <c r="X108" s="35"/>
      <c r="Y108" s="447"/>
      <c r="Z108" s="41"/>
      <c r="AA108" s="35"/>
      <c r="AB108" s="35"/>
      <c r="AC108" s="35"/>
      <c r="AD108" s="83"/>
      <c r="AE108" s="87"/>
      <c r="AF108" s="87"/>
      <c r="AG108" s="95" t="s">
        <v>863</v>
      </c>
      <c r="AH108" s="111"/>
      <c r="AI108" s="111"/>
    </row>
    <row r="109" spans="1:35">
      <c r="A109" s="82" t="s">
        <v>123</v>
      </c>
      <c r="B109" s="26" t="s">
        <v>47</v>
      </c>
      <c r="C109" s="83" t="s">
        <v>47</v>
      </c>
      <c r="D109" s="260" t="s">
        <v>864</v>
      </c>
      <c r="E109" s="197" t="s">
        <v>865</v>
      </c>
      <c r="F109" s="85">
        <v>45938</v>
      </c>
      <c r="G109" s="86" t="s">
        <v>866</v>
      </c>
      <c r="H109" s="32" t="s">
        <v>39</v>
      </c>
      <c r="I109" s="33" t="s">
        <v>104</v>
      </c>
      <c r="J109" s="34" t="s">
        <v>41</v>
      </c>
      <c r="K109" s="35" t="s">
        <v>42</v>
      </c>
      <c r="L109" s="35" t="s">
        <v>43</v>
      </c>
      <c r="M109" s="45" t="s">
        <v>867</v>
      </c>
      <c r="N109" s="87" t="s">
        <v>868</v>
      </c>
      <c r="O109" s="97" t="s">
        <v>869</v>
      </c>
      <c r="P109" s="104" t="s">
        <v>866</v>
      </c>
      <c r="Q109" s="98">
        <v>45938</v>
      </c>
      <c r="R109" s="213">
        <v>45961</v>
      </c>
      <c r="S109" s="35">
        <f t="shared" si="37"/>
        <v>24</v>
      </c>
      <c r="T109" s="105">
        <v>46055</v>
      </c>
      <c r="U109" s="35">
        <f t="shared" si="38"/>
        <v>95</v>
      </c>
      <c r="V109" s="92" t="s">
        <v>97</v>
      </c>
      <c r="W109" s="42">
        <v>46059</v>
      </c>
      <c r="X109" s="42">
        <v>46059</v>
      </c>
      <c r="Y109" s="447" t="s">
        <v>47</v>
      </c>
      <c r="Z109" s="41" t="s">
        <v>47</v>
      </c>
      <c r="AA109" s="35" t="s">
        <v>47</v>
      </c>
      <c r="AB109" s="35" t="s">
        <v>47</v>
      </c>
      <c r="AC109" s="35" t="str">
        <f t="shared" ref="AC109:AC118" si="39">IFERROR((AB109-F109)+1,"ABC")</f>
        <v>ABC</v>
      </c>
      <c r="AD109" s="83" t="s">
        <v>73</v>
      </c>
      <c r="AE109" s="87" t="s">
        <v>47</v>
      </c>
      <c r="AF109" s="87" t="s">
        <v>47</v>
      </c>
      <c r="AG109" s="95" t="s">
        <v>870</v>
      </c>
      <c r="AH109" s="111"/>
      <c r="AI109" s="111"/>
    </row>
    <row r="110" spans="1:35">
      <c r="A110" s="82" t="s">
        <v>86</v>
      </c>
      <c r="B110" s="26" t="s">
        <v>47</v>
      </c>
      <c r="C110" s="83" t="s">
        <v>63</v>
      </c>
      <c r="D110" s="248" t="s">
        <v>871</v>
      </c>
      <c r="E110" s="197" t="s">
        <v>872</v>
      </c>
      <c r="F110" s="261">
        <v>45945</v>
      </c>
      <c r="G110" s="86" t="s">
        <v>873</v>
      </c>
      <c r="H110" s="32" t="s">
        <v>175</v>
      </c>
      <c r="I110" s="33" t="s">
        <v>104</v>
      </c>
      <c r="J110" s="34" t="s">
        <v>41</v>
      </c>
      <c r="K110" s="35" t="s">
        <v>80</v>
      </c>
      <c r="L110" s="35" t="s">
        <v>43</v>
      </c>
      <c r="M110" s="45" t="s">
        <v>874</v>
      </c>
      <c r="N110" s="87" t="s">
        <v>875</v>
      </c>
      <c r="O110" s="97" t="s">
        <v>47</v>
      </c>
      <c r="P110" s="104" t="s">
        <v>876</v>
      </c>
      <c r="Q110" s="213">
        <v>45946</v>
      </c>
      <c r="R110" s="213">
        <v>45947</v>
      </c>
      <c r="S110" s="35">
        <f t="shared" si="37"/>
        <v>2</v>
      </c>
      <c r="T110" s="250">
        <v>45958</v>
      </c>
      <c r="U110" s="35">
        <f t="shared" si="38"/>
        <v>12</v>
      </c>
      <c r="V110" s="92" t="s">
        <v>72</v>
      </c>
      <c r="W110" s="231">
        <v>45960</v>
      </c>
      <c r="X110" s="231">
        <v>45961</v>
      </c>
      <c r="Y110" s="447" t="s">
        <v>47</v>
      </c>
      <c r="Z110" s="41" t="s">
        <v>47</v>
      </c>
      <c r="AA110" s="35" t="s">
        <v>47</v>
      </c>
      <c r="AB110" s="35" t="s">
        <v>47</v>
      </c>
      <c r="AC110" s="35" t="str">
        <f t="shared" si="39"/>
        <v>ABC</v>
      </c>
      <c r="AD110" s="83" t="s">
        <v>63</v>
      </c>
      <c r="AE110" s="87" t="s">
        <v>47</v>
      </c>
      <c r="AF110" s="87" t="s">
        <v>47</v>
      </c>
      <c r="AG110" s="95" t="s">
        <v>877</v>
      </c>
      <c r="AH110" s="111"/>
      <c r="AI110" s="111"/>
    </row>
    <row r="111" spans="1:35">
      <c r="A111" s="262" t="s">
        <v>878</v>
      </c>
      <c r="B111" s="26" t="s">
        <v>47</v>
      </c>
      <c r="C111" s="83" t="s">
        <v>63</v>
      </c>
      <c r="D111" s="206" t="s">
        <v>879</v>
      </c>
      <c r="E111" s="197" t="s">
        <v>880</v>
      </c>
      <c r="F111" s="261">
        <v>45946</v>
      </c>
      <c r="G111" s="86" t="s">
        <v>881</v>
      </c>
      <c r="H111" s="32" t="s">
        <v>175</v>
      </c>
      <c r="I111" s="33" t="s">
        <v>104</v>
      </c>
      <c r="J111" s="34" t="s">
        <v>41</v>
      </c>
      <c r="K111" s="35" t="s">
        <v>80</v>
      </c>
      <c r="L111" s="35" t="s">
        <v>132</v>
      </c>
      <c r="M111" s="45" t="s">
        <v>882</v>
      </c>
      <c r="N111" s="87" t="s">
        <v>883</v>
      </c>
      <c r="O111" s="88" t="s">
        <v>884</v>
      </c>
      <c r="P111" s="104" t="s">
        <v>885</v>
      </c>
      <c r="Q111" s="213">
        <v>45946</v>
      </c>
      <c r="R111" s="213">
        <v>45947</v>
      </c>
      <c r="S111" s="35">
        <f t="shared" si="37"/>
        <v>2</v>
      </c>
      <c r="T111" s="250">
        <v>45987</v>
      </c>
      <c r="U111" s="35">
        <f t="shared" si="38"/>
        <v>41</v>
      </c>
      <c r="V111" s="92" t="s">
        <v>97</v>
      </c>
      <c r="W111" s="35" t="s">
        <v>47</v>
      </c>
      <c r="X111" s="35" t="s">
        <v>47</v>
      </c>
      <c r="Y111" s="447" t="s">
        <v>47</v>
      </c>
      <c r="Z111" s="41" t="s">
        <v>47</v>
      </c>
      <c r="AA111" s="35" t="s">
        <v>47</v>
      </c>
      <c r="AB111" s="35" t="s">
        <v>47</v>
      </c>
      <c r="AC111" s="35" t="str">
        <f t="shared" si="39"/>
        <v>ABC</v>
      </c>
      <c r="AD111" s="83" t="s">
        <v>63</v>
      </c>
      <c r="AE111" s="87" t="s">
        <v>47</v>
      </c>
      <c r="AF111" s="87" t="s">
        <v>47</v>
      </c>
      <c r="AG111" s="95" t="s">
        <v>886</v>
      </c>
      <c r="AH111" s="111"/>
      <c r="AI111" s="111"/>
    </row>
    <row r="112" spans="1:35">
      <c r="A112" s="82" t="s">
        <v>180</v>
      </c>
      <c r="B112" s="26" t="s">
        <v>47</v>
      </c>
      <c r="C112" s="83" t="s">
        <v>63</v>
      </c>
      <c r="D112" s="206" t="s">
        <v>887</v>
      </c>
      <c r="E112" s="197" t="s">
        <v>888</v>
      </c>
      <c r="F112" s="85">
        <v>45959</v>
      </c>
      <c r="G112" s="86" t="s">
        <v>889</v>
      </c>
      <c r="H112" s="32" t="s">
        <v>39</v>
      </c>
      <c r="I112" s="33" t="s">
        <v>104</v>
      </c>
      <c r="J112" s="34" t="s">
        <v>41</v>
      </c>
      <c r="K112" s="35" t="s">
        <v>42</v>
      </c>
      <c r="L112" s="35" t="s">
        <v>68</v>
      </c>
      <c r="M112" s="45" t="s">
        <v>63</v>
      </c>
      <c r="N112" s="224"/>
      <c r="O112" s="97"/>
      <c r="P112" s="104" t="s">
        <v>889</v>
      </c>
      <c r="Q112" s="213">
        <v>45964</v>
      </c>
      <c r="R112" s="213">
        <v>45964</v>
      </c>
      <c r="S112" s="35">
        <f t="shared" si="37"/>
        <v>1</v>
      </c>
      <c r="T112" s="104" t="s">
        <v>47</v>
      </c>
      <c r="U112" s="35" t="e">
        <f t="shared" si="38"/>
        <v>#VALUE!</v>
      </c>
      <c r="V112" s="241" t="s">
        <v>497</v>
      </c>
      <c r="W112" s="35" t="s">
        <v>84</v>
      </c>
      <c r="X112" s="35" t="s">
        <v>47</v>
      </c>
      <c r="Y112" s="447" t="s">
        <v>47</v>
      </c>
      <c r="Z112" s="41" t="s">
        <v>47</v>
      </c>
      <c r="AA112" s="35" t="s">
        <v>47</v>
      </c>
      <c r="AB112" s="35" t="s">
        <v>47</v>
      </c>
      <c r="AC112" s="35" t="str">
        <f t="shared" si="39"/>
        <v>ABC</v>
      </c>
      <c r="AD112" s="83" t="s">
        <v>63</v>
      </c>
      <c r="AE112" s="87" t="s">
        <v>47</v>
      </c>
      <c r="AF112" s="87" t="s">
        <v>47</v>
      </c>
      <c r="AG112" s="112" t="s">
        <v>47</v>
      </c>
      <c r="AH112" s="111"/>
      <c r="AI112" s="111"/>
    </row>
    <row r="113" spans="1:35">
      <c r="A113" s="82" t="s">
        <v>890</v>
      </c>
      <c r="B113" s="26" t="s">
        <v>47</v>
      </c>
      <c r="C113" s="234" t="s">
        <v>891</v>
      </c>
      <c r="D113" s="259" t="s">
        <v>892</v>
      </c>
      <c r="E113" s="197" t="s">
        <v>893</v>
      </c>
      <c r="F113" s="85">
        <v>45966</v>
      </c>
      <c r="G113" s="86" t="s">
        <v>894</v>
      </c>
      <c r="H113" s="32" t="s">
        <v>39</v>
      </c>
      <c r="I113" s="33" t="s">
        <v>40</v>
      </c>
      <c r="J113" s="34" t="s">
        <v>41</v>
      </c>
      <c r="K113" s="35" t="s">
        <v>80</v>
      </c>
      <c r="L113" s="35" t="s">
        <v>675</v>
      </c>
      <c r="M113" s="45" t="s">
        <v>895</v>
      </c>
      <c r="N113" s="263">
        <v>45992</v>
      </c>
      <c r="O113" s="97" t="s">
        <v>896</v>
      </c>
      <c r="P113" s="104" t="s">
        <v>47</v>
      </c>
      <c r="Q113" s="98">
        <v>45967</v>
      </c>
      <c r="R113" s="98">
        <v>45967</v>
      </c>
      <c r="S113" s="35">
        <f t="shared" si="37"/>
        <v>1</v>
      </c>
      <c r="T113" s="60">
        <v>45968</v>
      </c>
      <c r="U113" s="35">
        <f t="shared" si="38"/>
        <v>2</v>
      </c>
      <c r="V113" s="92" t="s">
        <v>72</v>
      </c>
      <c r="W113" s="231">
        <v>45978</v>
      </c>
      <c r="X113" s="231">
        <v>45980</v>
      </c>
      <c r="Y113" s="447" t="s">
        <v>47</v>
      </c>
      <c r="Z113" s="41" t="s">
        <v>47</v>
      </c>
      <c r="AA113" s="35">
        <f>(AB113-X113)+1</f>
        <v>16</v>
      </c>
      <c r="AB113" s="42">
        <v>45995</v>
      </c>
      <c r="AC113" s="35">
        <f t="shared" si="39"/>
        <v>30</v>
      </c>
      <c r="AD113" s="83" t="s">
        <v>897</v>
      </c>
      <c r="AE113" s="87" t="s">
        <v>47</v>
      </c>
      <c r="AF113" s="87" t="s">
        <v>47</v>
      </c>
      <c r="AG113" s="95" t="s">
        <v>898</v>
      </c>
      <c r="AH113" s="111"/>
      <c r="AI113" s="111"/>
    </row>
    <row r="114" spans="1:35">
      <c r="A114" s="82" t="s">
        <v>123</v>
      </c>
      <c r="B114" s="26">
        <v>69</v>
      </c>
      <c r="C114" s="83" t="s">
        <v>63</v>
      </c>
      <c r="D114" s="206" t="s">
        <v>899</v>
      </c>
      <c r="E114" s="197" t="s">
        <v>900</v>
      </c>
      <c r="F114" s="261">
        <v>45971</v>
      </c>
      <c r="G114" s="86" t="s">
        <v>901</v>
      </c>
      <c r="H114" s="32" t="s">
        <v>175</v>
      </c>
      <c r="I114" s="33" t="s">
        <v>104</v>
      </c>
      <c r="J114" s="34" t="s">
        <v>41</v>
      </c>
      <c r="K114" s="35" t="s">
        <v>80</v>
      </c>
      <c r="L114" s="35" t="s">
        <v>132</v>
      </c>
      <c r="M114" s="45" t="s">
        <v>902</v>
      </c>
      <c r="N114" s="87" t="s">
        <v>903</v>
      </c>
      <c r="O114" s="97" t="s">
        <v>47</v>
      </c>
      <c r="P114" s="104" t="s">
        <v>904</v>
      </c>
      <c r="Q114" s="213">
        <v>45971</v>
      </c>
      <c r="R114" s="213">
        <v>45973</v>
      </c>
      <c r="S114" s="35">
        <f t="shared" si="37"/>
        <v>3</v>
      </c>
      <c r="T114" s="250">
        <v>45977</v>
      </c>
      <c r="U114" s="35">
        <f t="shared" si="38"/>
        <v>5</v>
      </c>
      <c r="V114" s="92" t="s">
        <v>72</v>
      </c>
      <c r="W114" s="231">
        <v>45986</v>
      </c>
      <c r="X114" s="231">
        <v>45987</v>
      </c>
      <c r="Y114" s="447" t="s">
        <v>47</v>
      </c>
      <c r="Z114" s="41" t="s">
        <v>47</v>
      </c>
      <c r="AA114" s="35" t="s">
        <v>47</v>
      </c>
      <c r="AB114" s="35" t="s">
        <v>47</v>
      </c>
      <c r="AC114" s="35" t="str">
        <f t="shared" si="39"/>
        <v>ABC</v>
      </c>
      <c r="AD114" s="83" t="s">
        <v>73</v>
      </c>
      <c r="AE114" s="87" t="s">
        <v>47</v>
      </c>
      <c r="AF114" s="87" t="s">
        <v>47</v>
      </c>
      <c r="AG114" s="95" t="s">
        <v>905</v>
      </c>
      <c r="AH114" s="111"/>
      <c r="AI114" s="111"/>
    </row>
    <row r="115" spans="1:35">
      <c r="A115" s="82" t="s">
        <v>123</v>
      </c>
      <c r="B115" s="26" t="s">
        <v>47</v>
      </c>
      <c r="C115" s="83" t="s">
        <v>63</v>
      </c>
      <c r="D115" s="206" t="s">
        <v>906</v>
      </c>
      <c r="E115" s="197" t="s">
        <v>907</v>
      </c>
      <c r="F115" s="261">
        <v>45973</v>
      </c>
      <c r="G115" s="86" t="s">
        <v>908</v>
      </c>
      <c r="H115" s="32" t="s">
        <v>175</v>
      </c>
      <c r="I115" s="33" t="s">
        <v>104</v>
      </c>
      <c r="J115" s="34" t="s">
        <v>41</v>
      </c>
      <c r="K115" s="35" t="s">
        <v>80</v>
      </c>
      <c r="L115" s="35" t="s">
        <v>68</v>
      </c>
      <c r="M115" s="45" t="s">
        <v>909</v>
      </c>
      <c r="N115" s="87" t="s">
        <v>910</v>
      </c>
      <c r="O115" s="97" t="s">
        <v>911</v>
      </c>
      <c r="P115" s="104" t="s">
        <v>912</v>
      </c>
      <c r="Q115" s="213">
        <v>45973</v>
      </c>
      <c r="R115" s="213">
        <v>45974</v>
      </c>
      <c r="S115" s="35">
        <f t="shared" si="37"/>
        <v>2</v>
      </c>
      <c r="T115" s="250">
        <v>45988</v>
      </c>
      <c r="U115" s="35">
        <f t="shared" ref="U115:U118" si="40">IFERROR((T115-R115)+1,"ABC")</f>
        <v>15</v>
      </c>
      <c r="V115" s="241" t="s">
        <v>97</v>
      </c>
      <c r="W115" s="231">
        <v>46020</v>
      </c>
      <c r="X115" s="42">
        <v>46027</v>
      </c>
      <c r="Y115" s="447" t="s">
        <v>47</v>
      </c>
      <c r="Z115" s="41" t="s">
        <v>47</v>
      </c>
      <c r="AA115" s="35" t="s">
        <v>47</v>
      </c>
      <c r="AB115" s="35" t="s">
        <v>47</v>
      </c>
      <c r="AC115" s="35" t="str">
        <f t="shared" si="39"/>
        <v>ABC</v>
      </c>
      <c r="AD115" s="83" t="s">
        <v>63</v>
      </c>
      <c r="AE115" s="87" t="s">
        <v>47</v>
      </c>
      <c r="AF115" s="87" t="s">
        <v>47</v>
      </c>
      <c r="AG115" s="95" t="s">
        <v>913</v>
      </c>
      <c r="AH115" s="111"/>
      <c r="AI115" s="111"/>
    </row>
    <row r="116" spans="1:35">
      <c r="A116" s="82" t="s">
        <v>123</v>
      </c>
      <c r="B116" s="26" t="s">
        <v>47</v>
      </c>
      <c r="C116" s="83" t="s">
        <v>63</v>
      </c>
      <c r="D116" s="206" t="s">
        <v>914</v>
      </c>
      <c r="E116" s="197" t="s">
        <v>915</v>
      </c>
      <c r="F116" s="261">
        <v>45978</v>
      </c>
      <c r="G116" s="86" t="s">
        <v>916</v>
      </c>
      <c r="H116" s="32" t="s">
        <v>175</v>
      </c>
      <c r="I116" s="33" t="s">
        <v>40</v>
      </c>
      <c r="J116" s="34" t="s">
        <v>41</v>
      </c>
      <c r="K116" s="35" t="s">
        <v>80</v>
      </c>
      <c r="L116" s="35" t="s">
        <v>43</v>
      </c>
      <c r="M116" s="45" t="s">
        <v>917</v>
      </c>
      <c r="N116" s="87" t="s">
        <v>918</v>
      </c>
      <c r="O116" s="97" t="s">
        <v>919</v>
      </c>
      <c r="P116" s="104" t="s">
        <v>920</v>
      </c>
      <c r="Q116" s="213">
        <v>45978</v>
      </c>
      <c r="R116" s="213">
        <v>45980</v>
      </c>
      <c r="S116" s="35">
        <f t="shared" si="37"/>
        <v>3</v>
      </c>
      <c r="T116" s="60">
        <v>45995</v>
      </c>
      <c r="U116" s="35">
        <f t="shared" si="40"/>
        <v>16</v>
      </c>
      <c r="V116" s="92" t="s">
        <v>97</v>
      </c>
      <c r="W116" s="231">
        <v>46007</v>
      </c>
      <c r="X116" s="231">
        <v>46008</v>
      </c>
      <c r="Y116" s="447" t="s">
        <v>47</v>
      </c>
      <c r="Z116" s="41" t="s">
        <v>47</v>
      </c>
      <c r="AA116" s="35" t="s">
        <v>47</v>
      </c>
      <c r="AB116" s="35" t="s">
        <v>47</v>
      </c>
      <c r="AC116" s="35" t="str">
        <f t="shared" si="39"/>
        <v>ABC</v>
      </c>
      <c r="AD116" s="83" t="s">
        <v>63</v>
      </c>
      <c r="AE116" s="87" t="s">
        <v>47</v>
      </c>
      <c r="AF116" s="87" t="s">
        <v>47</v>
      </c>
      <c r="AG116" s="95" t="s">
        <v>921</v>
      </c>
      <c r="AH116" s="111"/>
      <c r="AI116" s="111"/>
    </row>
    <row r="117" spans="1:35">
      <c r="A117" s="82" t="s">
        <v>922</v>
      </c>
      <c r="B117" s="26" t="s">
        <v>47</v>
      </c>
      <c r="C117" s="71" t="s">
        <v>923</v>
      </c>
      <c r="D117" s="206" t="s">
        <v>924</v>
      </c>
      <c r="E117" s="197" t="s">
        <v>925</v>
      </c>
      <c r="F117" s="261">
        <v>45985</v>
      </c>
      <c r="G117" s="86" t="s">
        <v>926</v>
      </c>
      <c r="H117" s="32" t="s">
        <v>119</v>
      </c>
      <c r="I117" s="33" t="s">
        <v>104</v>
      </c>
      <c r="J117" s="34" t="s">
        <v>41</v>
      </c>
      <c r="K117" s="35" t="s">
        <v>80</v>
      </c>
      <c r="L117" s="35" t="s">
        <v>43</v>
      </c>
      <c r="M117" s="45" t="s">
        <v>927</v>
      </c>
      <c r="N117" s="87" t="s">
        <v>928</v>
      </c>
      <c r="O117" s="97" t="s">
        <v>929</v>
      </c>
      <c r="P117" s="104" t="s">
        <v>930</v>
      </c>
      <c r="Q117" s="38" t="s">
        <v>47</v>
      </c>
      <c r="R117" s="38" t="s">
        <v>47</v>
      </c>
      <c r="S117" s="35" t="str">
        <f t="shared" si="37"/>
        <v>ABC</v>
      </c>
      <c r="T117" s="104" t="s">
        <v>47</v>
      </c>
      <c r="U117" s="35" t="str">
        <f t="shared" si="40"/>
        <v>ABC</v>
      </c>
      <c r="V117" s="92" t="s">
        <v>47</v>
      </c>
      <c r="W117" s="35" t="s">
        <v>47</v>
      </c>
      <c r="X117" s="35" t="s">
        <v>47</v>
      </c>
      <c r="Y117" s="447" t="s">
        <v>47</v>
      </c>
      <c r="Z117" s="41" t="s">
        <v>47</v>
      </c>
      <c r="AA117" s="35" t="s">
        <v>47</v>
      </c>
      <c r="AB117" s="35" t="s">
        <v>47</v>
      </c>
      <c r="AC117" s="35" t="str">
        <f t="shared" si="39"/>
        <v>ABC</v>
      </c>
      <c r="AD117" s="83" t="s">
        <v>63</v>
      </c>
      <c r="AE117" s="87" t="s">
        <v>47</v>
      </c>
      <c r="AF117" s="87" t="s">
        <v>47</v>
      </c>
      <c r="AG117" s="95" t="s">
        <v>931</v>
      </c>
      <c r="AH117" s="111"/>
      <c r="AI117" s="111"/>
    </row>
    <row r="118" spans="1:35">
      <c r="A118" s="82" t="s">
        <v>246</v>
      </c>
      <c r="B118" s="26">
        <v>70</v>
      </c>
      <c r="C118" s="83" t="s">
        <v>63</v>
      </c>
      <c r="D118" s="206" t="s">
        <v>932</v>
      </c>
      <c r="E118" s="197" t="s">
        <v>933</v>
      </c>
      <c r="F118" s="261">
        <v>45985</v>
      </c>
      <c r="G118" s="86" t="s">
        <v>934</v>
      </c>
      <c r="H118" s="32" t="s">
        <v>175</v>
      </c>
      <c r="I118" s="33" t="s">
        <v>104</v>
      </c>
      <c r="J118" s="34" t="s">
        <v>41</v>
      </c>
      <c r="K118" s="35" t="s">
        <v>80</v>
      </c>
      <c r="L118" s="35" t="s">
        <v>112</v>
      </c>
      <c r="M118" s="45" t="s">
        <v>935</v>
      </c>
      <c r="N118" s="244">
        <v>45839</v>
      </c>
      <c r="O118" s="97" t="s">
        <v>936</v>
      </c>
      <c r="P118" s="104" t="s">
        <v>937</v>
      </c>
      <c r="Q118" s="213">
        <v>45987</v>
      </c>
      <c r="R118" s="213">
        <v>45987</v>
      </c>
      <c r="S118" s="35">
        <f t="shared" si="37"/>
        <v>1</v>
      </c>
      <c r="T118" s="105">
        <v>45992</v>
      </c>
      <c r="U118" s="35">
        <f t="shared" si="40"/>
        <v>6</v>
      </c>
      <c r="V118" s="241" t="s">
        <v>97</v>
      </c>
      <c r="W118" s="42">
        <v>45995</v>
      </c>
      <c r="X118" s="231">
        <v>45996</v>
      </c>
      <c r="Y118" s="447" t="s">
        <v>47</v>
      </c>
      <c r="Z118" s="41" t="s">
        <v>47</v>
      </c>
      <c r="AA118" s="35" t="s">
        <v>47</v>
      </c>
      <c r="AB118" s="231">
        <v>46008</v>
      </c>
      <c r="AC118" s="35">
        <f t="shared" si="39"/>
        <v>24</v>
      </c>
      <c r="AD118" s="83" t="s">
        <v>897</v>
      </c>
      <c r="AE118" s="87" t="s">
        <v>47</v>
      </c>
      <c r="AF118" s="87" t="s">
        <v>47</v>
      </c>
      <c r="AG118" s="95" t="s">
        <v>938</v>
      </c>
      <c r="AH118" s="111"/>
      <c r="AI118" s="111"/>
    </row>
    <row r="119" spans="1:35">
      <c r="A119" s="82" t="s">
        <v>123</v>
      </c>
      <c r="B119" s="26" t="s">
        <v>47</v>
      </c>
      <c r="C119" s="83" t="s">
        <v>100</v>
      </c>
      <c r="D119" s="206" t="s">
        <v>939</v>
      </c>
      <c r="E119" s="197" t="s">
        <v>940</v>
      </c>
      <c r="F119" s="261">
        <v>45988</v>
      </c>
      <c r="G119" s="86" t="s">
        <v>941</v>
      </c>
      <c r="H119" s="32" t="s">
        <v>39</v>
      </c>
      <c r="I119" s="33" t="s">
        <v>104</v>
      </c>
      <c r="J119" s="34" t="s">
        <v>41</v>
      </c>
      <c r="K119" s="35" t="s">
        <v>42</v>
      </c>
      <c r="L119" s="35" t="s">
        <v>675</v>
      </c>
      <c r="M119" s="45" t="s">
        <v>942</v>
      </c>
      <c r="N119" s="87" t="s">
        <v>113</v>
      </c>
      <c r="O119" s="97" t="s">
        <v>106</v>
      </c>
      <c r="P119" s="104" t="s">
        <v>941</v>
      </c>
      <c r="Q119" s="213">
        <v>46006</v>
      </c>
      <c r="R119" s="213">
        <v>46006</v>
      </c>
      <c r="S119" s="35">
        <f t="shared" ref="S119:S120" si="41">(R119-Q119)+1</f>
        <v>1</v>
      </c>
      <c r="T119" s="250">
        <v>46008</v>
      </c>
      <c r="U119" s="35">
        <f t="shared" ref="U119:U120" si="42">(T119-R119)+1</f>
        <v>3</v>
      </c>
      <c r="V119" s="241" t="s">
        <v>72</v>
      </c>
      <c r="W119" s="42">
        <v>46030</v>
      </c>
      <c r="X119" s="42">
        <v>46030</v>
      </c>
      <c r="Y119" s="447" t="s">
        <v>47</v>
      </c>
      <c r="Z119" s="41" t="s">
        <v>47</v>
      </c>
      <c r="AA119" s="35"/>
      <c r="AB119" s="35"/>
      <c r="AC119" s="35"/>
      <c r="AD119" s="83"/>
      <c r="AE119" s="87"/>
      <c r="AF119" s="87"/>
      <c r="AG119" s="95"/>
      <c r="AH119" s="111"/>
      <c r="AI119" s="111"/>
    </row>
    <row r="120" spans="1:35">
      <c r="A120" s="82" t="s">
        <v>62</v>
      </c>
      <c r="B120" s="26" t="s">
        <v>47</v>
      </c>
      <c r="C120" s="83" t="s">
        <v>100</v>
      </c>
      <c r="D120" s="206" t="s">
        <v>943</v>
      </c>
      <c r="E120" s="197" t="s">
        <v>944</v>
      </c>
      <c r="F120" s="261">
        <v>45992</v>
      </c>
      <c r="G120" s="86" t="s">
        <v>945</v>
      </c>
      <c r="H120" s="32" t="s">
        <v>39</v>
      </c>
      <c r="I120" s="33" t="s">
        <v>104</v>
      </c>
      <c r="J120" s="34" t="s">
        <v>41</v>
      </c>
      <c r="K120" s="35" t="s">
        <v>80</v>
      </c>
      <c r="L120" s="35" t="s">
        <v>43</v>
      </c>
      <c r="M120" s="45" t="s">
        <v>946</v>
      </c>
      <c r="N120" s="87" t="s">
        <v>947</v>
      </c>
      <c r="O120" s="97" t="s">
        <v>948</v>
      </c>
      <c r="P120" s="104" t="s">
        <v>545</v>
      </c>
      <c r="Q120" s="213">
        <v>46006</v>
      </c>
      <c r="R120" s="213">
        <v>46006</v>
      </c>
      <c r="S120" s="35">
        <f t="shared" si="41"/>
        <v>1</v>
      </c>
      <c r="T120" s="105">
        <v>46027</v>
      </c>
      <c r="U120" s="35">
        <f t="shared" si="42"/>
        <v>22</v>
      </c>
      <c r="V120" s="241" t="s">
        <v>97</v>
      </c>
      <c r="W120" s="42">
        <v>46028</v>
      </c>
      <c r="X120" s="42">
        <v>46029</v>
      </c>
      <c r="Y120" s="447" t="s">
        <v>47</v>
      </c>
      <c r="Z120" s="41" t="s">
        <v>47</v>
      </c>
      <c r="AA120" s="35">
        <f>(AB120-X120)+1</f>
        <v>23</v>
      </c>
      <c r="AB120" s="42">
        <v>46051</v>
      </c>
      <c r="AC120" s="35">
        <f>(AB120-F120)+1</f>
        <v>60</v>
      </c>
      <c r="AD120" s="83" t="s">
        <v>73</v>
      </c>
      <c r="AE120" s="87"/>
      <c r="AF120" s="87"/>
      <c r="AG120" s="95" t="s">
        <v>949</v>
      </c>
      <c r="AH120" s="111"/>
      <c r="AI120" s="111"/>
    </row>
    <row r="121" spans="1:35" ht="99" customHeight="1">
      <c r="A121" s="82" t="s">
        <v>392</v>
      </c>
      <c r="B121" s="26" t="s">
        <v>47</v>
      </c>
      <c r="C121" s="83" t="s">
        <v>63</v>
      </c>
      <c r="D121" s="206" t="s">
        <v>950</v>
      </c>
      <c r="E121" s="197" t="s">
        <v>951</v>
      </c>
      <c r="F121" s="261">
        <v>46001</v>
      </c>
      <c r="G121" s="86" t="s">
        <v>952</v>
      </c>
      <c r="H121" s="32" t="s">
        <v>39</v>
      </c>
      <c r="I121" s="33" t="s">
        <v>40</v>
      </c>
      <c r="J121" s="34" t="s">
        <v>79</v>
      </c>
      <c r="K121" s="35" t="s">
        <v>57</v>
      </c>
      <c r="L121" s="35" t="s">
        <v>374</v>
      </c>
      <c r="M121" s="45" t="s">
        <v>953</v>
      </c>
      <c r="N121" s="87" t="s">
        <v>954</v>
      </c>
      <c r="O121" s="97" t="s">
        <v>955</v>
      </c>
      <c r="P121" s="104" t="s">
        <v>956</v>
      </c>
      <c r="Q121" s="213">
        <v>46006</v>
      </c>
      <c r="R121" s="213">
        <v>46009</v>
      </c>
      <c r="S121" s="35">
        <f t="shared" ref="S121:S126" si="43">IFERROR((R121-Q121)+1,"ABC")</f>
        <v>4</v>
      </c>
      <c r="T121" s="40" t="s">
        <v>47</v>
      </c>
      <c r="U121" s="35" t="str">
        <f t="shared" ref="U121:U126" si="44">IFERROR((T121-R121)+1,"ABC")</f>
        <v>ABC</v>
      </c>
      <c r="V121" s="92" t="s">
        <v>47</v>
      </c>
      <c r="W121" s="35" t="s">
        <v>47</v>
      </c>
      <c r="X121" s="35" t="s">
        <v>47</v>
      </c>
      <c r="Y121" s="447" t="s">
        <v>47</v>
      </c>
      <c r="Z121" s="41" t="s">
        <v>47</v>
      </c>
      <c r="AA121" s="35" t="s">
        <v>47</v>
      </c>
      <c r="AB121" s="35" t="s">
        <v>47</v>
      </c>
      <c r="AC121" s="35" t="str">
        <f t="shared" ref="AC121:AC126" si="45">IFERROR((AB121-F121)+1,"ABC")</f>
        <v>ABC</v>
      </c>
      <c r="AD121" s="83" t="s">
        <v>63</v>
      </c>
      <c r="AE121" s="87" t="s">
        <v>47</v>
      </c>
      <c r="AF121" s="87" t="s">
        <v>47</v>
      </c>
      <c r="AG121" s="112" t="s">
        <v>957</v>
      </c>
      <c r="AH121" s="111"/>
      <c r="AI121" s="111"/>
    </row>
    <row r="122" spans="1:35">
      <c r="A122" s="264" t="s">
        <v>123</v>
      </c>
      <c r="B122" s="265" t="s">
        <v>47</v>
      </c>
      <c r="C122" s="84" t="s">
        <v>100</v>
      </c>
      <c r="D122" s="206" t="s">
        <v>958</v>
      </c>
      <c r="E122" s="266" t="s">
        <v>959</v>
      </c>
      <c r="F122" s="267">
        <v>46013</v>
      </c>
      <c r="G122" s="268" t="s">
        <v>960</v>
      </c>
      <c r="H122" s="32" t="s">
        <v>39</v>
      </c>
      <c r="I122" s="33" t="s">
        <v>104</v>
      </c>
      <c r="J122" s="207" t="s">
        <v>41</v>
      </c>
      <c r="K122" s="208" t="s">
        <v>80</v>
      </c>
      <c r="L122" s="208" t="s">
        <v>374</v>
      </c>
      <c r="M122" s="45" t="s">
        <v>961</v>
      </c>
      <c r="N122" s="248" t="s">
        <v>962</v>
      </c>
      <c r="O122" s="97" t="s">
        <v>963</v>
      </c>
      <c r="P122" s="199" t="s">
        <v>964</v>
      </c>
      <c r="Q122" s="211">
        <v>46028</v>
      </c>
      <c r="R122" s="211">
        <v>46034</v>
      </c>
      <c r="S122" s="208">
        <f t="shared" si="43"/>
        <v>7</v>
      </c>
      <c r="T122" s="269">
        <v>46036</v>
      </c>
      <c r="U122" s="208">
        <f t="shared" si="44"/>
        <v>3</v>
      </c>
      <c r="V122" s="210" t="s">
        <v>72</v>
      </c>
      <c r="W122" s="211">
        <v>46044</v>
      </c>
      <c r="X122" s="211">
        <v>46044</v>
      </c>
      <c r="Y122" s="140" t="s">
        <v>47</v>
      </c>
      <c r="Z122" s="270" t="s">
        <v>47</v>
      </c>
      <c r="AA122" s="208" t="s">
        <v>47</v>
      </c>
      <c r="AB122" s="208" t="s">
        <v>47</v>
      </c>
      <c r="AC122" s="208" t="str">
        <f t="shared" si="45"/>
        <v>ABC</v>
      </c>
      <c r="AD122" s="84" t="s">
        <v>73</v>
      </c>
      <c r="AE122" s="271" t="s">
        <v>47</v>
      </c>
      <c r="AF122" s="271" t="s">
        <v>47</v>
      </c>
      <c r="AG122" s="272" t="s">
        <v>965</v>
      </c>
      <c r="AH122" s="212"/>
      <c r="AI122" s="212"/>
    </row>
    <row r="123" spans="1:35">
      <c r="A123" s="82" t="s">
        <v>546</v>
      </c>
      <c r="B123" s="26" t="s">
        <v>47</v>
      </c>
      <c r="C123" s="83" t="s">
        <v>100</v>
      </c>
      <c r="D123" s="206" t="s">
        <v>966</v>
      </c>
      <c r="E123" s="197" t="s">
        <v>967</v>
      </c>
      <c r="F123" s="261">
        <v>46020</v>
      </c>
      <c r="G123" s="86" t="s">
        <v>968</v>
      </c>
      <c r="H123" s="32" t="s">
        <v>39</v>
      </c>
      <c r="I123" s="33" t="s">
        <v>104</v>
      </c>
      <c r="J123" s="34" t="s">
        <v>41</v>
      </c>
      <c r="K123" s="35" t="s">
        <v>80</v>
      </c>
      <c r="L123" s="35" t="s">
        <v>374</v>
      </c>
      <c r="M123" s="45" t="s">
        <v>969</v>
      </c>
      <c r="N123" s="87" t="s">
        <v>970</v>
      </c>
      <c r="O123" s="88" t="s">
        <v>971</v>
      </c>
      <c r="P123" s="104" t="s">
        <v>964</v>
      </c>
      <c r="Q123" s="38" t="s">
        <v>47</v>
      </c>
      <c r="R123" s="38" t="s">
        <v>47</v>
      </c>
      <c r="S123" s="35" t="str">
        <f t="shared" si="43"/>
        <v>ABC</v>
      </c>
      <c r="T123" s="104" t="s">
        <v>47</v>
      </c>
      <c r="U123" s="35" t="str">
        <f t="shared" si="44"/>
        <v>ABC</v>
      </c>
      <c r="V123" s="92" t="s">
        <v>47</v>
      </c>
      <c r="W123" s="35" t="s">
        <v>47</v>
      </c>
      <c r="X123" s="35" t="s">
        <v>47</v>
      </c>
      <c r="Y123" s="447" t="s">
        <v>47</v>
      </c>
      <c r="Z123" s="41" t="s">
        <v>47</v>
      </c>
      <c r="AA123" s="35" t="s">
        <v>47</v>
      </c>
      <c r="AB123" s="35" t="s">
        <v>47</v>
      </c>
      <c r="AC123" s="35" t="str">
        <f t="shared" si="45"/>
        <v>ABC</v>
      </c>
      <c r="AD123" s="83" t="s">
        <v>63</v>
      </c>
      <c r="AE123" s="87" t="s">
        <v>47</v>
      </c>
      <c r="AF123" s="87" t="s">
        <v>47</v>
      </c>
      <c r="AG123" s="112" t="s">
        <v>972</v>
      </c>
      <c r="AH123" s="111"/>
      <c r="AI123" s="111"/>
    </row>
    <row r="124" spans="1:35" ht="79.5" customHeight="1">
      <c r="A124" s="82" t="s">
        <v>546</v>
      </c>
      <c r="B124" s="26" t="s">
        <v>47</v>
      </c>
      <c r="C124" s="83" t="s">
        <v>63</v>
      </c>
      <c r="D124" s="206" t="s">
        <v>973</v>
      </c>
      <c r="E124" s="197" t="s">
        <v>974</v>
      </c>
      <c r="F124" s="261">
        <v>46020</v>
      </c>
      <c r="G124" s="86" t="s">
        <v>975</v>
      </c>
      <c r="H124" s="32" t="s">
        <v>39</v>
      </c>
      <c r="I124" s="33" t="s">
        <v>104</v>
      </c>
      <c r="J124" s="34" t="s">
        <v>41</v>
      </c>
      <c r="K124" s="35" t="s">
        <v>80</v>
      </c>
      <c r="L124" s="35" t="s">
        <v>374</v>
      </c>
      <c r="M124" s="45" t="s">
        <v>976</v>
      </c>
      <c r="N124" s="87" t="s">
        <v>977</v>
      </c>
      <c r="O124" s="97" t="s">
        <v>47</v>
      </c>
      <c r="P124" s="104" t="s">
        <v>978</v>
      </c>
      <c r="Q124" s="38" t="s">
        <v>47</v>
      </c>
      <c r="R124" s="38" t="s">
        <v>47</v>
      </c>
      <c r="S124" s="35" t="str">
        <f t="shared" si="43"/>
        <v>ABC</v>
      </c>
      <c r="T124" s="104" t="s">
        <v>47</v>
      </c>
      <c r="U124" s="35" t="str">
        <f t="shared" si="44"/>
        <v>ABC</v>
      </c>
      <c r="V124" s="92" t="s">
        <v>47</v>
      </c>
      <c r="W124" s="35" t="s">
        <v>47</v>
      </c>
      <c r="X124" s="35" t="s">
        <v>47</v>
      </c>
      <c r="Y124" s="447" t="s">
        <v>47</v>
      </c>
      <c r="Z124" s="41" t="s">
        <v>47</v>
      </c>
      <c r="AA124" s="35" t="s">
        <v>47</v>
      </c>
      <c r="AB124" s="35" t="s">
        <v>47</v>
      </c>
      <c r="AC124" s="35" t="str">
        <f t="shared" si="45"/>
        <v>ABC</v>
      </c>
      <c r="AD124" s="83" t="s">
        <v>63</v>
      </c>
      <c r="AE124" s="87" t="s">
        <v>47</v>
      </c>
      <c r="AF124" s="87" t="s">
        <v>47</v>
      </c>
      <c r="AG124" s="112" t="s">
        <v>47</v>
      </c>
      <c r="AH124" s="111"/>
      <c r="AI124" s="111"/>
    </row>
    <row r="125" spans="1:35">
      <c r="A125" s="82" t="s">
        <v>546</v>
      </c>
      <c r="B125" s="26" t="s">
        <v>47</v>
      </c>
      <c r="C125" s="83" t="s">
        <v>63</v>
      </c>
      <c r="D125" s="206" t="s">
        <v>979</v>
      </c>
      <c r="E125" s="197" t="s">
        <v>980</v>
      </c>
      <c r="F125" s="261">
        <v>46021</v>
      </c>
      <c r="G125" s="86" t="s">
        <v>981</v>
      </c>
      <c r="H125" s="32" t="s">
        <v>119</v>
      </c>
      <c r="I125" s="33" t="s">
        <v>104</v>
      </c>
      <c r="J125" s="34" t="s">
        <v>41</v>
      </c>
      <c r="K125" s="35" t="s">
        <v>80</v>
      </c>
      <c r="L125" s="35" t="s">
        <v>43</v>
      </c>
      <c r="M125" s="45" t="s">
        <v>982</v>
      </c>
      <c r="N125" s="87" t="s">
        <v>983</v>
      </c>
      <c r="O125" s="97" t="s">
        <v>47</v>
      </c>
      <c r="P125" s="104" t="s">
        <v>984</v>
      </c>
      <c r="Q125" s="98">
        <v>46028</v>
      </c>
      <c r="R125" s="38" t="s">
        <v>47</v>
      </c>
      <c r="S125" s="35" t="str">
        <f t="shared" si="43"/>
        <v>ABC</v>
      </c>
      <c r="T125" s="104" t="s">
        <v>47</v>
      </c>
      <c r="U125" s="35" t="str">
        <f t="shared" si="44"/>
        <v>ABC</v>
      </c>
      <c r="V125" s="92" t="s">
        <v>47</v>
      </c>
      <c r="W125" s="35" t="s">
        <v>47</v>
      </c>
      <c r="X125" s="35" t="s">
        <v>47</v>
      </c>
      <c r="Y125" s="447" t="s">
        <v>47</v>
      </c>
      <c r="Z125" s="41" t="s">
        <v>47</v>
      </c>
      <c r="AA125" s="35" t="s">
        <v>47</v>
      </c>
      <c r="AB125" s="35" t="s">
        <v>47</v>
      </c>
      <c r="AC125" s="35" t="str">
        <f t="shared" si="45"/>
        <v>ABC</v>
      </c>
      <c r="AD125" s="83" t="s">
        <v>63</v>
      </c>
      <c r="AE125" s="87" t="s">
        <v>47</v>
      </c>
      <c r="AF125" s="87" t="s">
        <v>47</v>
      </c>
      <c r="AG125" s="112" t="s">
        <v>47</v>
      </c>
      <c r="AH125" s="111"/>
      <c r="AI125" s="111"/>
    </row>
    <row r="126" spans="1:35">
      <c r="A126" s="82" t="s">
        <v>546</v>
      </c>
      <c r="B126" s="26" t="s">
        <v>47</v>
      </c>
      <c r="C126" s="83" t="s">
        <v>63</v>
      </c>
      <c r="D126" s="206" t="s">
        <v>985</v>
      </c>
      <c r="E126" s="197" t="s">
        <v>986</v>
      </c>
      <c r="F126" s="261">
        <v>46021</v>
      </c>
      <c r="G126" s="86" t="s">
        <v>987</v>
      </c>
      <c r="H126" s="32" t="s">
        <v>119</v>
      </c>
      <c r="I126" s="33" t="s">
        <v>104</v>
      </c>
      <c r="J126" s="34" t="s">
        <v>41</v>
      </c>
      <c r="K126" s="35" t="s">
        <v>80</v>
      </c>
      <c r="L126" s="35" t="s">
        <v>43</v>
      </c>
      <c r="M126" s="45" t="s">
        <v>988</v>
      </c>
      <c r="N126" s="87" t="s">
        <v>989</v>
      </c>
      <c r="O126" s="97" t="s">
        <v>47</v>
      </c>
      <c r="P126" s="104" t="s">
        <v>990</v>
      </c>
      <c r="Q126" s="38" t="s">
        <v>47</v>
      </c>
      <c r="R126" s="38" t="s">
        <v>47</v>
      </c>
      <c r="S126" s="35" t="str">
        <f t="shared" si="43"/>
        <v>ABC</v>
      </c>
      <c r="T126" s="104" t="s">
        <v>47</v>
      </c>
      <c r="U126" s="35" t="str">
        <f t="shared" si="44"/>
        <v>ABC</v>
      </c>
      <c r="V126" s="92" t="s">
        <v>47</v>
      </c>
      <c r="W126" s="35" t="s">
        <v>47</v>
      </c>
      <c r="X126" s="35" t="s">
        <v>47</v>
      </c>
      <c r="Y126" s="447" t="s">
        <v>47</v>
      </c>
      <c r="Z126" s="41" t="s">
        <v>47</v>
      </c>
      <c r="AA126" s="35" t="s">
        <v>47</v>
      </c>
      <c r="AB126" s="35" t="s">
        <v>47</v>
      </c>
      <c r="AC126" s="35" t="str">
        <f t="shared" si="45"/>
        <v>ABC</v>
      </c>
      <c r="AD126" s="83" t="s">
        <v>63</v>
      </c>
      <c r="AE126" s="87" t="s">
        <v>47</v>
      </c>
      <c r="AF126" s="87" t="s">
        <v>47</v>
      </c>
      <c r="AG126" s="112" t="s">
        <v>47</v>
      </c>
      <c r="AH126" s="111"/>
      <c r="AI126" s="111"/>
    </row>
    <row r="127" spans="1:35">
      <c r="B127" s="273"/>
      <c r="C127" s="110"/>
      <c r="E127" s="220"/>
      <c r="L127" s="277"/>
      <c r="N127" s="147"/>
      <c r="O127" s="148"/>
      <c r="S127" s="277"/>
      <c r="T127" s="68"/>
      <c r="V127" s="279"/>
      <c r="X127" s="277"/>
      <c r="Y127" s="453"/>
      <c r="Z127" s="280"/>
      <c r="AA127" s="277"/>
      <c r="AB127" s="277"/>
      <c r="AC127" s="277"/>
      <c r="AD127" s="110"/>
      <c r="AE127" s="147"/>
      <c r="AF127" s="147"/>
      <c r="AG127" s="281"/>
      <c r="AH127" s="111"/>
      <c r="AI127" s="111"/>
    </row>
    <row r="128" spans="1:35">
      <c r="B128" s="273"/>
      <c r="C128" s="110"/>
      <c r="E128" s="220"/>
      <c r="L128" s="277"/>
      <c r="N128" s="147"/>
      <c r="O128" s="148"/>
      <c r="S128" s="277"/>
      <c r="T128" s="68"/>
      <c r="V128" s="279"/>
      <c r="X128" s="277"/>
      <c r="Y128" s="453"/>
      <c r="Z128" s="280"/>
      <c r="AA128" s="277"/>
      <c r="AB128" s="277"/>
      <c r="AC128" s="277"/>
      <c r="AD128" s="110"/>
      <c r="AE128" s="147"/>
      <c r="AF128" s="147"/>
      <c r="AG128" s="281"/>
      <c r="AH128" s="111"/>
      <c r="AI128" s="111"/>
    </row>
    <row r="129" spans="2:35">
      <c r="B129" s="273"/>
      <c r="C129" s="110"/>
      <c r="E129" s="220"/>
      <c r="L129" s="277"/>
      <c r="N129" s="147"/>
      <c r="O129" s="148"/>
      <c r="S129" s="277"/>
      <c r="T129" s="68"/>
      <c r="V129" s="279"/>
      <c r="X129" s="277"/>
      <c r="Y129" s="453"/>
      <c r="Z129" s="280"/>
      <c r="AA129" s="277"/>
      <c r="AB129" s="277"/>
      <c r="AC129" s="277"/>
      <c r="AD129" s="110"/>
      <c r="AE129" s="147"/>
      <c r="AF129" s="147"/>
      <c r="AG129" s="281"/>
      <c r="AH129" s="111"/>
      <c r="AI129" s="111"/>
    </row>
    <row r="130" spans="2:35">
      <c r="B130" s="273"/>
      <c r="C130" s="110"/>
      <c r="E130" s="220"/>
      <c r="L130" s="277"/>
      <c r="N130" s="147"/>
      <c r="O130" s="148"/>
      <c r="S130" s="277"/>
      <c r="T130" s="68"/>
      <c r="V130" s="279"/>
      <c r="X130" s="277"/>
      <c r="Y130" s="453"/>
      <c r="Z130" s="280"/>
      <c r="AA130" s="277"/>
      <c r="AB130" s="277"/>
      <c r="AC130" s="277"/>
      <c r="AD130" s="110"/>
      <c r="AE130" s="147"/>
      <c r="AF130" s="147"/>
      <c r="AG130" s="281"/>
      <c r="AH130" s="111"/>
      <c r="AI130" s="111"/>
    </row>
    <row r="131" spans="2:35">
      <c r="B131" s="273"/>
      <c r="C131" s="110"/>
      <c r="E131" s="220"/>
      <c r="L131" s="277"/>
      <c r="N131" s="147"/>
      <c r="O131" s="148"/>
      <c r="S131" s="277"/>
      <c r="T131" s="68"/>
      <c r="V131" s="279"/>
      <c r="X131" s="277"/>
      <c r="Y131" s="453"/>
      <c r="Z131" s="280"/>
      <c r="AA131" s="277"/>
      <c r="AB131" s="277"/>
      <c r="AC131" s="277"/>
      <c r="AD131" s="110"/>
      <c r="AE131" s="147"/>
      <c r="AF131" s="147"/>
      <c r="AG131" s="281"/>
      <c r="AH131" s="111"/>
      <c r="AI131" s="111"/>
    </row>
    <row r="132" spans="2:35">
      <c r="B132" s="273"/>
      <c r="C132" s="110"/>
      <c r="E132" s="220"/>
      <c r="L132" s="277"/>
      <c r="N132" s="147"/>
      <c r="O132" s="148"/>
      <c r="S132" s="277"/>
      <c r="T132" s="68"/>
      <c r="V132" s="279"/>
      <c r="X132" s="277"/>
      <c r="Y132" s="453"/>
      <c r="Z132" s="280"/>
      <c r="AA132" s="277"/>
      <c r="AB132" s="277"/>
      <c r="AC132" s="277"/>
      <c r="AD132" s="110"/>
      <c r="AE132" s="147"/>
      <c r="AF132" s="147"/>
      <c r="AG132" s="281"/>
      <c r="AH132" s="111"/>
      <c r="AI132" s="111"/>
    </row>
    <row r="133" spans="2:35">
      <c r="B133" s="273"/>
      <c r="C133" s="110"/>
      <c r="E133" s="220"/>
      <c r="L133" s="277"/>
      <c r="N133" s="147"/>
      <c r="O133" s="148"/>
      <c r="S133" s="277"/>
      <c r="T133" s="68"/>
      <c r="V133" s="279"/>
      <c r="X133" s="277"/>
      <c r="Y133" s="453"/>
      <c r="Z133" s="280"/>
      <c r="AA133" s="277"/>
      <c r="AB133" s="277"/>
      <c r="AC133" s="277"/>
      <c r="AD133" s="110"/>
      <c r="AE133" s="147"/>
      <c r="AF133" s="147"/>
      <c r="AG133" s="281"/>
      <c r="AH133" s="111"/>
      <c r="AI133" s="111"/>
    </row>
    <row r="134" spans="2:35">
      <c r="B134" s="273"/>
      <c r="C134" s="110"/>
      <c r="E134" s="220"/>
      <c r="L134" s="277"/>
      <c r="N134" s="147"/>
      <c r="O134" s="148"/>
      <c r="S134" s="277"/>
      <c r="T134" s="68"/>
      <c r="V134" s="279"/>
      <c r="X134" s="277"/>
      <c r="Y134" s="453"/>
      <c r="Z134" s="280"/>
      <c r="AA134" s="277"/>
      <c r="AB134" s="277"/>
      <c r="AC134" s="277"/>
      <c r="AD134" s="110"/>
      <c r="AE134" s="147"/>
      <c r="AF134" s="147"/>
      <c r="AG134" s="281"/>
      <c r="AH134" s="111"/>
      <c r="AI134" s="111"/>
    </row>
    <row r="135" spans="2:35">
      <c r="B135" s="273"/>
      <c r="C135" s="110"/>
      <c r="E135" s="220"/>
      <c r="L135" s="277"/>
      <c r="N135" s="147"/>
      <c r="O135" s="148"/>
      <c r="S135" s="277"/>
      <c r="T135" s="68"/>
      <c r="V135" s="279"/>
      <c r="X135" s="277"/>
      <c r="Y135" s="453"/>
      <c r="Z135" s="280"/>
      <c r="AA135" s="277"/>
      <c r="AB135" s="277"/>
      <c r="AC135" s="277"/>
      <c r="AD135" s="110"/>
      <c r="AE135" s="147"/>
      <c r="AF135" s="147"/>
      <c r="AG135" s="281"/>
      <c r="AH135" s="111"/>
      <c r="AI135" s="111"/>
    </row>
    <row r="136" spans="2:35">
      <c r="B136" s="273"/>
      <c r="C136" s="110"/>
      <c r="E136" s="220"/>
      <c r="L136" s="277"/>
      <c r="N136" s="147"/>
      <c r="O136" s="148"/>
      <c r="S136" s="277"/>
      <c r="T136" s="68"/>
      <c r="V136" s="279"/>
      <c r="X136" s="277"/>
      <c r="Y136" s="453"/>
      <c r="Z136" s="280"/>
      <c r="AA136" s="277"/>
      <c r="AB136" s="277"/>
      <c r="AC136" s="277"/>
      <c r="AD136" s="110"/>
      <c r="AE136" s="147"/>
      <c r="AF136" s="147"/>
      <c r="AG136" s="281"/>
      <c r="AH136" s="111"/>
      <c r="AI136" s="111"/>
    </row>
    <row r="137" spans="2:35">
      <c r="B137" s="273"/>
      <c r="C137" s="110"/>
      <c r="E137" s="220"/>
      <c r="L137" s="277"/>
      <c r="N137" s="147"/>
      <c r="O137" s="148"/>
      <c r="S137" s="277"/>
      <c r="T137" s="68"/>
      <c r="V137" s="279"/>
      <c r="X137" s="277"/>
      <c r="Y137" s="453"/>
      <c r="Z137" s="280"/>
      <c r="AA137" s="277"/>
      <c r="AB137" s="277"/>
      <c r="AC137" s="277"/>
      <c r="AD137" s="110"/>
      <c r="AE137" s="147"/>
      <c r="AF137" s="147"/>
      <c r="AG137" s="281"/>
      <c r="AH137" s="111"/>
      <c r="AI137" s="111"/>
    </row>
    <row r="138" spans="2:35">
      <c r="B138" s="273"/>
      <c r="C138" s="110"/>
      <c r="E138" s="220"/>
      <c r="L138" s="277"/>
      <c r="N138" s="147"/>
      <c r="O138" s="148"/>
      <c r="S138" s="277"/>
      <c r="T138" s="68"/>
      <c r="V138" s="279"/>
      <c r="X138" s="277"/>
      <c r="Y138" s="453"/>
      <c r="Z138" s="280"/>
      <c r="AA138" s="277"/>
      <c r="AB138" s="277"/>
      <c r="AC138" s="277"/>
      <c r="AD138" s="110"/>
      <c r="AE138" s="147"/>
      <c r="AF138" s="147"/>
      <c r="AG138" s="281"/>
      <c r="AH138" s="111"/>
      <c r="AI138" s="111"/>
    </row>
    <row r="139" spans="2:35">
      <c r="B139" s="273"/>
      <c r="C139" s="110"/>
      <c r="E139" s="220"/>
      <c r="L139" s="277"/>
      <c r="N139" s="147"/>
      <c r="O139" s="148"/>
      <c r="S139" s="277"/>
      <c r="T139" s="68"/>
      <c r="V139" s="279"/>
      <c r="X139" s="277"/>
      <c r="Y139" s="453"/>
      <c r="Z139" s="280"/>
      <c r="AA139" s="277"/>
      <c r="AB139" s="277"/>
      <c r="AC139" s="277"/>
      <c r="AD139" s="110"/>
      <c r="AE139" s="147"/>
      <c r="AF139" s="147"/>
      <c r="AG139" s="281"/>
      <c r="AH139" s="111"/>
      <c r="AI139" s="111"/>
    </row>
    <row r="140" spans="2:35">
      <c r="B140" s="273"/>
      <c r="C140" s="110"/>
      <c r="E140" s="220"/>
      <c r="L140" s="277"/>
      <c r="N140" s="147"/>
      <c r="O140" s="148"/>
      <c r="S140" s="277"/>
      <c r="T140" s="68"/>
      <c r="V140" s="279"/>
      <c r="X140" s="277"/>
      <c r="Y140" s="453"/>
      <c r="Z140" s="280"/>
      <c r="AA140" s="277"/>
      <c r="AB140" s="277"/>
      <c r="AC140" s="277"/>
      <c r="AD140" s="110"/>
      <c r="AE140" s="147"/>
      <c r="AF140" s="147"/>
      <c r="AG140" s="281"/>
      <c r="AH140" s="111"/>
      <c r="AI140" s="111"/>
    </row>
    <row r="141" spans="2:35">
      <c r="B141" s="273"/>
      <c r="C141" s="110"/>
      <c r="E141" s="220"/>
      <c r="L141" s="277"/>
      <c r="N141" s="147"/>
      <c r="O141" s="148"/>
      <c r="S141" s="277"/>
      <c r="T141" s="68"/>
      <c r="V141" s="279"/>
      <c r="X141" s="277"/>
      <c r="Y141" s="453"/>
      <c r="Z141" s="280"/>
      <c r="AA141" s="277"/>
      <c r="AB141" s="277"/>
      <c r="AC141" s="277"/>
      <c r="AD141" s="110"/>
      <c r="AE141" s="147"/>
      <c r="AF141" s="147"/>
      <c r="AG141" s="281"/>
      <c r="AH141" s="111"/>
      <c r="AI141" s="111"/>
    </row>
    <row r="142" spans="2:35">
      <c r="B142" s="273"/>
      <c r="C142" s="110"/>
      <c r="E142" s="220"/>
      <c r="L142" s="277"/>
      <c r="N142" s="147"/>
      <c r="O142" s="148"/>
      <c r="S142" s="277"/>
      <c r="T142" s="68"/>
      <c r="V142" s="279"/>
      <c r="X142" s="277"/>
      <c r="Y142" s="453"/>
      <c r="Z142" s="280"/>
      <c r="AA142" s="277"/>
      <c r="AB142" s="277"/>
      <c r="AC142" s="277"/>
      <c r="AD142" s="110"/>
      <c r="AE142" s="147"/>
      <c r="AF142" s="147"/>
      <c r="AG142" s="281"/>
      <c r="AH142" s="111"/>
      <c r="AI142" s="111"/>
    </row>
    <row r="143" spans="2:35">
      <c r="B143" s="273"/>
      <c r="C143" s="110"/>
      <c r="E143" s="220"/>
      <c r="L143" s="277"/>
      <c r="N143" s="147"/>
      <c r="O143" s="148"/>
      <c r="S143" s="277"/>
      <c r="T143" s="68"/>
      <c r="V143" s="279"/>
      <c r="X143" s="277"/>
      <c r="Y143" s="453"/>
      <c r="Z143" s="280"/>
      <c r="AA143" s="277"/>
      <c r="AB143" s="277"/>
      <c r="AC143" s="277"/>
      <c r="AD143" s="110"/>
      <c r="AE143" s="147"/>
      <c r="AF143" s="147"/>
      <c r="AG143" s="281"/>
      <c r="AH143" s="111"/>
      <c r="AI143" s="111"/>
    </row>
    <row r="144" spans="2:35">
      <c r="B144" s="273"/>
      <c r="C144" s="110"/>
      <c r="E144" s="220"/>
      <c r="L144" s="277"/>
      <c r="N144" s="147"/>
      <c r="O144" s="148"/>
      <c r="S144" s="277"/>
      <c r="T144" s="68"/>
      <c r="V144" s="279"/>
      <c r="X144" s="277"/>
      <c r="Y144" s="453"/>
      <c r="Z144" s="280"/>
      <c r="AA144" s="277"/>
      <c r="AB144" s="277"/>
      <c r="AC144" s="277"/>
      <c r="AD144" s="110"/>
      <c r="AE144" s="147"/>
      <c r="AF144" s="147"/>
      <c r="AG144" s="281"/>
      <c r="AH144" s="111"/>
      <c r="AI144" s="111"/>
    </row>
    <row r="145" spans="2:35">
      <c r="B145" s="273"/>
      <c r="C145" s="110"/>
      <c r="E145" s="220"/>
      <c r="L145" s="277"/>
      <c r="N145" s="147"/>
      <c r="O145" s="148"/>
      <c r="S145" s="277"/>
      <c r="T145" s="68"/>
      <c r="V145" s="279"/>
      <c r="X145" s="277"/>
      <c r="Y145" s="453"/>
      <c r="Z145" s="280"/>
      <c r="AA145" s="277"/>
      <c r="AB145" s="277"/>
      <c r="AC145" s="277"/>
      <c r="AD145" s="110"/>
      <c r="AE145" s="147"/>
      <c r="AF145" s="147"/>
      <c r="AG145" s="281"/>
      <c r="AH145" s="111"/>
      <c r="AI145" s="111"/>
    </row>
    <row r="146" spans="2:35">
      <c r="B146" s="273"/>
      <c r="C146" s="110"/>
      <c r="E146" s="220"/>
      <c r="L146" s="277"/>
      <c r="N146" s="147"/>
      <c r="O146" s="148"/>
      <c r="S146" s="277"/>
      <c r="T146" s="68"/>
      <c r="V146" s="279"/>
      <c r="X146" s="277"/>
      <c r="Y146" s="453"/>
      <c r="Z146" s="280"/>
      <c r="AA146" s="277"/>
      <c r="AB146" s="277"/>
      <c r="AC146" s="277"/>
      <c r="AD146" s="110"/>
      <c r="AE146" s="147"/>
      <c r="AF146" s="147"/>
      <c r="AG146" s="281"/>
      <c r="AH146" s="111"/>
      <c r="AI146" s="111"/>
    </row>
    <row r="147" spans="2:35">
      <c r="B147" s="273"/>
      <c r="C147" s="110"/>
      <c r="E147" s="220"/>
      <c r="L147" s="277"/>
      <c r="N147" s="147"/>
      <c r="O147" s="148"/>
      <c r="S147" s="277"/>
      <c r="T147" s="68"/>
      <c r="V147" s="279"/>
      <c r="X147" s="277"/>
      <c r="Y147" s="453"/>
      <c r="Z147" s="280"/>
      <c r="AA147" s="277"/>
      <c r="AB147" s="277"/>
      <c r="AC147" s="277"/>
      <c r="AD147" s="110"/>
      <c r="AE147" s="147"/>
      <c r="AF147" s="147"/>
      <c r="AG147" s="281"/>
      <c r="AH147" s="111"/>
      <c r="AI147" s="111"/>
    </row>
    <row r="148" spans="2:35">
      <c r="B148" s="273"/>
      <c r="C148" s="110"/>
      <c r="E148" s="220"/>
      <c r="L148" s="277"/>
      <c r="N148" s="147"/>
      <c r="O148" s="148"/>
      <c r="S148" s="277"/>
      <c r="T148" s="68"/>
      <c r="V148" s="279"/>
      <c r="X148" s="277"/>
      <c r="Y148" s="453"/>
      <c r="Z148" s="280"/>
      <c r="AA148" s="277"/>
      <c r="AB148" s="277"/>
      <c r="AC148" s="277"/>
      <c r="AD148" s="110"/>
      <c r="AE148" s="147"/>
      <c r="AF148" s="147"/>
      <c r="AG148" s="281"/>
      <c r="AH148" s="111"/>
      <c r="AI148" s="111"/>
    </row>
    <row r="149" spans="2:35">
      <c r="B149" s="273"/>
      <c r="C149" s="110"/>
      <c r="E149" s="220"/>
      <c r="L149" s="277"/>
      <c r="N149" s="147"/>
      <c r="O149" s="148"/>
      <c r="S149" s="277"/>
      <c r="T149" s="68"/>
      <c r="V149" s="279"/>
      <c r="X149" s="277"/>
      <c r="Y149" s="453"/>
      <c r="Z149" s="280"/>
      <c r="AA149" s="277"/>
      <c r="AB149" s="277"/>
      <c r="AC149" s="277"/>
      <c r="AD149" s="110"/>
      <c r="AE149" s="147"/>
      <c r="AF149" s="147"/>
      <c r="AG149" s="281"/>
      <c r="AH149" s="111"/>
      <c r="AI149" s="111"/>
    </row>
    <row r="150" spans="2:35">
      <c r="B150" s="273"/>
      <c r="C150" s="110"/>
      <c r="E150" s="220"/>
      <c r="L150" s="277"/>
      <c r="N150" s="147"/>
      <c r="O150" s="148"/>
      <c r="S150" s="277"/>
      <c r="T150" s="68"/>
      <c r="V150" s="279"/>
      <c r="X150" s="277"/>
      <c r="Y150" s="453"/>
      <c r="Z150" s="280"/>
      <c r="AA150" s="277"/>
      <c r="AB150" s="277"/>
      <c r="AC150" s="277"/>
      <c r="AD150" s="110"/>
      <c r="AE150" s="147"/>
      <c r="AF150" s="147"/>
      <c r="AG150" s="281"/>
      <c r="AH150" s="111"/>
      <c r="AI150" s="111"/>
    </row>
    <row r="151" spans="2:35">
      <c r="B151" s="273"/>
      <c r="C151" s="110"/>
      <c r="E151" s="220"/>
      <c r="L151" s="277"/>
      <c r="N151" s="147"/>
      <c r="O151" s="148"/>
      <c r="S151" s="277"/>
      <c r="T151" s="68"/>
      <c r="V151" s="279"/>
      <c r="X151" s="277"/>
      <c r="Y151" s="453"/>
      <c r="Z151" s="280"/>
      <c r="AA151" s="277"/>
      <c r="AB151" s="277"/>
      <c r="AC151" s="277"/>
      <c r="AD151" s="110"/>
      <c r="AE151" s="147"/>
      <c r="AF151" s="147"/>
      <c r="AG151" s="281"/>
      <c r="AH151" s="111"/>
      <c r="AI151" s="111"/>
    </row>
    <row r="152" spans="2:35">
      <c r="B152" s="273"/>
      <c r="C152" s="110"/>
      <c r="E152" s="220"/>
      <c r="L152" s="277"/>
      <c r="N152" s="147"/>
      <c r="O152" s="148"/>
      <c r="S152" s="277"/>
      <c r="T152" s="68"/>
      <c r="V152" s="279"/>
      <c r="X152" s="277"/>
      <c r="Y152" s="453"/>
      <c r="Z152" s="280"/>
      <c r="AA152" s="277"/>
      <c r="AB152" s="277"/>
      <c r="AC152" s="277"/>
      <c r="AD152" s="110"/>
      <c r="AE152" s="147"/>
      <c r="AF152" s="147"/>
      <c r="AG152" s="281"/>
      <c r="AH152" s="111"/>
      <c r="AI152" s="111"/>
    </row>
    <row r="153" spans="2:35">
      <c r="B153" s="273"/>
      <c r="C153" s="110"/>
      <c r="E153" s="220"/>
      <c r="L153" s="277"/>
      <c r="N153" s="147"/>
      <c r="O153" s="148"/>
      <c r="S153" s="277"/>
      <c r="T153" s="68"/>
      <c r="V153" s="279"/>
      <c r="X153" s="277"/>
      <c r="Y153" s="453"/>
      <c r="Z153" s="280"/>
      <c r="AA153" s="277"/>
      <c r="AB153" s="277"/>
      <c r="AC153" s="277"/>
      <c r="AD153" s="110"/>
      <c r="AE153" s="147"/>
      <c r="AF153" s="147"/>
      <c r="AG153" s="281"/>
      <c r="AH153" s="111"/>
      <c r="AI153" s="111"/>
    </row>
    <row r="154" spans="2:35">
      <c r="B154" s="273"/>
      <c r="C154" s="110"/>
      <c r="E154" s="220"/>
      <c r="L154" s="277"/>
      <c r="N154" s="147"/>
      <c r="O154" s="148"/>
      <c r="S154" s="277"/>
      <c r="T154" s="68"/>
      <c r="V154" s="279"/>
      <c r="X154" s="277"/>
      <c r="Y154" s="453"/>
      <c r="Z154" s="280"/>
      <c r="AA154" s="277"/>
      <c r="AB154" s="277"/>
      <c r="AC154" s="277"/>
      <c r="AD154" s="110"/>
      <c r="AE154" s="147"/>
      <c r="AF154" s="147"/>
      <c r="AG154" s="281"/>
      <c r="AH154" s="111"/>
      <c r="AI154" s="111"/>
    </row>
    <row r="155" spans="2:35">
      <c r="B155" s="273"/>
      <c r="C155" s="110"/>
      <c r="E155" s="220"/>
      <c r="L155" s="277"/>
      <c r="N155" s="147"/>
      <c r="O155" s="148"/>
      <c r="S155" s="277"/>
      <c r="T155" s="68"/>
      <c r="V155" s="279"/>
      <c r="X155" s="277"/>
      <c r="Y155" s="453"/>
      <c r="Z155" s="280"/>
      <c r="AA155" s="277"/>
      <c r="AB155" s="277"/>
      <c r="AC155" s="277"/>
      <c r="AD155" s="110"/>
      <c r="AE155" s="147"/>
      <c r="AF155" s="147"/>
      <c r="AG155" s="281"/>
      <c r="AH155" s="111"/>
      <c r="AI155" s="111"/>
    </row>
    <row r="156" spans="2:35">
      <c r="B156" s="273"/>
      <c r="C156" s="110"/>
      <c r="E156" s="220"/>
      <c r="L156" s="277"/>
      <c r="N156" s="147"/>
      <c r="O156" s="148"/>
      <c r="S156" s="277"/>
      <c r="T156" s="68"/>
      <c r="V156" s="279"/>
      <c r="X156" s="277"/>
      <c r="Y156" s="453"/>
      <c r="Z156" s="280"/>
      <c r="AA156" s="277"/>
      <c r="AB156" s="277"/>
      <c r="AC156" s="277"/>
      <c r="AD156" s="110"/>
      <c r="AE156" s="147"/>
      <c r="AF156" s="147"/>
      <c r="AG156" s="281"/>
      <c r="AH156" s="111"/>
      <c r="AI156" s="111"/>
    </row>
    <row r="157" spans="2:35">
      <c r="B157" s="273"/>
      <c r="C157" s="110"/>
      <c r="E157" s="220"/>
      <c r="L157" s="277"/>
      <c r="N157" s="147"/>
      <c r="O157" s="148"/>
      <c r="S157" s="277"/>
      <c r="T157" s="68"/>
      <c r="V157" s="279"/>
      <c r="X157" s="277"/>
      <c r="Y157" s="453"/>
      <c r="Z157" s="280"/>
      <c r="AA157" s="277"/>
      <c r="AB157" s="277"/>
      <c r="AC157" s="277"/>
      <c r="AD157" s="110"/>
      <c r="AE157" s="147"/>
      <c r="AF157" s="147"/>
      <c r="AG157" s="281"/>
      <c r="AH157" s="111"/>
      <c r="AI157" s="111"/>
    </row>
    <row r="158" spans="2:35">
      <c r="B158" s="273"/>
      <c r="C158" s="110"/>
      <c r="E158" s="220"/>
      <c r="L158" s="277"/>
      <c r="N158" s="147"/>
      <c r="O158" s="148"/>
      <c r="S158" s="277"/>
      <c r="T158" s="68"/>
      <c r="V158" s="279"/>
      <c r="X158" s="277"/>
      <c r="Y158" s="453"/>
      <c r="Z158" s="280"/>
      <c r="AA158" s="277"/>
      <c r="AB158" s="277"/>
      <c r="AC158" s="277"/>
      <c r="AD158" s="110"/>
      <c r="AE158" s="147"/>
      <c r="AF158" s="147"/>
      <c r="AG158" s="281"/>
      <c r="AH158" s="111"/>
      <c r="AI158" s="111"/>
    </row>
    <row r="159" spans="2:35">
      <c r="B159" s="273"/>
      <c r="C159" s="110"/>
      <c r="E159" s="220"/>
      <c r="L159" s="277"/>
      <c r="N159" s="147"/>
      <c r="O159" s="148"/>
      <c r="S159" s="277"/>
      <c r="T159" s="68"/>
      <c r="V159" s="279"/>
      <c r="X159" s="277"/>
      <c r="Y159" s="453"/>
      <c r="Z159" s="280"/>
      <c r="AA159" s="277"/>
      <c r="AB159" s="277"/>
      <c r="AC159" s="277"/>
      <c r="AD159" s="110"/>
      <c r="AE159" s="147"/>
      <c r="AF159" s="147"/>
      <c r="AG159" s="281"/>
      <c r="AH159" s="111"/>
      <c r="AI159" s="111"/>
    </row>
    <row r="160" spans="2:35">
      <c r="B160" s="273"/>
      <c r="C160" s="110"/>
      <c r="E160" s="220"/>
      <c r="L160" s="277"/>
      <c r="N160" s="147"/>
      <c r="O160" s="148"/>
      <c r="S160" s="277"/>
      <c r="T160" s="68"/>
      <c r="V160" s="279"/>
      <c r="X160" s="277"/>
      <c r="Y160" s="453"/>
      <c r="Z160" s="280"/>
      <c r="AA160" s="277"/>
      <c r="AB160" s="277"/>
      <c r="AC160" s="277"/>
      <c r="AD160" s="110"/>
      <c r="AE160" s="147"/>
      <c r="AF160" s="147"/>
      <c r="AG160" s="281"/>
      <c r="AH160" s="111"/>
      <c r="AI160" s="111"/>
    </row>
    <row r="161" spans="2:35">
      <c r="B161" s="273"/>
      <c r="C161" s="110"/>
      <c r="E161" s="220"/>
      <c r="L161" s="277"/>
      <c r="N161" s="147"/>
      <c r="O161" s="148"/>
      <c r="S161" s="277"/>
      <c r="T161" s="68"/>
      <c r="V161" s="279"/>
      <c r="X161" s="277"/>
      <c r="Y161" s="453"/>
      <c r="Z161" s="280"/>
      <c r="AA161" s="277"/>
      <c r="AB161" s="277"/>
      <c r="AC161" s="277"/>
      <c r="AD161" s="110"/>
      <c r="AE161" s="147"/>
      <c r="AF161" s="147"/>
      <c r="AG161" s="281"/>
      <c r="AH161" s="111"/>
      <c r="AI161" s="111"/>
    </row>
    <row r="162" spans="2:35">
      <c r="B162" s="273"/>
      <c r="C162" s="110"/>
      <c r="E162" s="220"/>
      <c r="L162" s="277"/>
      <c r="N162" s="147"/>
      <c r="O162" s="148"/>
      <c r="S162" s="277"/>
      <c r="T162" s="68"/>
      <c r="V162" s="279"/>
      <c r="X162" s="277"/>
      <c r="Y162" s="453"/>
      <c r="Z162" s="280"/>
      <c r="AA162" s="277"/>
      <c r="AB162" s="277"/>
      <c r="AC162" s="277"/>
      <c r="AD162" s="110"/>
      <c r="AE162" s="147"/>
      <c r="AF162" s="147"/>
      <c r="AG162" s="281"/>
      <c r="AH162" s="111"/>
      <c r="AI162" s="111"/>
    </row>
    <row r="163" spans="2:35">
      <c r="B163" s="273"/>
      <c r="C163" s="110"/>
      <c r="E163" s="220"/>
      <c r="L163" s="277"/>
      <c r="N163" s="147"/>
      <c r="O163" s="148"/>
      <c r="S163" s="277"/>
      <c r="T163" s="68"/>
      <c r="V163" s="279"/>
      <c r="X163" s="277"/>
      <c r="Y163" s="453"/>
      <c r="Z163" s="280"/>
      <c r="AA163" s="277"/>
      <c r="AB163" s="277"/>
      <c r="AC163" s="277"/>
      <c r="AD163" s="110"/>
      <c r="AE163" s="147"/>
      <c r="AF163" s="147"/>
      <c r="AG163" s="281"/>
      <c r="AH163" s="111"/>
      <c r="AI163" s="111"/>
    </row>
    <row r="164" spans="2:35">
      <c r="B164" s="273"/>
      <c r="C164" s="110"/>
      <c r="E164" s="220"/>
      <c r="L164" s="277"/>
      <c r="N164" s="147"/>
      <c r="O164" s="148"/>
      <c r="S164" s="277"/>
      <c r="T164" s="68"/>
      <c r="V164" s="279"/>
      <c r="X164" s="277"/>
      <c r="Y164" s="453"/>
      <c r="Z164" s="280"/>
      <c r="AA164" s="277"/>
      <c r="AB164" s="277"/>
      <c r="AC164" s="277"/>
      <c r="AD164" s="110"/>
      <c r="AE164" s="147"/>
      <c r="AF164" s="147"/>
      <c r="AG164" s="281"/>
      <c r="AH164" s="111"/>
      <c r="AI164" s="111"/>
    </row>
    <row r="165" spans="2:35">
      <c r="B165" s="273"/>
      <c r="C165" s="110"/>
      <c r="E165" s="220"/>
      <c r="L165" s="277"/>
      <c r="N165" s="147"/>
      <c r="O165" s="148"/>
      <c r="S165" s="277"/>
      <c r="T165" s="68"/>
      <c r="V165" s="279"/>
      <c r="X165" s="277"/>
      <c r="Y165" s="453"/>
      <c r="Z165" s="280"/>
      <c r="AA165" s="277"/>
      <c r="AB165" s="277"/>
      <c r="AC165" s="277"/>
      <c r="AD165" s="110"/>
      <c r="AE165" s="147"/>
      <c r="AF165" s="147"/>
      <c r="AG165" s="281"/>
      <c r="AH165" s="111"/>
      <c r="AI165" s="111"/>
    </row>
    <row r="166" spans="2:35">
      <c r="B166" s="273"/>
      <c r="C166" s="110"/>
      <c r="E166" s="220"/>
      <c r="L166" s="277"/>
      <c r="N166" s="147"/>
      <c r="O166" s="148"/>
      <c r="S166" s="277"/>
      <c r="T166" s="68"/>
      <c r="V166" s="279"/>
      <c r="X166" s="277"/>
      <c r="Y166" s="453"/>
      <c r="Z166" s="280"/>
      <c r="AA166" s="277"/>
      <c r="AB166" s="277"/>
      <c r="AC166" s="277"/>
      <c r="AD166" s="110"/>
      <c r="AE166" s="147"/>
      <c r="AF166" s="147"/>
      <c r="AG166" s="281"/>
      <c r="AH166" s="111"/>
      <c r="AI166" s="111"/>
    </row>
    <row r="167" spans="2:35">
      <c r="B167" s="273"/>
      <c r="C167" s="110"/>
      <c r="E167" s="220"/>
      <c r="L167" s="277"/>
      <c r="N167" s="147"/>
      <c r="O167" s="148"/>
      <c r="S167" s="277"/>
      <c r="T167" s="68"/>
      <c r="V167" s="279"/>
      <c r="X167" s="277"/>
      <c r="Y167" s="453"/>
      <c r="Z167" s="280"/>
      <c r="AA167" s="277"/>
      <c r="AB167" s="277"/>
      <c r="AC167" s="277"/>
      <c r="AD167" s="110"/>
      <c r="AE167" s="147"/>
      <c r="AF167" s="147"/>
      <c r="AG167" s="281"/>
      <c r="AH167" s="111"/>
      <c r="AI167" s="111"/>
    </row>
    <row r="168" spans="2:35">
      <c r="B168" s="273"/>
      <c r="C168" s="110"/>
      <c r="E168" s="220"/>
      <c r="L168" s="277"/>
      <c r="N168" s="147"/>
      <c r="O168" s="148"/>
      <c r="S168" s="277"/>
      <c r="T168" s="68"/>
      <c r="V168" s="279"/>
      <c r="X168" s="277"/>
      <c r="Y168" s="453"/>
      <c r="Z168" s="280"/>
      <c r="AA168" s="277"/>
      <c r="AB168" s="277"/>
      <c r="AC168" s="277"/>
      <c r="AD168" s="110"/>
      <c r="AE168" s="147"/>
      <c r="AF168" s="147"/>
      <c r="AG168" s="281"/>
      <c r="AH168" s="111"/>
      <c r="AI168" s="111"/>
    </row>
    <row r="169" spans="2:35">
      <c r="B169" s="273"/>
      <c r="C169" s="110"/>
      <c r="E169" s="220"/>
      <c r="L169" s="277"/>
      <c r="N169" s="147"/>
      <c r="O169" s="148"/>
      <c r="S169" s="277"/>
      <c r="T169" s="68"/>
      <c r="V169" s="279"/>
      <c r="X169" s="277"/>
      <c r="Y169" s="453"/>
      <c r="Z169" s="280"/>
      <c r="AA169" s="277"/>
      <c r="AB169" s="277"/>
      <c r="AC169" s="277"/>
      <c r="AD169" s="110"/>
      <c r="AE169" s="147"/>
      <c r="AF169" s="147"/>
      <c r="AG169" s="281"/>
      <c r="AH169" s="111"/>
      <c r="AI169" s="111"/>
    </row>
    <row r="170" spans="2:35">
      <c r="B170" s="273"/>
      <c r="C170" s="110"/>
      <c r="E170" s="220"/>
      <c r="L170" s="277"/>
      <c r="N170" s="147"/>
      <c r="O170" s="148"/>
      <c r="S170" s="277"/>
      <c r="T170" s="68"/>
      <c r="V170" s="279"/>
      <c r="X170" s="277"/>
      <c r="Y170" s="453"/>
      <c r="Z170" s="280"/>
      <c r="AA170" s="277"/>
      <c r="AB170" s="277"/>
      <c r="AC170" s="277"/>
      <c r="AD170" s="110"/>
      <c r="AE170" s="147"/>
      <c r="AF170" s="147"/>
      <c r="AG170" s="281"/>
      <c r="AH170" s="111"/>
      <c r="AI170" s="111"/>
    </row>
    <row r="171" spans="2:35">
      <c r="B171" s="273"/>
      <c r="C171" s="110"/>
      <c r="E171" s="220"/>
      <c r="L171" s="277"/>
      <c r="N171" s="147"/>
      <c r="O171" s="148"/>
      <c r="S171" s="277"/>
      <c r="T171" s="68"/>
      <c r="V171" s="279"/>
      <c r="X171" s="277"/>
      <c r="Y171" s="453"/>
      <c r="Z171" s="280"/>
      <c r="AA171" s="277"/>
      <c r="AB171" s="277"/>
      <c r="AC171" s="277"/>
      <c r="AD171" s="110"/>
      <c r="AE171" s="147"/>
      <c r="AF171" s="147"/>
      <c r="AG171" s="281"/>
      <c r="AH171" s="111"/>
      <c r="AI171" s="111"/>
    </row>
    <row r="172" spans="2:35">
      <c r="B172" s="273"/>
      <c r="C172" s="110"/>
      <c r="E172" s="220"/>
      <c r="L172" s="277"/>
      <c r="N172" s="147"/>
      <c r="O172" s="148"/>
      <c r="S172" s="277"/>
      <c r="T172" s="68"/>
      <c r="V172" s="279"/>
      <c r="X172" s="277"/>
      <c r="Y172" s="453"/>
      <c r="Z172" s="280"/>
      <c r="AA172" s="277"/>
      <c r="AB172" s="277"/>
      <c r="AC172" s="277"/>
      <c r="AD172" s="110"/>
      <c r="AE172" s="147"/>
      <c r="AF172" s="147"/>
      <c r="AG172" s="281"/>
      <c r="AH172" s="111"/>
      <c r="AI172" s="111"/>
    </row>
    <row r="173" spans="2:35">
      <c r="B173" s="273"/>
      <c r="C173" s="110"/>
      <c r="E173" s="220"/>
      <c r="L173" s="277"/>
      <c r="N173" s="147"/>
      <c r="O173" s="148"/>
      <c r="S173" s="277"/>
      <c r="T173" s="68"/>
      <c r="V173" s="279"/>
      <c r="X173" s="277"/>
      <c r="Y173" s="453"/>
      <c r="Z173" s="280"/>
      <c r="AA173" s="277"/>
      <c r="AB173" s="277"/>
      <c r="AC173" s="277"/>
      <c r="AD173" s="110"/>
      <c r="AE173" s="147"/>
      <c r="AF173" s="147"/>
      <c r="AG173" s="281"/>
      <c r="AH173" s="111"/>
      <c r="AI173" s="111"/>
    </row>
    <row r="174" spans="2:35">
      <c r="B174" s="273"/>
      <c r="C174" s="110"/>
      <c r="E174" s="220"/>
      <c r="L174" s="277"/>
      <c r="N174" s="147"/>
      <c r="O174" s="148"/>
      <c r="S174" s="277"/>
      <c r="T174" s="68"/>
      <c r="V174" s="279"/>
      <c r="X174" s="277"/>
      <c r="Y174" s="453"/>
      <c r="Z174" s="280"/>
      <c r="AA174" s="277"/>
      <c r="AB174" s="277"/>
      <c r="AC174" s="277"/>
      <c r="AD174" s="110"/>
      <c r="AE174" s="147"/>
      <c r="AF174" s="147"/>
      <c r="AG174" s="281"/>
      <c r="AH174" s="111"/>
      <c r="AI174" s="111"/>
    </row>
    <row r="175" spans="2:35">
      <c r="B175" s="273"/>
      <c r="C175" s="110"/>
      <c r="E175" s="220"/>
      <c r="L175" s="277"/>
      <c r="N175" s="147"/>
      <c r="O175" s="148"/>
      <c r="S175" s="277"/>
      <c r="T175" s="68"/>
      <c r="V175" s="279"/>
      <c r="X175" s="277"/>
      <c r="Y175" s="453"/>
      <c r="Z175" s="280"/>
      <c r="AA175" s="277"/>
      <c r="AB175" s="277"/>
      <c r="AC175" s="277"/>
      <c r="AD175" s="110"/>
      <c r="AE175" s="147"/>
      <c r="AF175" s="147"/>
      <c r="AG175" s="281"/>
      <c r="AH175" s="111"/>
      <c r="AI175" s="111"/>
    </row>
    <row r="176" spans="2:35">
      <c r="B176" s="273"/>
      <c r="C176" s="110"/>
      <c r="E176" s="220"/>
      <c r="L176" s="277"/>
      <c r="N176" s="147"/>
      <c r="O176" s="148"/>
      <c r="S176" s="277"/>
      <c r="T176" s="68"/>
      <c r="V176" s="279"/>
      <c r="X176" s="277"/>
      <c r="Y176" s="453"/>
      <c r="Z176" s="280"/>
      <c r="AA176" s="277"/>
      <c r="AB176" s="277"/>
      <c r="AC176" s="277"/>
      <c r="AD176" s="110"/>
      <c r="AE176" s="147"/>
      <c r="AF176" s="147"/>
      <c r="AG176" s="281"/>
      <c r="AH176" s="111"/>
      <c r="AI176" s="111"/>
    </row>
    <row r="177" spans="2:35">
      <c r="B177" s="273"/>
      <c r="C177" s="110"/>
      <c r="E177" s="220"/>
      <c r="L177" s="277"/>
      <c r="N177" s="147"/>
      <c r="O177" s="148"/>
      <c r="S177" s="277"/>
      <c r="T177" s="68"/>
      <c r="V177" s="279"/>
      <c r="X177" s="277"/>
      <c r="Y177" s="453"/>
      <c r="Z177" s="280"/>
      <c r="AA177" s="277"/>
      <c r="AB177" s="277"/>
      <c r="AC177" s="277"/>
      <c r="AD177" s="110"/>
      <c r="AE177" s="147"/>
      <c r="AF177" s="147"/>
      <c r="AG177" s="281"/>
      <c r="AH177" s="111"/>
      <c r="AI177" s="111"/>
    </row>
    <row r="178" spans="2:35">
      <c r="B178" s="273"/>
      <c r="C178" s="110"/>
      <c r="E178" s="220"/>
      <c r="L178" s="277"/>
      <c r="N178" s="147"/>
      <c r="O178" s="148"/>
      <c r="S178" s="277"/>
      <c r="T178" s="68"/>
      <c r="V178" s="279"/>
      <c r="X178" s="277"/>
      <c r="Y178" s="453"/>
      <c r="Z178" s="280"/>
      <c r="AA178" s="277"/>
      <c r="AB178" s="277"/>
      <c r="AC178" s="277"/>
      <c r="AD178" s="110"/>
      <c r="AE178" s="147"/>
      <c r="AF178" s="147"/>
      <c r="AG178" s="281"/>
      <c r="AH178" s="111"/>
      <c r="AI178" s="111"/>
    </row>
    <row r="179" spans="2:35">
      <c r="B179" s="273"/>
      <c r="C179" s="110"/>
      <c r="E179" s="220"/>
      <c r="L179" s="277"/>
      <c r="N179" s="147"/>
      <c r="O179" s="148"/>
      <c r="S179" s="277"/>
      <c r="T179" s="68"/>
      <c r="V179" s="279"/>
      <c r="X179" s="277"/>
      <c r="Y179" s="453"/>
      <c r="Z179" s="280"/>
      <c r="AA179" s="277"/>
      <c r="AB179" s="277"/>
      <c r="AC179" s="277"/>
      <c r="AD179" s="110"/>
      <c r="AE179" s="147"/>
      <c r="AF179" s="147"/>
      <c r="AG179" s="281"/>
      <c r="AH179" s="111"/>
      <c r="AI179" s="111"/>
    </row>
    <row r="180" spans="2:35">
      <c r="B180" s="273"/>
      <c r="C180" s="110"/>
      <c r="E180" s="220"/>
      <c r="L180" s="277"/>
      <c r="N180" s="147"/>
      <c r="O180" s="148"/>
      <c r="S180" s="277"/>
      <c r="T180" s="68"/>
      <c r="V180" s="279"/>
      <c r="X180" s="277"/>
      <c r="Y180" s="453"/>
      <c r="Z180" s="280"/>
      <c r="AA180" s="277"/>
      <c r="AB180" s="277"/>
      <c r="AC180" s="277"/>
      <c r="AD180" s="110"/>
      <c r="AE180" s="147"/>
      <c r="AF180" s="147"/>
      <c r="AG180" s="281"/>
      <c r="AH180" s="111"/>
      <c r="AI180" s="111"/>
    </row>
    <row r="181" spans="2:35">
      <c r="B181" s="273"/>
      <c r="C181" s="110"/>
      <c r="E181" s="220"/>
      <c r="L181" s="277"/>
      <c r="N181" s="147"/>
      <c r="O181" s="148"/>
      <c r="S181" s="277"/>
      <c r="T181" s="68"/>
      <c r="V181" s="279"/>
      <c r="X181" s="277"/>
      <c r="Y181" s="453"/>
      <c r="Z181" s="280"/>
      <c r="AA181" s="277"/>
      <c r="AB181" s="277"/>
      <c r="AC181" s="277"/>
      <c r="AD181" s="110"/>
      <c r="AE181" s="147"/>
      <c r="AF181" s="147"/>
      <c r="AG181" s="281"/>
      <c r="AH181" s="111"/>
      <c r="AI181" s="111"/>
    </row>
    <row r="182" spans="2:35">
      <c r="B182" s="273"/>
      <c r="C182" s="110"/>
      <c r="E182" s="220"/>
      <c r="L182" s="277"/>
      <c r="N182" s="147"/>
      <c r="O182" s="148"/>
      <c r="S182" s="277"/>
      <c r="T182" s="68"/>
      <c r="V182" s="279"/>
      <c r="X182" s="277"/>
      <c r="Y182" s="453"/>
      <c r="Z182" s="280"/>
      <c r="AA182" s="277"/>
      <c r="AB182" s="277"/>
      <c r="AC182" s="277"/>
      <c r="AD182" s="110"/>
      <c r="AE182" s="147"/>
      <c r="AF182" s="147"/>
      <c r="AG182" s="281"/>
      <c r="AH182" s="111"/>
      <c r="AI182" s="111"/>
    </row>
    <row r="183" spans="2:35">
      <c r="B183" s="273"/>
      <c r="C183" s="110"/>
      <c r="E183" s="220"/>
      <c r="L183" s="277"/>
      <c r="N183" s="147"/>
      <c r="O183" s="148"/>
      <c r="S183" s="277"/>
      <c r="T183" s="68"/>
      <c r="V183" s="279"/>
      <c r="X183" s="277"/>
      <c r="Y183" s="453"/>
      <c r="Z183" s="280"/>
      <c r="AA183" s="277"/>
      <c r="AB183" s="277"/>
      <c r="AC183" s="277"/>
      <c r="AD183" s="110"/>
      <c r="AE183" s="147"/>
      <c r="AF183" s="147"/>
      <c r="AG183" s="281"/>
      <c r="AH183" s="111"/>
      <c r="AI183" s="111"/>
    </row>
    <row r="184" spans="2:35">
      <c r="B184" s="273"/>
      <c r="C184" s="110"/>
      <c r="E184" s="220"/>
      <c r="L184" s="277"/>
      <c r="N184" s="147"/>
      <c r="O184" s="148"/>
      <c r="S184" s="277"/>
      <c r="T184" s="68"/>
      <c r="V184" s="279"/>
      <c r="X184" s="277"/>
      <c r="Y184" s="453"/>
      <c r="Z184" s="280"/>
      <c r="AA184" s="277"/>
      <c r="AB184" s="277"/>
      <c r="AC184" s="277"/>
      <c r="AD184" s="110"/>
      <c r="AE184" s="147"/>
      <c r="AF184" s="147"/>
      <c r="AG184" s="281"/>
      <c r="AH184" s="111"/>
      <c r="AI184" s="111"/>
    </row>
    <row r="185" spans="2:35">
      <c r="B185" s="273"/>
      <c r="C185" s="110"/>
      <c r="E185" s="220"/>
      <c r="L185" s="277"/>
      <c r="N185" s="147"/>
      <c r="O185" s="148"/>
      <c r="S185" s="277"/>
      <c r="T185" s="68"/>
      <c r="V185" s="279"/>
      <c r="X185" s="277"/>
      <c r="Y185" s="453"/>
      <c r="Z185" s="280"/>
      <c r="AA185" s="277"/>
      <c r="AB185" s="277"/>
      <c r="AC185" s="277"/>
      <c r="AD185" s="110"/>
      <c r="AE185" s="147"/>
      <c r="AF185" s="147"/>
      <c r="AG185" s="281"/>
      <c r="AH185" s="111"/>
      <c r="AI185" s="111"/>
    </row>
    <row r="186" spans="2:35">
      <c r="B186" s="273"/>
      <c r="C186" s="110"/>
      <c r="E186" s="220"/>
      <c r="L186" s="277"/>
      <c r="N186" s="147"/>
      <c r="O186" s="148"/>
      <c r="S186" s="277"/>
      <c r="T186" s="68"/>
      <c r="V186" s="279"/>
      <c r="X186" s="277"/>
      <c r="Y186" s="453"/>
      <c r="Z186" s="280"/>
      <c r="AA186" s="277"/>
      <c r="AB186" s="277"/>
      <c r="AC186" s="277"/>
      <c r="AD186" s="110"/>
      <c r="AE186" s="147"/>
      <c r="AF186" s="147"/>
      <c r="AG186" s="281"/>
      <c r="AH186" s="111"/>
      <c r="AI186" s="111"/>
    </row>
    <row r="187" spans="2:35">
      <c r="B187" s="273"/>
      <c r="C187" s="110"/>
      <c r="E187" s="220"/>
      <c r="L187" s="277"/>
      <c r="N187" s="147"/>
      <c r="O187" s="148"/>
      <c r="S187" s="277"/>
      <c r="T187" s="68"/>
      <c r="V187" s="279"/>
      <c r="X187" s="277"/>
      <c r="Y187" s="453"/>
      <c r="Z187" s="280"/>
      <c r="AA187" s="277"/>
      <c r="AB187" s="277"/>
      <c r="AC187" s="277"/>
      <c r="AD187" s="110"/>
      <c r="AE187" s="147"/>
      <c r="AF187" s="147"/>
      <c r="AG187" s="281"/>
      <c r="AH187" s="111"/>
      <c r="AI187" s="111"/>
    </row>
    <row r="188" spans="2:35">
      <c r="B188" s="273"/>
      <c r="C188" s="110"/>
      <c r="E188" s="220"/>
      <c r="L188" s="277"/>
      <c r="N188" s="147"/>
      <c r="O188" s="148"/>
      <c r="S188" s="277"/>
      <c r="T188" s="68"/>
      <c r="V188" s="279"/>
      <c r="X188" s="277"/>
      <c r="Y188" s="453"/>
      <c r="Z188" s="280"/>
      <c r="AA188" s="277"/>
      <c r="AB188" s="277"/>
      <c r="AC188" s="277"/>
      <c r="AD188" s="110"/>
      <c r="AE188" s="147"/>
      <c r="AF188" s="147"/>
      <c r="AG188" s="281"/>
      <c r="AH188" s="111"/>
      <c r="AI188" s="111"/>
    </row>
    <row r="189" spans="2:35">
      <c r="B189" s="273"/>
      <c r="C189" s="110"/>
      <c r="E189" s="220"/>
      <c r="L189" s="277"/>
      <c r="N189" s="147"/>
      <c r="O189" s="148"/>
      <c r="S189" s="277"/>
      <c r="T189" s="68"/>
      <c r="V189" s="279"/>
      <c r="X189" s="277"/>
      <c r="Y189" s="453"/>
      <c r="Z189" s="280"/>
      <c r="AA189" s="277"/>
      <c r="AB189" s="277"/>
      <c r="AC189" s="277"/>
      <c r="AD189" s="110"/>
      <c r="AE189" s="147"/>
      <c r="AF189" s="147"/>
      <c r="AG189" s="281"/>
      <c r="AH189" s="111"/>
      <c r="AI189" s="111"/>
    </row>
    <row r="190" spans="2:35">
      <c r="B190" s="273"/>
      <c r="C190" s="110"/>
      <c r="E190" s="220"/>
      <c r="L190" s="277"/>
      <c r="N190" s="147"/>
      <c r="O190" s="148"/>
      <c r="S190" s="277"/>
      <c r="T190" s="68"/>
      <c r="V190" s="279"/>
      <c r="X190" s="277"/>
      <c r="Y190" s="453"/>
      <c r="Z190" s="280"/>
      <c r="AA190" s="277"/>
      <c r="AB190" s="277"/>
      <c r="AC190" s="277"/>
      <c r="AD190" s="110"/>
      <c r="AE190" s="147"/>
      <c r="AF190" s="147"/>
      <c r="AG190" s="281"/>
      <c r="AH190" s="111"/>
      <c r="AI190" s="111"/>
    </row>
    <row r="191" spans="2:35">
      <c r="B191" s="273"/>
      <c r="C191" s="110"/>
      <c r="E191" s="220"/>
      <c r="L191" s="277"/>
      <c r="N191" s="147"/>
      <c r="O191" s="148"/>
      <c r="S191" s="277"/>
      <c r="T191" s="68"/>
      <c r="V191" s="279"/>
      <c r="X191" s="277"/>
      <c r="Y191" s="453"/>
      <c r="Z191" s="280"/>
      <c r="AA191" s="277"/>
      <c r="AB191" s="277"/>
      <c r="AC191" s="277"/>
      <c r="AD191" s="110"/>
      <c r="AE191" s="147"/>
      <c r="AF191" s="147"/>
      <c r="AG191" s="281"/>
      <c r="AH191" s="111"/>
      <c r="AI191" s="111"/>
    </row>
    <row r="192" spans="2:35">
      <c r="B192" s="273"/>
      <c r="C192" s="110"/>
      <c r="E192" s="220"/>
      <c r="L192" s="277"/>
      <c r="N192" s="147"/>
      <c r="O192" s="148"/>
      <c r="S192" s="277"/>
      <c r="T192" s="68"/>
      <c r="V192" s="279"/>
      <c r="X192" s="277"/>
      <c r="Y192" s="453"/>
      <c r="Z192" s="280"/>
      <c r="AA192" s="277"/>
      <c r="AB192" s="277"/>
      <c r="AC192" s="277"/>
      <c r="AD192" s="110"/>
      <c r="AE192" s="147"/>
      <c r="AF192" s="147"/>
      <c r="AG192" s="281"/>
      <c r="AH192" s="111"/>
      <c r="AI192" s="111"/>
    </row>
    <row r="193" spans="2:35">
      <c r="B193" s="273"/>
      <c r="C193" s="110"/>
      <c r="E193" s="220"/>
      <c r="L193" s="277"/>
      <c r="N193" s="147"/>
      <c r="O193" s="148"/>
      <c r="S193" s="277"/>
      <c r="T193" s="68"/>
      <c r="V193" s="279"/>
      <c r="X193" s="277"/>
      <c r="Y193" s="453"/>
      <c r="Z193" s="280"/>
      <c r="AA193" s="277"/>
      <c r="AB193" s="277"/>
      <c r="AC193" s="277"/>
      <c r="AD193" s="110"/>
      <c r="AE193" s="147"/>
      <c r="AF193" s="147"/>
      <c r="AG193" s="281"/>
      <c r="AH193" s="111"/>
      <c r="AI193" s="111"/>
    </row>
    <row r="194" spans="2:35">
      <c r="B194" s="273"/>
      <c r="C194" s="110"/>
      <c r="E194" s="220"/>
      <c r="L194" s="277"/>
      <c r="N194" s="147"/>
      <c r="O194" s="148"/>
      <c r="S194" s="277"/>
      <c r="T194" s="68"/>
      <c r="V194" s="279"/>
      <c r="X194" s="277"/>
      <c r="Y194" s="453"/>
      <c r="Z194" s="280"/>
      <c r="AA194" s="277"/>
      <c r="AB194" s="277"/>
      <c r="AC194" s="277"/>
      <c r="AD194" s="110"/>
      <c r="AE194" s="147"/>
      <c r="AF194" s="147"/>
      <c r="AG194" s="281"/>
      <c r="AH194" s="111"/>
      <c r="AI194" s="111"/>
    </row>
    <row r="195" spans="2:35">
      <c r="B195" s="273"/>
      <c r="C195" s="110"/>
      <c r="E195" s="220"/>
      <c r="L195" s="277"/>
      <c r="N195" s="147"/>
      <c r="O195" s="148"/>
      <c r="S195" s="277"/>
      <c r="T195" s="68"/>
      <c r="V195" s="279"/>
      <c r="X195" s="277"/>
      <c r="Y195" s="453"/>
      <c r="Z195" s="280"/>
      <c r="AA195" s="277"/>
      <c r="AB195" s="277"/>
      <c r="AC195" s="277"/>
      <c r="AD195" s="110"/>
      <c r="AE195" s="147"/>
      <c r="AF195" s="147"/>
      <c r="AG195" s="281"/>
      <c r="AH195" s="111"/>
      <c r="AI195" s="111"/>
    </row>
    <row r="196" spans="2:35">
      <c r="B196" s="273"/>
      <c r="C196" s="110"/>
      <c r="E196" s="220"/>
      <c r="L196" s="277"/>
      <c r="N196" s="147"/>
      <c r="O196" s="148"/>
      <c r="S196" s="277"/>
      <c r="T196" s="68"/>
      <c r="V196" s="279"/>
      <c r="X196" s="277"/>
      <c r="Y196" s="453"/>
      <c r="Z196" s="280"/>
      <c r="AA196" s="277"/>
      <c r="AB196" s="277"/>
      <c r="AC196" s="277"/>
      <c r="AD196" s="110"/>
      <c r="AE196" s="147"/>
      <c r="AF196" s="147"/>
      <c r="AG196" s="281"/>
      <c r="AH196" s="111"/>
      <c r="AI196" s="111"/>
    </row>
    <row r="197" spans="2:35">
      <c r="B197" s="273"/>
      <c r="C197" s="110"/>
      <c r="E197" s="220"/>
      <c r="L197" s="277"/>
      <c r="N197" s="147"/>
      <c r="O197" s="148"/>
      <c r="S197" s="277"/>
      <c r="T197" s="68"/>
      <c r="V197" s="279"/>
      <c r="X197" s="277"/>
      <c r="Y197" s="453"/>
      <c r="Z197" s="280"/>
      <c r="AA197" s="277"/>
      <c r="AB197" s="277"/>
      <c r="AC197" s="277"/>
      <c r="AD197" s="110"/>
      <c r="AE197" s="147"/>
      <c r="AF197" s="147"/>
      <c r="AG197" s="281"/>
      <c r="AH197" s="111"/>
      <c r="AI197" s="111"/>
    </row>
    <row r="198" spans="2:35">
      <c r="B198" s="273"/>
      <c r="C198" s="110"/>
      <c r="E198" s="220"/>
      <c r="L198" s="277"/>
      <c r="N198" s="147"/>
      <c r="O198" s="148"/>
      <c r="S198" s="277"/>
      <c r="T198" s="68"/>
      <c r="V198" s="279"/>
      <c r="X198" s="277"/>
      <c r="Y198" s="453"/>
      <c r="Z198" s="280"/>
      <c r="AA198" s="277"/>
      <c r="AB198" s="277"/>
      <c r="AC198" s="277"/>
      <c r="AD198" s="110"/>
      <c r="AE198" s="147"/>
      <c r="AF198" s="147"/>
      <c r="AG198" s="281"/>
      <c r="AH198" s="111"/>
      <c r="AI198" s="111"/>
    </row>
    <row r="199" spans="2:35">
      <c r="B199" s="273"/>
      <c r="C199" s="110"/>
      <c r="E199" s="220"/>
      <c r="L199" s="277"/>
      <c r="N199" s="147"/>
      <c r="O199" s="148"/>
      <c r="S199" s="277"/>
      <c r="T199" s="68"/>
      <c r="V199" s="279"/>
      <c r="X199" s="277"/>
      <c r="Y199" s="453"/>
      <c r="Z199" s="280"/>
      <c r="AA199" s="277"/>
      <c r="AB199" s="277"/>
      <c r="AC199" s="277"/>
      <c r="AD199" s="110"/>
      <c r="AE199" s="147"/>
      <c r="AF199" s="147"/>
      <c r="AG199" s="281"/>
      <c r="AH199" s="111"/>
      <c r="AI199" s="111"/>
    </row>
    <row r="200" spans="2:35">
      <c r="B200" s="273"/>
      <c r="C200" s="110"/>
      <c r="E200" s="220"/>
      <c r="L200" s="277"/>
      <c r="N200" s="147"/>
      <c r="O200" s="148"/>
      <c r="S200" s="277"/>
      <c r="T200" s="68"/>
      <c r="V200" s="279"/>
      <c r="X200" s="277"/>
      <c r="Y200" s="453"/>
      <c r="Z200" s="280"/>
      <c r="AA200" s="277"/>
      <c r="AB200" s="277"/>
      <c r="AC200" s="277"/>
      <c r="AD200" s="110"/>
      <c r="AE200" s="147"/>
      <c r="AF200" s="147"/>
      <c r="AG200" s="281"/>
      <c r="AH200" s="111"/>
      <c r="AI200" s="111"/>
    </row>
    <row r="201" spans="2:35">
      <c r="B201" s="273"/>
      <c r="C201" s="110"/>
      <c r="E201" s="220"/>
      <c r="L201" s="277"/>
      <c r="N201" s="147"/>
      <c r="O201" s="148"/>
      <c r="S201" s="277"/>
      <c r="T201" s="68"/>
      <c r="V201" s="279"/>
      <c r="X201" s="277"/>
      <c r="Y201" s="453"/>
      <c r="Z201" s="280"/>
      <c r="AA201" s="277"/>
      <c r="AB201" s="277"/>
      <c r="AC201" s="277"/>
      <c r="AD201" s="110"/>
      <c r="AE201" s="147"/>
      <c r="AF201" s="147"/>
      <c r="AG201" s="281"/>
      <c r="AH201" s="111"/>
      <c r="AI201" s="111"/>
    </row>
    <row r="202" spans="2:35">
      <c r="B202" s="273"/>
      <c r="C202" s="110"/>
      <c r="E202" s="220"/>
      <c r="L202" s="277"/>
      <c r="N202" s="147"/>
      <c r="O202" s="148"/>
      <c r="S202" s="277"/>
      <c r="T202" s="68"/>
      <c r="V202" s="279"/>
      <c r="X202" s="277"/>
      <c r="Y202" s="453"/>
      <c r="Z202" s="280"/>
      <c r="AA202" s="277"/>
      <c r="AB202" s="277"/>
      <c r="AC202" s="277"/>
      <c r="AD202" s="110"/>
      <c r="AE202" s="147"/>
      <c r="AF202" s="147"/>
      <c r="AG202" s="281"/>
      <c r="AH202" s="111"/>
      <c r="AI202" s="111"/>
    </row>
    <row r="203" spans="2:35">
      <c r="B203" s="273"/>
      <c r="C203" s="110"/>
      <c r="E203" s="220"/>
      <c r="L203" s="277"/>
      <c r="N203" s="147"/>
      <c r="O203" s="148"/>
      <c r="S203" s="277"/>
      <c r="T203" s="68"/>
      <c r="V203" s="279"/>
      <c r="X203" s="277"/>
      <c r="Y203" s="453"/>
      <c r="Z203" s="280"/>
      <c r="AA203" s="277"/>
      <c r="AB203" s="277"/>
      <c r="AC203" s="277"/>
      <c r="AD203" s="110"/>
      <c r="AE203" s="147"/>
      <c r="AF203" s="147"/>
      <c r="AG203" s="281"/>
      <c r="AH203" s="111"/>
      <c r="AI203" s="111"/>
    </row>
    <row r="204" spans="2:35">
      <c r="B204" s="273"/>
      <c r="C204" s="110"/>
      <c r="E204" s="220"/>
      <c r="L204" s="277"/>
      <c r="N204" s="147"/>
      <c r="O204" s="148"/>
      <c r="S204" s="277"/>
      <c r="T204" s="68"/>
      <c r="V204" s="279"/>
      <c r="X204" s="277"/>
      <c r="Y204" s="453"/>
      <c r="Z204" s="280"/>
      <c r="AA204" s="277"/>
      <c r="AB204" s="277"/>
      <c r="AC204" s="277"/>
      <c r="AD204" s="110"/>
      <c r="AE204" s="147"/>
      <c r="AF204" s="147"/>
      <c r="AG204" s="281"/>
      <c r="AH204" s="111"/>
      <c r="AI204" s="111"/>
    </row>
    <row r="205" spans="2:35">
      <c r="B205" s="273"/>
      <c r="C205" s="110"/>
      <c r="E205" s="220"/>
      <c r="L205" s="277"/>
      <c r="N205" s="147"/>
      <c r="O205" s="148"/>
      <c r="S205" s="277"/>
      <c r="T205" s="68"/>
      <c r="V205" s="279"/>
      <c r="X205" s="277"/>
      <c r="Y205" s="453"/>
      <c r="Z205" s="280"/>
      <c r="AA205" s="277"/>
      <c r="AB205" s="277"/>
      <c r="AC205" s="277"/>
      <c r="AD205" s="110"/>
      <c r="AE205" s="147"/>
      <c r="AF205" s="147"/>
      <c r="AG205" s="281"/>
      <c r="AH205" s="111"/>
      <c r="AI205" s="111"/>
    </row>
    <row r="206" spans="2:35">
      <c r="B206" s="273"/>
      <c r="C206" s="110"/>
      <c r="E206" s="220"/>
      <c r="L206" s="277"/>
      <c r="N206" s="147"/>
      <c r="O206" s="148"/>
      <c r="S206" s="277"/>
      <c r="T206" s="68"/>
      <c r="V206" s="279"/>
      <c r="X206" s="277"/>
      <c r="Y206" s="453"/>
      <c r="Z206" s="280"/>
      <c r="AA206" s="277"/>
      <c r="AB206" s="277"/>
      <c r="AC206" s="277"/>
      <c r="AD206" s="110"/>
      <c r="AE206" s="147"/>
      <c r="AF206" s="147"/>
      <c r="AG206" s="281"/>
      <c r="AH206" s="111"/>
      <c r="AI206" s="111"/>
    </row>
    <row r="207" spans="2:35">
      <c r="B207" s="273"/>
      <c r="C207" s="110"/>
      <c r="E207" s="220"/>
      <c r="L207" s="277"/>
      <c r="N207" s="147"/>
      <c r="O207" s="148"/>
      <c r="S207" s="277"/>
      <c r="T207" s="68"/>
      <c r="V207" s="279"/>
      <c r="X207" s="277"/>
      <c r="Y207" s="453"/>
      <c r="Z207" s="280"/>
      <c r="AA207" s="277"/>
      <c r="AB207" s="277"/>
      <c r="AC207" s="277"/>
      <c r="AD207" s="110"/>
      <c r="AE207" s="147"/>
      <c r="AF207" s="147"/>
      <c r="AG207" s="281"/>
      <c r="AH207" s="111"/>
      <c r="AI207" s="111"/>
    </row>
    <row r="208" spans="2:35">
      <c r="B208" s="273"/>
      <c r="C208" s="110"/>
      <c r="E208" s="220"/>
      <c r="L208" s="277"/>
      <c r="N208" s="147"/>
      <c r="O208" s="148"/>
      <c r="S208" s="277"/>
      <c r="T208" s="68"/>
      <c r="V208" s="279"/>
      <c r="X208" s="277"/>
      <c r="Y208" s="453"/>
      <c r="Z208" s="280"/>
      <c r="AA208" s="277"/>
      <c r="AB208" s="277"/>
      <c r="AC208" s="277"/>
      <c r="AD208" s="110"/>
      <c r="AE208" s="147"/>
      <c r="AF208" s="147"/>
      <c r="AG208" s="281"/>
      <c r="AH208" s="111"/>
      <c r="AI208" s="111"/>
    </row>
    <row r="209" spans="2:35">
      <c r="B209" s="273"/>
      <c r="C209" s="110"/>
      <c r="E209" s="220"/>
      <c r="L209" s="277"/>
      <c r="N209" s="147"/>
      <c r="O209" s="148"/>
      <c r="S209" s="277"/>
      <c r="T209" s="68"/>
      <c r="V209" s="279"/>
      <c r="X209" s="277"/>
      <c r="Y209" s="453"/>
      <c r="Z209" s="280"/>
      <c r="AA209" s="277"/>
      <c r="AB209" s="277"/>
      <c r="AC209" s="277"/>
      <c r="AD209" s="110"/>
      <c r="AE209" s="147"/>
      <c r="AF209" s="147"/>
      <c r="AG209" s="281"/>
      <c r="AH209" s="111"/>
      <c r="AI209" s="111"/>
    </row>
    <row r="210" spans="2:35">
      <c r="B210" s="273"/>
      <c r="C210" s="110"/>
      <c r="E210" s="220"/>
      <c r="L210" s="277"/>
      <c r="N210" s="147"/>
      <c r="O210" s="148"/>
      <c r="S210" s="277"/>
      <c r="T210" s="68"/>
      <c r="V210" s="279"/>
      <c r="X210" s="277"/>
      <c r="Y210" s="453"/>
      <c r="Z210" s="280"/>
      <c r="AA210" s="277"/>
      <c r="AB210" s="277"/>
      <c r="AC210" s="277"/>
      <c r="AD210" s="110"/>
      <c r="AE210" s="147"/>
      <c r="AF210" s="147"/>
      <c r="AG210" s="281"/>
      <c r="AH210" s="111"/>
      <c r="AI210" s="111"/>
    </row>
    <row r="211" spans="2:35">
      <c r="B211" s="273"/>
      <c r="C211" s="110"/>
      <c r="E211" s="220"/>
      <c r="L211" s="277"/>
      <c r="N211" s="147"/>
      <c r="O211" s="148"/>
      <c r="S211" s="277"/>
      <c r="T211" s="68"/>
      <c r="V211" s="279"/>
      <c r="X211" s="277"/>
      <c r="Y211" s="453"/>
      <c r="Z211" s="280"/>
      <c r="AA211" s="277"/>
      <c r="AB211" s="277"/>
      <c r="AC211" s="277"/>
      <c r="AD211" s="110"/>
      <c r="AE211" s="147"/>
      <c r="AF211" s="147"/>
      <c r="AG211" s="281"/>
      <c r="AH211" s="111"/>
      <c r="AI211" s="111"/>
    </row>
    <row r="212" spans="2:35">
      <c r="B212" s="273"/>
      <c r="C212" s="110"/>
      <c r="E212" s="220"/>
      <c r="L212" s="277"/>
      <c r="N212" s="147"/>
      <c r="O212" s="148"/>
      <c r="S212" s="277"/>
      <c r="T212" s="68"/>
      <c r="V212" s="279"/>
      <c r="X212" s="277"/>
      <c r="Y212" s="453"/>
      <c r="Z212" s="280"/>
      <c r="AA212" s="277"/>
      <c r="AB212" s="277"/>
      <c r="AC212" s="277"/>
      <c r="AD212" s="110"/>
      <c r="AE212" s="147"/>
      <c r="AF212" s="147"/>
      <c r="AG212" s="281"/>
      <c r="AH212" s="111"/>
      <c r="AI212" s="111"/>
    </row>
    <row r="213" spans="2:35">
      <c r="B213" s="273"/>
      <c r="C213" s="110"/>
      <c r="E213" s="220"/>
      <c r="L213" s="277"/>
      <c r="N213" s="147"/>
      <c r="O213" s="148"/>
      <c r="S213" s="277"/>
      <c r="T213" s="68"/>
      <c r="V213" s="279"/>
      <c r="X213" s="277"/>
      <c r="Y213" s="453"/>
      <c r="Z213" s="280"/>
      <c r="AA213" s="277"/>
      <c r="AB213" s="277"/>
      <c r="AC213" s="277"/>
      <c r="AD213" s="110"/>
      <c r="AE213" s="147"/>
      <c r="AF213" s="147"/>
      <c r="AG213" s="281"/>
      <c r="AH213" s="111"/>
      <c r="AI213" s="111"/>
    </row>
    <row r="214" spans="2:35">
      <c r="B214" s="273"/>
      <c r="C214" s="110"/>
      <c r="E214" s="220"/>
      <c r="L214" s="277"/>
      <c r="N214" s="147"/>
      <c r="O214" s="148"/>
      <c r="S214" s="277"/>
      <c r="T214" s="68"/>
      <c r="V214" s="279"/>
      <c r="X214" s="277"/>
      <c r="Y214" s="453"/>
      <c r="Z214" s="280"/>
      <c r="AA214" s="277"/>
      <c r="AB214" s="277"/>
      <c r="AC214" s="277"/>
      <c r="AD214" s="110"/>
      <c r="AE214" s="147"/>
      <c r="AF214" s="147"/>
      <c r="AG214" s="281"/>
      <c r="AH214" s="111"/>
      <c r="AI214" s="111"/>
    </row>
    <row r="215" spans="2:35">
      <c r="B215" s="273"/>
      <c r="C215" s="110"/>
      <c r="E215" s="220"/>
      <c r="L215" s="277"/>
      <c r="N215" s="147"/>
      <c r="O215" s="148"/>
      <c r="S215" s="277"/>
      <c r="T215" s="68"/>
      <c r="V215" s="279"/>
      <c r="X215" s="277"/>
      <c r="Y215" s="453"/>
      <c r="Z215" s="280"/>
      <c r="AA215" s="277"/>
      <c r="AB215" s="277"/>
      <c r="AC215" s="277"/>
      <c r="AD215" s="110"/>
      <c r="AE215" s="147"/>
      <c r="AF215" s="147"/>
      <c r="AG215" s="281"/>
      <c r="AH215" s="111"/>
      <c r="AI215" s="111"/>
    </row>
    <row r="216" spans="2:35">
      <c r="B216" s="273"/>
      <c r="C216" s="110"/>
      <c r="E216" s="220"/>
      <c r="L216" s="277"/>
      <c r="N216" s="147"/>
      <c r="O216" s="148"/>
      <c r="S216" s="277"/>
      <c r="T216" s="68"/>
      <c r="V216" s="279"/>
      <c r="X216" s="277"/>
      <c r="Y216" s="453"/>
      <c r="Z216" s="280"/>
      <c r="AA216" s="277"/>
      <c r="AB216" s="277"/>
      <c r="AC216" s="277"/>
      <c r="AD216" s="110"/>
      <c r="AE216" s="147"/>
      <c r="AF216" s="147"/>
      <c r="AG216" s="281"/>
      <c r="AH216" s="111"/>
      <c r="AI216" s="111"/>
    </row>
    <row r="217" spans="2:35">
      <c r="B217" s="273"/>
      <c r="C217" s="110"/>
      <c r="E217" s="220"/>
      <c r="L217" s="277"/>
      <c r="N217" s="147"/>
      <c r="O217" s="148"/>
      <c r="S217" s="277"/>
      <c r="T217" s="68"/>
      <c r="V217" s="279"/>
      <c r="X217" s="277"/>
      <c r="Y217" s="453"/>
      <c r="Z217" s="280"/>
      <c r="AA217" s="277"/>
      <c r="AB217" s="277"/>
      <c r="AC217" s="277"/>
      <c r="AD217" s="110"/>
      <c r="AE217" s="147"/>
      <c r="AF217" s="147"/>
      <c r="AG217" s="281"/>
      <c r="AH217" s="111"/>
      <c r="AI217" s="111"/>
    </row>
    <row r="218" spans="2:35">
      <c r="B218" s="273"/>
      <c r="C218" s="110"/>
      <c r="E218" s="220"/>
      <c r="L218" s="277"/>
      <c r="N218" s="147"/>
      <c r="O218" s="148"/>
      <c r="S218" s="277"/>
      <c r="T218" s="68"/>
      <c r="V218" s="279"/>
      <c r="X218" s="277"/>
      <c r="Y218" s="453"/>
      <c r="Z218" s="280"/>
      <c r="AA218" s="277"/>
      <c r="AB218" s="277"/>
      <c r="AC218" s="277"/>
      <c r="AD218" s="110"/>
      <c r="AE218" s="147"/>
      <c r="AF218" s="147"/>
      <c r="AG218" s="281"/>
      <c r="AH218" s="111"/>
      <c r="AI218" s="111"/>
    </row>
    <row r="219" spans="2:35">
      <c r="B219" s="273"/>
      <c r="C219" s="110"/>
      <c r="E219" s="220"/>
      <c r="L219" s="277"/>
      <c r="N219" s="147"/>
      <c r="O219" s="148"/>
      <c r="S219" s="277"/>
      <c r="T219" s="68"/>
      <c r="V219" s="279"/>
      <c r="X219" s="277"/>
      <c r="Y219" s="453"/>
      <c r="Z219" s="280"/>
      <c r="AA219" s="277"/>
      <c r="AB219" s="277"/>
      <c r="AC219" s="277"/>
      <c r="AD219" s="110"/>
      <c r="AE219" s="147"/>
      <c r="AF219" s="147"/>
      <c r="AG219" s="281"/>
      <c r="AH219" s="111"/>
      <c r="AI219" s="111"/>
    </row>
    <row r="220" spans="2:35">
      <c r="B220" s="273"/>
      <c r="C220" s="110"/>
      <c r="E220" s="220"/>
      <c r="L220" s="277"/>
      <c r="N220" s="147"/>
      <c r="O220" s="148"/>
      <c r="S220" s="277"/>
      <c r="T220" s="68"/>
      <c r="V220" s="279"/>
      <c r="X220" s="277"/>
      <c r="Y220" s="453"/>
      <c r="Z220" s="280"/>
      <c r="AA220" s="277"/>
      <c r="AB220" s="277"/>
      <c r="AC220" s="277"/>
      <c r="AD220" s="110"/>
      <c r="AE220" s="147"/>
      <c r="AF220" s="147"/>
      <c r="AG220" s="281"/>
      <c r="AH220" s="111"/>
      <c r="AI220" s="111"/>
    </row>
    <row r="221" spans="2:35">
      <c r="B221" s="273"/>
      <c r="C221" s="110"/>
      <c r="E221" s="220"/>
      <c r="L221" s="277"/>
      <c r="N221" s="147"/>
      <c r="O221" s="148"/>
      <c r="S221" s="277"/>
      <c r="T221" s="68"/>
      <c r="V221" s="279"/>
      <c r="X221" s="277"/>
      <c r="Y221" s="453"/>
      <c r="Z221" s="280"/>
      <c r="AA221" s="277"/>
      <c r="AB221" s="277"/>
      <c r="AC221" s="277"/>
      <c r="AD221" s="110"/>
      <c r="AE221" s="147"/>
      <c r="AF221" s="147"/>
      <c r="AG221" s="281"/>
      <c r="AH221" s="111"/>
      <c r="AI221" s="111"/>
    </row>
    <row r="222" spans="2:35">
      <c r="B222" s="273"/>
      <c r="C222" s="110"/>
      <c r="E222" s="220"/>
      <c r="L222" s="277"/>
      <c r="N222" s="147"/>
      <c r="O222" s="148"/>
      <c r="S222" s="277"/>
      <c r="T222" s="68"/>
      <c r="V222" s="279"/>
      <c r="X222" s="277"/>
      <c r="Y222" s="453"/>
      <c r="Z222" s="280"/>
      <c r="AA222" s="277"/>
      <c r="AB222" s="277"/>
      <c r="AC222" s="277"/>
      <c r="AD222" s="110"/>
      <c r="AE222" s="147"/>
      <c r="AF222" s="147"/>
      <c r="AG222" s="281"/>
      <c r="AH222" s="111"/>
      <c r="AI222" s="111"/>
    </row>
    <row r="223" spans="2:35">
      <c r="B223" s="273"/>
      <c r="C223" s="110"/>
      <c r="E223" s="220"/>
      <c r="L223" s="277"/>
      <c r="N223" s="147"/>
      <c r="O223" s="148"/>
      <c r="S223" s="277"/>
      <c r="T223" s="68"/>
      <c r="V223" s="279"/>
      <c r="X223" s="277"/>
      <c r="Y223" s="453"/>
      <c r="Z223" s="280"/>
      <c r="AA223" s="277"/>
      <c r="AB223" s="277"/>
      <c r="AC223" s="277"/>
      <c r="AD223" s="110"/>
      <c r="AE223" s="147"/>
      <c r="AF223" s="147"/>
      <c r="AG223" s="281"/>
      <c r="AH223" s="111"/>
      <c r="AI223" s="111"/>
    </row>
    <row r="224" spans="2:35">
      <c r="B224" s="273"/>
      <c r="C224" s="110"/>
      <c r="E224" s="220"/>
      <c r="L224" s="277"/>
      <c r="N224" s="147"/>
      <c r="O224" s="148"/>
      <c r="S224" s="277"/>
      <c r="T224" s="68"/>
      <c r="V224" s="279"/>
      <c r="X224" s="277"/>
      <c r="Y224" s="453"/>
      <c r="Z224" s="280"/>
      <c r="AA224" s="277"/>
      <c r="AB224" s="277"/>
      <c r="AC224" s="277"/>
      <c r="AD224" s="110"/>
      <c r="AE224" s="147"/>
      <c r="AF224" s="147"/>
      <c r="AG224" s="281"/>
      <c r="AH224" s="111"/>
      <c r="AI224" s="111"/>
    </row>
    <row r="225" spans="2:35">
      <c r="B225" s="273"/>
      <c r="C225" s="110"/>
      <c r="E225" s="220"/>
      <c r="L225" s="277"/>
      <c r="N225" s="147"/>
      <c r="O225" s="148"/>
      <c r="S225" s="277"/>
      <c r="T225" s="68"/>
      <c r="V225" s="279"/>
      <c r="X225" s="277"/>
      <c r="Y225" s="453"/>
      <c r="Z225" s="280"/>
      <c r="AA225" s="277"/>
      <c r="AB225" s="277"/>
      <c r="AC225" s="277"/>
      <c r="AD225" s="110"/>
      <c r="AE225" s="147"/>
      <c r="AF225" s="147"/>
      <c r="AG225" s="281"/>
      <c r="AH225" s="111"/>
      <c r="AI225" s="111"/>
    </row>
    <row r="226" spans="2:35">
      <c r="B226" s="273"/>
      <c r="C226" s="110"/>
      <c r="E226" s="220"/>
      <c r="L226" s="277"/>
      <c r="N226" s="147"/>
      <c r="O226" s="148"/>
      <c r="S226" s="277"/>
      <c r="T226" s="68"/>
      <c r="V226" s="279"/>
      <c r="X226" s="277"/>
      <c r="Y226" s="453"/>
      <c r="Z226" s="280"/>
      <c r="AA226" s="277"/>
      <c r="AB226" s="277"/>
      <c r="AC226" s="277"/>
      <c r="AD226" s="110"/>
      <c r="AE226" s="147"/>
      <c r="AF226" s="147"/>
      <c r="AG226" s="281"/>
      <c r="AH226" s="111"/>
      <c r="AI226" s="111"/>
    </row>
    <row r="227" spans="2:35">
      <c r="B227" s="273"/>
      <c r="C227" s="110"/>
      <c r="E227" s="220"/>
      <c r="L227" s="277"/>
      <c r="N227" s="147"/>
      <c r="O227" s="148"/>
      <c r="S227" s="277"/>
      <c r="T227" s="68"/>
      <c r="V227" s="279"/>
      <c r="X227" s="277"/>
      <c r="Y227" s="453"/>
      <c r="Z227" s="280"/>
      <c r="AA227" s="277"/>
      <c r="AB227" s="277"/>
      <c r="AC227" s="277"/>
      <c r="AD227" s="110"/>
      <c r="AE227" s="147"/>
      <c r="AF227" s="147"/>
      <c r="AG227" s="281"/>
      <c r="AH227" s="111"/>
      <c r="AI227" s="111"/>
    </row>
    <row r="228" spans="2:35">
      <c r="B228" s="273"/>
      <c r="C228" s="110"/>
      <c r="E228" s="220"/>
      <c r="L228" s="277"/>
      <c r="N228" s="147"/>
      <c r="O228" s="148"/>
      <c r="S228" s="277"/>
      <c r="T228" s="68"/>
      <c r="V228" s="279"/>
      <c r="X228" s="277"/>
      <c r="Y228" s="453"/>
      <c r="Z228" s="280"/>
      <c r="AA228" s="277"/>
      <c r="AB228" s="277"/>
      <c r="AC228" s="277"/>
      <c r="AD228" s="110"/>
      <c r="AE228" s="147"/>
      <c r="AF228" s="147"/>
      <c r="AG228" s="281"/>
      <c r="AH228" s="111"/>
      <c r="AI228" s="111"/>
    </row>
    <row r="229" spans="2:35">
      <c r="B229" s="273"/>
      <c r="C229" s="110"/>
      <c r="E229" s="220"/>
      <c r="L229" s="277"/>
      <c r="N229" s="147"/>
      <c r="O229" s="148"/>
      <c r="S229" s="277"/>
      <c r="T229" s="68"/>
      <c r="V229" s="279"/>
      <c r="X229" s="277"/>
      <c r="Y229" s="453"/>
      <c r="Z229" s="280"/>
      <c r="AA229" s="277"/>
      <c r="AB229" s="277"/>
      <c r="AC229" s="277"/>
      <c r="AD229" s="110"/>
      <c r="AE229" s="147"/>
      <c r="AF229" s="147"/>
      <c r="AG229" s="281"/>
      <c r="AH229" s="111"/>
      <c r="AI229" s="111"/>
    </row>
    <row r="230" spans="2:35">
      <c r="B230" s="273"/>
      <c r="C230" s="110"/>
      <c r="E230" s="220"/>
      <c r="L230" s="277"/>
      <c r="N230" s="147"/>
      <c r="O230" s="148"/>
      <c r="S230" s="277"/>
      <c r="T230" s="68"/>
      <c r="V230" s="279"/>
      <c r="X230" s="277"/>
      <c r="Y230" s="453"/>
      <c r="Z230" s="280"/>
      <c r="AA230" s="277"/>
      <c r="AB230" s="277"/>
      <c r="AC230" s="277"/>
      <c r="AD230" s="110"/>
      <c r="AE230" s="147"/>
      <c r="AF230" s="147"/>
      <c r="AG230" s="281"/>
      <c r="AH230" s="111"/>
      <c r="AI230" s="111"/>
    </row>
    <row r="231" spans="2:35">
      <c r="B231" s="273"/>
      <c r="C231" s="110"/>
      <c r="E231" s="220"/>
      <c r="L231" s="277"/>
      <c r="N231" s="147"/>
      <c r="O231" s="148"/>
      <c r="S231" s="277"/>
      <c r="T231" s="68"/>
      <c r="V231" s="279"/>
      <c r="X231" s="277"/>
      <c r="Y231" s="453"/>
      <c r="Z231" s="280"/>
      <c r="AA231" s="277"/>
      <c r="AB231" s="277"/>
      <c r="AC231" s="277"/>
      <c r="AD231" s="110"/>
      <c r="AE231" s="147"/>
      <c r="AF231" s="147"/>
      <c r="AG231" s="281"/>
      <c r="AH231" s="111"/>
      <c r="AI231" s="111"/>
    </row>
    <row r="232" spans="2:35">
      <c r="B232" s="273"/>
      <c r="C232" s="110"/>
      <c r="E232" s="220"/>
      <c r="L232" s="277"/>
      <c r="N232" s="147"/>
      <c r="O232" s="148"/>
      <c r="S232" s="277"/>
      <c r="T232" s="68"/>
      <c r="V232" s="279"/>
      <c r="X232" s="277"/>
      <c r="Y232" s="453"/>
      <c r="Z232" s="280"/>
      <c r="AA232" s="277"/>
      <c r="AB232" s="277"/>
      <c r="AC232" s="277"/>
      <c r="AD232" s="110"/>
      <c r="AE232" s="147"/>
      <c r="AF232" s="147"/>
      <c r="AG232" s="281"/>
      <c r="AH232" s="111"/>
      <c r="AI232" s="111"/>
    </row>
    <row r="233" spans="2:35">
      <c r="B233" s="273"/>
      <c r="C233" s="110"/>
      <c r="E233" s="220"/>
      <c r="L233" s="277"/>
      <c r="N233" s="147"/>
      <c r="O233" s="148"/>
      <c r="S233" s="277"/>
      <c r="T233" s="68"/>
      <c r="V233" s="279"/>
      <c r="X233" s="277"/>
      <c r="Y233" s="453"/>
      <c r="Z233" s="280"/>
      <c r="AA233" s="277"/>
      <c r="AB233" s="277"/>
      <c r="AC233" s="277"/>
      <c r="AD233" s="110"/>
      <c r="AE233" s="147"/>
      <c r="AF233" s="147"/>
      <c r="AG233" s="281"/>
      <c r="AH233" s="111"/>
      <c r="AI233" s="111"/>
    </row>
    <row r="234" spans="2:35">
      <c r="B234" s="273"/>
      <c r="C234" s="110"/>
      <c r="E234" s="220"/>
      <c r="L234" s="277"/>
      <c r="N234" s="147"/>
      <c r="O234" s="148"/>
      <c r="S234" s="277"/>
      <c r="T234" s="68"/>
      <c r="V234" s="279"/>
      <c r="X234" s="277"/>
      <c r="Y234" s="453"/>
      <c r="Z234" s="280"/>
      <c r="AA234" s="277"/>
      <c r="AB234" s="277"/>
      <c r="AC234" s="277"/>
      <c r="AD234" s="110"/>
      <c r="AE234" s="147"/>
      <c r="AF234" s="147"/>
      <c r="AG234" s="281"/>
      <c r="AH234" s="111"/>
      <c r="AI234" s="111"/>
    </row>
    <row r="235" spans="2:35">
      <c r="B235" s="273"/>
      <c r="C235" s="110"/>
      <c r="E235" s="220"/>
      <c r="L235" s="277"/>
      <c r="N235" s="147"/>
      <c r="O235" s="148"/>
      <c r="S235" s="277"/>
      <c r="T235" s="68"/>
      <c r="V235" s="279"/>
      <c r="X235" s="277"/>
      <c r="Y235" s="453"/>
      <c r="Z235" s="280"/>
      <c r="AA235" s="277"/>
      <c r="AB235" s="277"/>
      <c r="AC235" s="277"/>
      <c r="AD235" s="110"/>
      <c r="AE235" s="147"/>
      <c r="AF235" s="147"/>
      <c r="AG235" s="281"/>
      <c r="AH235" s="111"/>
      <c r="AI235" s="111"/>
    </row>
    <row r="236" spans="2:35">
      <c r="B236" s="273"/>
      <c r="C236" s="110"/>
      <c r="E236" s="220"/>
      <c r="L236" s="277"/>
      <c r="N236" s="147"/>
      <c r="O236" s="148"/>
      <c r="S236" s="277"/>
      <c r="T236" s="68"/>
      <c r="V236" s="279"/>
      <c r="X236" s="277"/>
      <c r="Y236" s="453"/>
      <c r="Z236" s="280"/>
      <c r="AA236" s="277"/>
      <c r="AB236" s="277"/>
      <c r="AC236" s="277"/>
      <c r="AD236" s="110"/>
      <c r="AE236" s="147"/>
      <c r="AF236" s="147"/>
      <c r="AG236" s="281"/>
      <c r="AH236" s="111"/>
      <c r="AI236" s="111"/>
    </row>
    <row r="237" spans="2:35">
      <c r="B237" s="273"/>
      <c r="C237" s="110"/>
      <c r="E237" s="220"/>
      <c r="L237" s="277"/>
      <c r="N237" s="147"/>
      <c r="O237" s="148"/>
      <c r="S237" s="277"/>
      <c r="T237" s="68"/>
      <c r="V237" s="279"/>
      <c r="X237" s="277"/>
      <c r="Y237" s="453"/>
      <c r="Z237" s="280"/>
      <c r="AA237" s="277"/>
      <c r="AB237" s="277"/>
      <c r="AC237" s="277"/>
      <c r="AD237" s="110"/>
      <c r="AE237" s="147"/>
      <c r="AF237" s="147"/>
      <c r="AG237" s="281"/>
      <c r="AH237" s="111"/>
      <c r="AI237" s="111"/>
    </row>
    <row r="238" spans="2:35">
      <c r="B238" s="273"/>
      <c r="C238" s="110"/>
      <c r="E238" s="220"/>
      <c r="L238" s="277"/>
      <c r="N238" s="147"/>
      <c r="O238" s="148"/>
      <c r="S238" s="277"/>
      <c r="T238" s="68"/>
      <c r="V238" s="279"/>
      <c r="X238" s="277"/>
      <c r="Y238" s="453"/>
      <c r="Z238" s="280"/>
      <c r="AA238" s="277"/>
      <c r="AB238" s="277"/>
      <c r="AC238" s="277"/>
      <c r="AD238" s="110"/>
      <c r="AE238" s="147"/>
      <c r="AF238" s="147"/>
      <c r="AG238" s="281"/>
      <c r="AH238" s="111"/>
      <c r="AI238" s="111"/>
    </row>
    <row r="239" spans="2:35">
      <c r="B239" s="273"/>
      <c r="C239" s="110"/>
      <c r="E239" s="220"/>
      <c r="L239" s="277"/>
      <c r="N239" s="147"/>
      <c r="O239" s="148"/>
      <c r="S239" s="277"/>
      <c r="T239" s="68"/>
      <c r="V239" s="279"/>
      <c r="X239" s="277"/>
      <c r="Y239" s="453"/>
      <c r="Z239" s="280"/>
      <c r="AA239" s="277"/>
      <c r="AB239" s="277"/>
      <c r="AC239" s="277"/>
      <c r="AD239" s="110"/>
      <c r="AE239" s="147"/>
      <c r="AF239" s="147"/>
      <c r="AG239" s="281"/>
      <c r="AH239" s="111"/>
      <c r="AI239" s="111"/>
    </row>
    <row r="240" spans="2:35">
      <c r="B240" s="273"/>
      <c r="C240" s="110"/>
      <c r="E240" s="220"/>
      <c r="L240" s="277"/>
      <c r="N240" s="147"/>
      <c r="O240" s="148"/>
      <c r="S240" s="277"/>
      <c r="T240" s="68"/>
      <c r="V240" s="279"/>
      <c r="X240" s="277"/>
      <c r="Y240" s="453"/>
      <c r="Z240" s="280"/>
      <c r="AA240" s="277"/>
      <c r="AB240" s="277"/>
      <c r="AC240" s="277"/>
      <c r="AD240" s="110"/>
      <c r="AE240" s="147"/>
      <c r="AF240" s="147"/>
      <c r="AG240" s="281"/>
      <c r="AH240" s="111"/>
      <c r="AI240" s="111"/>
    </row>
    <row r="241" spans="2:35">
      <c r="B241" s="273"/>
      <c r="C241" s="110"/>
      <c r="E241" s="220"/>
      <c r="L241" s="277"/>
      <c r="N241" s="147"/>
      <c r="O241" s="148"/>
      <c r="S241" s="277"/>
      <c r="T241" s="68"/>
      <c r="V241" s="279"/>
      <c r="X241" s="277"/>
      <c r="Y241" s="453"/>
      <c r="Z241" s="280"/>
      <c r="AA241" s="277"/>
      <c r="AB241" s="277"/>
      <c r="AC241" s="277"/>
      <c r="AD241" s="110"/>
      <c r="AE241" s="147"/>
      <c r="AF241" s="147"/>
      <c r="AG241" s="281"/>
      <c r="AH241" s="111"/>
      <c r="AI241" s="111"/>
    </row>
    <row r="242" spans="2:35">
      <c r="B242" s="273"/>
      <c r="C242" s="110"/>
      <c r="E242" s="220"/>
      <c r="L242" s="277"/>
      <c r="N242" s="147"/>
      <c r="O242" s="148"/>
      <c r="S242" s="277"/>
      <c r="T242" s="68"/>
      <c r="V242" s="279"/>
      <c r="X242" s="277"/>
      <c r="Y242" s="453"/>
      <c r="Z242" s="280"/>
      <c r="AA242" s="277"/>
      <c r="AB242" s="277"/>
      <c r="AC242" s="277"/>
      <c r="AD242" s="110"/>
      <c r="AE242" s="147"/>
      <c r="AF242" s="147"/>
      <c r="AG242" s="281"/>
      <c r="AH242" s="111"/>
      <c r="AI242" s="111"/>
    </row>
    <row r="243" spans="2:35">
      <c r="B243" s="273"/>
      <c r="C243" s="110"/>
      <c r="E243" s="220"/>
      <c r="L243" s="277"/>
      <c r="N243" s="147"/>
      <c r="O243" s="148"/>
      <c r="S243" s="277"/>
      <c r="T243" s="68"/>
      <c r="V243" s="279"/>
      <c r="X243" s="277"/>
      <c r="Y243" s="453"/>
      <c r="Z243" s="280"/>
      <c r="AA243" s="277"/>
      <c r="AB243" s="277"/>
      <c r="AC243" s="277"/>
      <c r="AD243" s="110"/>
      <c r="AE243" s="147"/>
      <c r="AF243" s="147"/>
      <c r="AG243" s="281"/>
      <c r="AH243" s="111"/>
      <c r="AI243" s="111"/>
    </row>
    <row r="244" spans="2:35">
      <c r="B244" s="273"/>
      <c r="C244" s="110"/>
      <c r="E244" s="220"/>
      <c r="L244" s="277"/>
      <c r="N244" s="147"/>
      <c r="O244" s="148"/>
      <c r="S244" s="277"/>
      <c r="T244" s="68"/>
      <c r="V244" s="279"/>
      <c r="X244" s="277"/>
      <c r="Y244" s="453"/>
      <c r="Z244" s="280"/>
      <c r="AA244" s="277"/>
      <c r="AB244" s="277"/>
      <c r="AC244" s="277"/>
      <c r="AD244" s="110"/>
      <c r="AE244" s="147"/>
      <c r="AF244" s="147"/>
      <c r="AG244" s="281"/>
      <c r="AH244" s="111"/>
      <c r="AI244" s="111"/>
    </row>
    <row r="245" spans="2:35">
      <c r="B245" s="273"/>
      <c r="C245" s="110"/>
      <c r="E245" s="220"/>
      <c r="L245" s="277"/>
      <c r="N245" s="147"/>
      <c r="O245" s="148"/>
      <c r="S245" s="277"/>
      <c r="T245" s="68"/>
      <c r="V245" s="279"/>
      <c r="X245" s="277"/>
      <c r="Y245" s="453"/>
      <c r="Z245" s="280"/>
      <c r="AA245" s="277"/>
      <c r="AB245" s="277"/>
      <c r="AC245" s="277"/>
      <c r="AD245" s="110"/>
      <c r="AE245" s="147"/>
      <c r="AF245" s="147"/>
      <c r="AG245" s="281"/>
      <c r="AH245" s="111"/>
      <c r="AI245" s="111"/>
    </row>
    <row r="246" spans="2:35">
      <c r="B246" s="273"/>
      <c r="C246" s="110"/>
      <c r="E246" s="220"/>
      <c r="L246" s="277"/>
      <c r="N246" s="147"/>
      <c r="O246" s="148"/>
      <c r="S246" s="277"/>
      <c r="T246" s="68"/>
      <c r="V246" s="279"/>
      <c r="X246" s="277"/>
      <c r="Y246" s="453"/>
      <c r="Z246" s="280"/>
      <c r="AA246" s="277"/>
      <c r="AB246" s="277"/>
      <c r="AC246" s="277"/>
      <c r="AD246" s="110"/>
      <c r="AE246" s="147"/>
      <c r="AF246" s="147"/>
      <c r="AG246" s="281"/>
      <c r="AH246" s="111"/>
      <c r="AI246" s="111"/>
    </row>
    <row r="247" spans="2:35">
      <c r="B247" s="273"/>
      <c r="C247" s="110"/>
      <c r="E247" s="220"/>
      <c r="L247" s="277"/>
      <c r="N247" s="147"/>
      <c r="O247" s="148"/>
      <c r="S247" s="277"/>
      <c r="T247" s="68"/>
      <c r="V247" s="279"/>
      <c r="X247" s="277"/>
      <c r="Y247" s="453"/>
      <c r="Z247" s="280"/>
      <c r="AA247" s="277"/>
      <c r="AB247" s="277"/>
      <c r="AC247" s="277"/>
      <c r="AD247" s="110"/>
      <c r="AE247" s="147"/>
      <c r="AF247" s="147"/>
      <c r="AG247" s="281"/>
      <c r="AH247" s="111"/>
      <c r="AI247" s="111"/>
    </row>
    <row r="248" spans="2:35">
      <c r="B248" s="273"/>
      <c r="C248" s="110"/>
      <c r="E248" s="220"/>
      <c r="L248" s="277"/>
      <c r="N248" s="147"/>
      <c r="O248" s="148"/>
      <c r="S248" s="277"/>
      <c r="T248" s="68"/>
      <c r="V248" s="279"/>
      <c r="X248" s="277"/>
      <c r="Y248" s="453"/>
      <c r="Z248" s="280"/>
      <c r="AA248" s="277"/>
      <c r="AB248" s="277"/>
      <c r="AC248" s="277"/>
      <c r="AD248" s="110"/>
      <c r="AE248" s="147"/>
      <c r="AF248" s="147"/>
      <c r="AG248" s="281"/>
      <c r="AH248" s="111"/>
      <c r="AI248" s="111"/>
    </row>
    <row r="249" spans="2:35">
      <c r="B249" s="273"/>
      <c r="C249" s="110"/>
      <c r="E249" s="220"/>
      <c r="L249" s="277"/>
      <c r="N249" s="147"/>
      <c r="O249" s="148"/>
      <c r="S249" s="277"/>
      <c r="T249" s="68"/>
      <c r="V249" s="279"/>
      <c r="X249" s="277"/>
      <c r="Y249" s="453"/>
      <c r="Z249" s="280"/>
      <c r="AA249" s="277"/>
      <c r="AB249" s="277"/>
      <c r="AC249" s="277"/>
      <c r="AD249" s="110"/>
      <c r="AE249" s="147"/>
      <c r="AF249" s="147"/>
      <c r="AG249" s="281"/>
      <c r="AH249" s="111"/>
      <c r="AI249" s="111"/>
    </row>
    <row r="250" spans="2:35">
      <c r="B250" s="273"/>
      <c r="C250" s="110"/>
      <c r="E250" s="220"/>
      <c r="L250" s="277"/>
      <c r="N250" s="147"/>
      <c r="O250" s="148"/>
      <c r="S250" s="277"/>
      <c r="T250" s="68"/>
      <c r="V250" s="279"/>
      <c r="X250" s="277"/>
      <c r="Y250" s="453"/>
      <c r="Z250" s="280"/>
      <c r="AA250" s="277"/>
      <c r="AB250" s="277"/>
      <c r="AC250" s="277"/>
      <c r="AD250" s="110"/>
      <c r="AE250" s="147"/>
      <c r="AF250" s="147"/>
      <c r="AG250" s="281"/>
      <c r="AH250" s="111"/>
      <c r="AI250" s="111"/>
    </row>
    <row r="251" spans="2:35">
      <c r="B251" s="273"/>
      <c r="C251" s="110"/>
      <c r="E251" s="220"/>
      <c r="L251" s="277"/>
      <c r="N251" s="147"/>
      <c r="O251" s="148"/>
      <c r="S251" s="277"/>
      <c r="T251" s="68"/>
      <c r="V251" s="279"/>
      <c r="X251" s="277"/>
      <c r="Y251" s="453"/>
      <c r="Z251" s="280"/>
      <c r="AA251" s="277"/>
      <c r="AB251" s="277"/>
      <c r="AC251" s="277"/>
      <c r="AD251" s="110"/>
      <c r="AE251" s="147"/>
      <c r="AF251" s="147"/>
      <c r="AG251" s="281"/>
      <c r="AH251" s="111"/>
      <c r="AI251" s="111"/>
    </row>
    <row r="252" spans="2:35">
      <c r="B252" s="273"/>
      <c r="C252" s="110"/>
      <c r="E252" s="220"/>
      <c r="L252" s="277"/>
      <c r="N252" s="147"/>
      <c r="O252" s="148"/>
      <c r="S252" s="277"/>
      <c r="T252" s="68"/>
      <c r="V252" s="279"/>
      <c r="X252" s="277"/>
      <c r="Y252" s="453"/>
      <c r="Z252" s="280"/>
      <c r="AA252" s="277"/>
      <c r="AB252" s="277"/>
      <c r="AC252" s="277"/>
      <c r="AD252" s="110"/>
      <c r="AE252" s="147"/>
      <c r="AF252" s="147"/>
      <c r="AG252" s="281"/>
      <c r="AH252" s="111"/>
      <c r="AI252" s="111"/>
    </row>
    <row r="253" spans="2:35">
      <c r="B253" s="273"/>
      <c r="C253" s="110"/>
      <c r="E253" s="220"/>
      <c r="L253" s="277"/>
      <c r="N253" s="147"/>
      <c r="O253" s="148"/>
      <c r="S253" s="277"/>
      <c r="T253" s="68"/>
      <c r="V253" s="279"/>
      <c r="X253" s="277"/>
      <c r="Y253" s="453"/>
      <c r="Z253" s="280"/>
      <c r="AA253" s="277"/>
      <c r="AB253" s="277"/>
      <c r="AC253" s="277"/>
      <c r="AD253" s="110"/>
      <c r="AE253" s="147"/>
      <c r="AF253" s="147"/>
      <c r="AG253" s="281"/>
      <c r="AH253" s="111"/>
      <c r="AI253" s="111"/>
    </row>
    <row r="254" spans="2:35">
      <c r="B254" s="273"/>
      <c r="C254" s="110"/>
      <c r="E254" s="220"/>
      <c r="L254" s="277"/>
      <c r="N254" s="147"/>
      <c r="O254" s="148"/>
      <c r="S254" s="277"/>
      <c r="T254" s="68"/>
      <c r="V254" s="279"/>
      <c r="X254" s="277"/>
      <c r="Y254" s="453"/>
      <c r="Z254" s="280"/>
      <c r="AA254" s="277"/>
      <c r="AB254" s="277"/>
      <c r="AC254" s="277"/>
      <c r="AD254" s="110"/>
      <c r="AE254" s="147"/>
      <c r="AF254" s="147"/>
      <c r="AG254" s="281"/>
      <c r="AH254" s="111"/>
      <c r="AI254" s="111"/>
    </row>
    <row r="255" spans="2:35">
      <c r="B255" s="273"/>
      <c r="C255" s="110"/>
      <c r="E255" s="220"/>
      <c r="L255" s="277"/>
      <c r="N255" s="147"/>
      <c r="O255" s="148"/>
      <c r="S255" s="277"/>
      <c r="T255" s="68"/>
      <c r="V255" s="279"/>
      <c r="X255" s="277"/>
      <c r="Y255" s="453"/>
      <c r="Z255" s="280"/>
      <c r="AA255" s="277"/>
      <c r="AB255" s="277"/>
      <c r="AC255" s="277"/>
      <c r="AD255" s="110"/>
      <c r="AE255" s="147"/>
      <c r="AF255" s="147"/>
      <c r="AG255" s="281"/>
      <c r="AH255" s="111"/>
      <c r="AI255" s="111"/>
    </row>
    <row r="256" spans="2:35">
      <c r="B256" s="273"/>
      <c r="C256" s="110"/>
      <c r="E256" s="220"/>
      <c r="L256" s="277"/>
      <c r="N256" s="147"/>
      <c r="O256" s="148"/>
      <c r="S256" s="277"/>
      <c r="T256" s="68"/>
      <c r="V256" s="279"/>
      <c r="X256" s="277"/>
      <c r="Y256" s="453"/>
      <c r="Z256" s="280"/>
      <c r="AA256" s="277"/>
      <c r="AB256" s="277"/>
      <c r="AC256" s="277"/>
      <c r="AD256" s="110"/>
      <c r="AE256" s="147"/>
      <c r="AF256" s="147"/>
      <c r="AG256" s="281"/>
      <c r="AH256" s="111"/>
      <c r="AI256" s="111"/>
    </row>
    <row r="257" spans="2:35">
      <c r="B257" s="273"/>
      <c r="C257" s="110"/>
      <c r="E257" s="220"/>
      <c r="L257" s="277"/>
      <c r="N257" s="147"/>
      <c r="O257" s="148"/>
      <c r="S257" s="277"/>
      <c r="T257" s="68"/>
      <c r="V257" s="279"/>
      <c r="X257" s="277"/>
      <c r="Y257" s="453"/>
      <c r="Z257" s="280"/>
      <c r="AA257" s="277"/>
      <c r="AB257" s="277"/>
      <c r="AC257" s="277"/>
      <c r="AD257" s="110"/>
      <c r="AE257" s="147"/>
      <c r="AF257" s="147"/>
      <c r="AG257" s="281"/>
      <c r="AH257" s="111"/>
      <c r="AI257" s="111"/>
    </row>
    <row r="258" spans="2:35">
      <c r="B258" s="273"/>
      <c r="C258" s="110"/>
      <c r="E258" s="220"/>
      <c r="L258" s="277"/>
      <c r="N258" s="147"/>
      <c r="O258" s="148"/>
      <c r="S258" s="277"/>
      <c r="T258" s="68"/>
      <c r="V258" s="279"/>
      <c r="X258" s="277"/>
      <c r="Y258" s="453"/>
      <c r="Z258" s="280"/>
      <c r="AA258" s="277"/>
      <c r="AB258" s="277"/>
      <c r="AC258" s="277"/>
      <c r="AD258" s="110"/>
      <c r="AE258" s="147"/>
      <c r="AF258" s="147"/>
      <c r="AG258" s="281"/>
      <c r="AH258" s="111"/>
      <c r="AI258" s="111"/>
    </row>
    <row r="259" spans="2:35">
      <c r="B259" s="273"/>
      <c r="C259" s="110"/>
      <c r="E259" s="220"/>
      <c r="L259" s="277"/>
      <c r="N259" s="147"/>
      <c r="O259" s="148"/>
      <c r="S259" s="277"/>
      <c r="T259" s="68"/>
      <c r="V259" s="279"/>
      <c r="X259" s="277"/>
      <c r="Y259" s="453"/>
      <c r="Z259" s="280"/>
      <c r="AA259" s="277"/>
      <c r="AB259" s="277"/>
      <c r="AC259" s="277"/>
      <c r="AD259" s="110"/>
      <c r="AE259" s="147"/>
      <c r="AF259" s="147"/>
      <c r="AG259" s="281"/>
      <c r="AH259" s="111"/>
      <c r="AI259" s="111"/>
    </row>
    <row r="260" spans="2:35">
      <c r="B260" s="273"/>
      <c r="C260" s="110"/>
      <c r="E260" s="220"/>
      <c r="L260" s="277"/>
      <c r="N260" s="147"/>
      <c r="O260" s="148"/>
      <c r="S260" s="277"/>
      <c r="T260" s="68"/>
      <c r="V260" s="279"/>
      <c r="X260" s="277"/>
      <c r="Y260" s="453"/>
      <c r="Z260" s="280"/>
      <c r="AA260" s="277"/>
      <c r="AB260" s="277"/>
      <c r="AC260" s="277"/>
      <c r="AD260" s="110"/>
      <c r="AE260" s="147"/>
      <c r="AF260" s="147"/>
      <c r="AG260" s="281"/>
      <c r="AH260" s="111"/>
      <c r="AI260" s="111"/>
    </row>
    <row r="261" spans="2:35">
      <c r="B261" s="273"/>
      <c r="C261" s="110"/>
      <c r="E261" s="220"/>
      <c r="L261" s="277"/>
      <c r="N261" s="147"/>
      <c r="O261" s="148"/>
      <c r="S261" s="277"/>
      <c r="T261" s="68"/>
      <c r="V261" s="279"/>
      <c r="X261" s="277"/>
      <c r="Y261" s="453"/>
      <c r="Z261" s="280"/>
      <c r="AA261" s="277"/>
      <c r="AB261" s="277"/>
      <c r="AC261" s="277"/>
      <c r="AD261" s="110"/>
      <c r="AE261" s="147"/>
      <c r="AF261" s="147"/>
      <c r="AG261" s="281"/>
      <c r="AH261" s="111"/>
      <c r="AI261" s="111"/>
    </row>
    <row r="262" spans="2:35">
      <c r="B262" s="273"/>
      <c r="C262" s="110"/>
      <c r="E262" s="220"/>
      <c r="L262" s="277"/>
      <c r="N262" s="147"/>
      <c r="O262" s="148"/>
      <c r="S262" s="277"/>
      <c r="T262" s="68"/>
      <c r="V262" s="279"/>
      <c r="X262" s="277"/>
      <c r="Y262" s="453"/>
      <c r="Z262" s="280"/>
      <c r="AA262" s="277"/>
      <c r="AB262" s="277"/>
      <c r="AC262" s="277"/>
      <c r="AD262" s="110"/>
      <c r="AE262" s="147"/>
      <c r="AF262" s="147"/>
      <c r="AG262" s="281"/>
      <c r="AH262" s="111"/>
      <c r="AI262" s="111"/>
    </row>
    <row r="263" spans="2:35">
      <c r="B263" s="273"/>
      <c r="C263" s="110"/>
      <c r="E263" s="220"/>
      <c r="L263" s="277"/>
      <c r="N263" s="147"/>
      <c r="O263" s="148"/>
      <c r="S263" s="277"/>
      <c r="T263" s="68"/>
      <c r="V263" s="279"/>
      <c r="X263" s="277"/>
      <c r="Y263" s="453"/>
      <c r="Z263" s="280"/>
      <c r="AA263" s="277"/>
      <c r="AB263" s="277"/>
      <c r="AC263" s="277"/>
      <c r="AD263" s="110"/>
      <c r="AE263" s="147"/>
      <c r="AF263" s="147"/>
      <c r="AG263" s="281"/>
      <c r="AH263" s="111"/>
      <c r="AI263" s="111"/>
    </row>
    <row r="264" spans="2:35">
      <c r="B264" s="273"/>
      <c r="C264" s="110"/>
      <c r="E264" s="220"/>
      <c r="L264" s="277"/>
      <c r="N264" s="147"/>
      <c r="O264" s="148"/>
      <c r="S264" s="277"/>
      <c r="T264" s="68"/>
      <c r="V264" s="279"/>
      <c r="X264" s="277"/>
      <c r="Y264" s="453"/>
      <c r="Z264" s="280"/>
      <c r="AA264" s="277"/>
      <c r="AB264" s="277"/>
      <c r="AC264" s="277"/>
      <c r="AD264" s="110"/>
      <c r="AE264" s="147"/>
      <c r="AF264" s="147"/>
      <c r="AG264" s="281"/>
      <c r="AH264" s="111"/>
      <c r="AI264" s="111"/>
    </row>
    <row r="265" spans="2:35">
      <c r="B265" s="273"/>
      <c r="C265" s="110"/>
      <c r="E265" s="220"/>
      <c r="L265" s="277"/>
      <c r="N265" s="147"/>
      <c r="O265" s="148"/>
      <c r="S265" s="277"/>
      <c r="T265" s="68"/>
      <c r="V265" s="279"/>
      <c r="X265" s="277"/>
      <c r="Y265" s="453"/>
      <c r="Z265" s="280"/>
      <c r="AA265" s="277"/>
      <c r="AB265" s="277"/>
      <c r="AC265" s="277"/>
      <c r="AD265" s="110"/>
      <c r="AE265" s="147"/>
      <c r="AF265" s="147"/>
      <c r="AG265" s="281"/>
      <c r="AH265" s="111"/>
      <c r="AI265" s="111"/>
    </row>
    <row r="266" spans="2:35">
      <c r="B266" s="273"/>
      <c r="C266" s="110"/>
      <c r="E266" s="220"/>
      <c r="L266" s="277"/>
      <c r="N266" s="147"/>
      <c r="O266" s="148"/>
      <c r="S266" s="277"/>
      <c r="T266" s="68"/>
      <c r="V266" s="279"/>
      <c r="X266" s="277"/>
      <c r="Y266" s="453"/>
      <c r="Z266" s="280"/>
      <c r="AA266" s="277"/>
      <c r="AB266" s="277"/>
      <c r="AC266" s="277"/>
      <c r="AD266" s="110"/>
      <c r="AE266" s="147"/>
      <c r="AF266" s="147"/>
      <c r="AG266" s="281"/>
      <c r="AH266" s="111"/>
      <c r="AI266" s="111"/>
    </row>
    <row r="267" spans="2:35">
      <c r="B267" s="273"/>
      <c r="C267" s="110"/>
      <c r="E267" s="220"/>
      <c r="L267" s="277"/>
      <c r="N267" s="147"/>
      <c r="O267" s="148"/>
      <c r="S267" s="277"/>
      <c r="T267" s="68"/>
      <c r="V267" s="279"/>
      <c r="X267" s="277"/>
      <c r="Y267" s="453"/>
      <c r="Z267" s="280"/>
      <c r="AA267" s="277"/>
      <c r="AB267" s="277"/>
      <c r="AC267" s="277"/>
      <c r="AD267" s="110"/>
      <c r="AE267" s="147"/>
      <c r="AF267" s="147"/>
      <c r="AG267" s="281"/>
      <c r="AH267" s="111"/>
      <c r="AI267" s="111"/>
    </row>
    <row r="268" spans="2:35">
      <c r="B268" s="273"/>
      <c r="C268" s="110"/>
      <c r="E268" s="220"/>
      <c r="L268" s="277"/>
      <c r="N268" s="147"/>
      <c r="O268" s="148"/>
      <c r="S268" s="277"/>
      <c r="T268" s="68"/>
      <c r="V268" s="279"/>
      <c r="X268" s="277"/>
      <c r="Y268" s="453"/>
      <c r="Z268" s="280"/>
      <c r="AA268" s="277"/>
      <c r="AB268" s="277"/>
      <c r="AC268" s="277"/>
      <c r="AD268" s="110"/>
      <c r="AE268" s="147"/>
      <c r="AF268" s="147"/>
      <c r="AG268" s="281"/>
      <c r="AH268" s="111"/>
      <c r="AI268" s="111"/>
    </row>
    <row r="269" spans="2:35">
      <c r="B269" s="273"/>
      <c r="C269" s="110"/>
      <c r="E269" s="220"/>
      <c r="L269" s="277"/>
      <c r="N269" s="147"/>
      <c r="O269" s="148"/>
      <c r="S269" s="277"/>
      <c r="T269" s="68"/>
      <c r="V269" s="279"/>
      <c r="X269" s="277"/>
      <c r="Y269" s="453"/>
      <c r="Z269" s="280"/>
      <c r="AA269" s="277"/>
      <c r="AB269" s="277"/>
      <c r="AC269" s="277"/>
      <c r="AD269" s="110"/>
      <c r="AE269" s="147"/>
      <c r="AF269" s="147"/>
      <c r="AG269" s="281"/>
      <c r="AH269" s="111"/>
      <c r="AI269" s="111"/>
    </row>
    <row r="270" spans="2:35">
      <c r="B270" s="273"/>
      <c r="C270" s="110"/>
      <c r="E270" s="220"/>
      <c r="L270" s="277"/>
      <c r="N270" s="147"/>
      <c r="O270" s="148"/>
      <c r="S270" s="277"/>
      <c r="T270" s="68"/>
      <c r="V270" s="279"/>
      <c r="X270" s="277"/>
      <c r="Y270" s="453"/>
      <c r="Z270" s="280"/>
      <c r="AA270" s="277"/>
      <c r="AB270" s="277"/>
      <c r="AC270" s="277"/>
      <c r="AD270" s="110"/>
      <c r="AE270" s="147"/>
      <c r="AF270" s="147"/>
      <c r="AG270" s="281"/>
      <c r="AH270" s="111"/>
      <c r="AI270" s="111"/>
    </row>
    <row r="271" spans="2:35">
      <c r="B271" s="273"/>
      <c r="C271" s="110"/>
      <c r="E271" s="220"/>
      <c r="L271" s="277"/>
      <c r="N271" s="147"/>
      <c r="O271" s="148"/>
      <c r="S271" s="277"/>
      <c r="T271" s="68"/>
      <c r="V271" s="279"/>
      <c r="X271" s="277"/>
      <c r="Y271" s="453"/>
      <c r="Z271" s="280"/>
      <c r="AA271" s="277"/>
      <c r="AB271" s="277"/>
      <c r="AC271" s="277"/>
      <c r="AD271" s="110"/>
      <c r="AE271" s="147"/>
      <c r="AF271" s="147"/>
      <c r="AG271" s="281"/>
      <c r="AH271" s="111"/>
      <c r="AI271" s="111"/>
    </row>
    <row r="272" spans="2:35">
      <c r="B272" s="273"/>
      <c r="C272" s="110"/>
      <c r="E272" s="220"/>
      <c r="L272" s="277"/>
      <c r="N272" s="147"/>
      <c r="O272" s="148"/>
      <c r="S272" s="277"/>
      <c r="T272" s="68"/>
      <c r="V272" s="279"/>
      <c r="X272" s="277"/>
      <c r="Y272" s="453"/>
      <c r="Z272" s="280"/>
      <c r="AA272" s="277"/>
      <c r="AB272" s="277"/>
      <c r="AC272" s="277"/>
      <c r="AD272" s="110"/>
      <c r="AE272" s="147"/>
      <c r="AF272" s="147"/>
      <c r="AG272" s="281"/>
      <c r="AH272" s="111"/>
      <c r="AI272" s="111"/>
    </row>
    <row r="273" spans="2:35">
      <c r="B273" s="273"/>
      <c r="C273" s="110"/>
      <c r="E273" s="220"/>
      <c r="L273" s="277"/>
      <c r="N273" s="147"/>
      <c r="O273" s="148"/>
      <c r="S273" s="277"/>
      <c r="T273" s="68"/>
      <c r="V273" s="279"/>
      <c r="X273" s="277"/>
      <c r="Y273" s="453"/>
      <c r="Z273" s="280"/>
      <c r="AA273" s="277"/>
      <c r="AB273" s="277"/>
      <c r="AC273" s="277"/>
      <c r="AD273" s="110"/>
      <c r="AE273" s="147"/>
      <c r="AF273" s="147"/>
      <c r="AG273" s="281"/>
      <c r="AH273" s="111"/>
      <c r="AI273" s="111"/>
    </row>
    <row r="274" spans="2:35">
      <c r="B274" s="273"/>
      <c r="C274" s="110"/>
      <c r="E274" s="220"/>
      <c r="L274" s="277"/>
      <c r="N274" s="147"/>
      <c r="O274" s="148"/>
      <c r="S274" s="277"/>
      <c r="T274" s="68"/>
      <c r="V274" s="279"/>
      <c r="X274" s="277"/>
      <c r="Y274" s="453"/>
      <c r="Z274" s="280"/>
      <c r="AA274" s="277"/>
      <c r="AB274" s="277"/>
      <c r="AC274" s="277"/>
      <c r="AD274" s="110"/>
      <c r="AE274" s="147"/>
      <c r="AF274" s="147"/>
      <c r="AG274" s="281"/>
      <c r="AH274" s="111"/>
      <c r="AI274" s="111"/>
    </row>
    <row r="275" spans="2:35">
      <c r="B275" s="273"/>
      <c r="C275" s="110"/>
      <c r="E275" s="220"/>
      <c r="L275" s="277"/>
      <c r="N275" s="147"/>
      <c r="O275" s="148"/>
      <c r="S275" s="277"/>
      <c r="T275" s="68"/>
      <c r="V275" s="279"/>
      <c r="X275" s="277"/>
      <c r="Y275" s="453"/>
      <c r="Z275" s="280"/>
      <c r="AA275" s="277"/>
      <c r="AB275" s="277"/>
      <c r="AC275" s="277"/>
      <c r="AD275" s="110"/>
      <c r="AE275" s="147"/>
      <c r="AF275" s="147"/>
      <c r="AG275" s="281"/>
      <c r="AH275" s="111"/>
      <c r="AI275" s="111"/>
    </row>
    <row r="276" spans="2:35">
      <c r="B276" s="273"/>
      <c r="C276" s="110"/>
      <c r="E276" s="220"/>
      <c r="L276" s="277"/>
      <c r="N276" s="147"/>
      <c r="O276" s="148"/>
      <c r="S276" s="277"/>
      <c r="T276" s="68"/>
      <c r="V276" s="279"/>
      <c r="X276" s="277"/>
      <c r="Y276" s="453"/>
      <c r="Z276" s="280"/>
      <c r="AA276" s="277"/>
      <c r="AB276" s="277"/>
      <c r="AC276" s="277"/>
      <c r="AD276" s="110"/>
      <c r="AE276" s="147"/>
      <c r="AF276" s="147"/>
      <c r="AG276" s="281"/>
      <c r="AH276" s="111"/>
      <c r="AI276" s="111"/>
    </row>
    <row r="277" spans="2:35">
      <c r="B277" s="273"/>
      <c r="C277" s="110"/>
      <c r="E277" s="220"/>
      <c r="L277" s="277"/>
      <c r="N277" s="147"/>
      <c r="O277" s="148"/>
      <c r="S277" s="277"/>
      <c r="T277" s="68"/>
      <c r="V277" s="279"/>
      <c r="X277" s="277"/>
      <c r="Y277" s="453"/>
      <c r="Z277" s="280"/>
      <c r="AA277" s="277"/>
      <c r="AB277" s="277"/>
      <c r="AC277" s="277"/>
      <c r="AD277" s="110"/>
      <c r="AE277" s="147"/>
      <c r="AF277" s="147"/>
      <c r="AG277" s="281"/>
      <c r="AH277" s="111"/>
      <c r="AI277" s="111"/>
    </row>
    <row r="278" spans="2:35">
      <c r="B278" s="273"/>
      <c r="C278" s="110"/>
      <c r="E278" s="220"/>
      <c r="L278" s="277"/>
      <c r="N278" s="147"/>
      <c r="O278" s="148"/>
      <c r="S278" s="277"/>
      <c r="T278" s="68"/>
      <c r="V278" s="279"/>
      <c r="X278" s="277"/>
      <c r="Y278" s="453"/>
      <c r="Z278" s="280"/>
      <c r="AA278" s="277"/>
      <c r="AB278" s="277"/>
      <c r="AC278" s="277"/>
      <c r="AD278" s="110"/>
      <c r="AE278" s="147"/>
      <c r="AF278" s="147"/>
      <c r="AG278" s="281"/>
      <c r="AH278" s="111"/>
      <c r="AI278" s="111"/>
    </row>
    <row r="279" spans="2:35">
      <c r="B279" s="273"/>
      <c r="C279" s="110"/>
      <c r="E279" s="220"/>
      <c r="L279" s="277"/>
      <c r="N279" s="147"/>
      <c r="O279" s="148"/>
      <c r="S279" s="277"/>
      <c r="T279" s="68"/>
      <c r="V279" s="279"/>
      <c r="X279" s="277"/>
      <c r="Y279" s="453"/>
      <c r="Z279" s="280"/>
      <c r="AA279" s="277"/>
      <c r="AB279" s="277"/>
      <c r="AC279" s="277"/>
      <c r="AD279" s="110"/>
      <c r="AE279" s="147"/>
      <c r="AF279" s="147"/>
      <c r="AG279" s="281"/>
      <c r="AH279" s="111"/>
      <c r="AI279" s="111"/>
    </row>
    <row r="280" spans="2:35">
      <c r="B280" s="273"/>
      <c r="C280" s="110"/>
      <c r="E280" s="220"/>
      <c r="L280" s="277"/>
      <c r="N280" s="147"/>
      <c r="O280" s="148"/>
      <c r="S280" s="277"/>
      <c r="T280" s="68"/>
      <c r="V280" s="279"/>
      <c r="X280" s="277"/>
      <c r="Y280" s="453"/>
      <c r="Z280" s="280"/>
      <c r="AA280" s="277"/>
      <c r="AB280" s="277"/>
      <c r="AC280" s="277"/>
      <c r="AD280" s="110"/>
      <c r="AE280" s="147"/>
      <c r="AF280" s="147"/>
      <c r="AG280" s="281"/>
      <c r="AH280" s="111"/>
      <c r="AI280" s="111"/>
    </row>
    <row r="281" spans="2:35">
      <c r="B281" s="273"/>
      <c r="C281" s="110"/>
      <c r="E281" s="220"/>
      <c r="L281" s="277"/>
      <c r="N281" s="147"/>
      <c r="O281" s="148"/>
      <c r="S281" s="277"/>
      <c r="T281" s="68"/>
      <c r="V281" s="279"/>
      <c r="X281" s="277"/>
      <c r="Y281" s="453"/>
      <c r="Z281" s="280"/>
      <c r="AA281" s="277"/>
      <c r="AB281" s="277"/>
      <c r="AC281" s="277"/>
      <c r="AD281" s="110"/>
      <c r="AE281" s="147"/>
      <c r="AF281" s="147"/>
      <c r="AG281" s="281"/>
      <c r="AH281" s="111"/>
      <c r="AI281" s="111"/>
    </row>
    <row r="282" spans="2:35">
      <c r="B282" s="273"/>
      <c r="C282" s="110"/>
      <c r="E282" s="220"/>
      <c r="L282" s="277"/>
      <c r="N282" s="147"/>
      <c r="O282" s="148"/>
      <c r="S282" s="277"/>
      <c r="T282" s="68"/>
      <c r="V282" s="279"/>
      <c r="X282" s="277"/>
      <c r="Y282" s="453"/>
      <c r="Z282" s="280"/>
      <c r="AA282" s="277"/>
      <c r="AB282" s="277"/>
      <c r="AC282" s="277"/>
      <c r="AD282" s="110"/>
      <c r="AE282" s="147"/>
      <c r="AF282" s="147"/>
      <c r="AG282" s="281"/>
      <c r="AH282" s="111"/>
      <c r="AI282" s="111"/>
    </row>
    <row r="283" spans="2:35">
      <c r="B283" s="273"/>
      <c r="C283" s="110"/>
      <c r="E283" s="220"/>
      <c r="L283" s="277"/>
      <c r="N283" s="147"/>
      <c r="O283" s="148"/>
      <c r="S283" s="277"/>
      <c r="T283" s="68"/>
      <c r="V283" s="279"/>
      <c r="X283" s="277"/>
      <c r="Y283" s="453"/>
      <c r="Z283" s="280"/>
      <c r="AA283" s="277"/>
      <c r="AB283" s="277"/>
      <c r="AC283" s="277"/>
      <c r="AD283" s="110"/>
      <c r="AE283" s="147"/>
      <c r="AF283" s="147"/>
      <c r="AG283" s="281"/>
      <c r="AH283" s="111"/>
      <c r="AI283" s="111"/>
    </row>
    <row r="284" spans="2:35">
      <c r="B284" s="273"/>
      <c r="C284" s="110"/>
      <c r="E284" s="220"/>
      <c r="L284" s="277"/>
      <c r="N284" s="147"/>
      <c r="O284" s="148"/>
      <c r="S284" s="277"/>
      <c r="T284" s="68"/>
      <c r="V284" s="279"/>
      <c r="X284" s="277"/>
      <c r="Y284" s="453"/>
      <c r="Z284" s="280"/>
      <c r="AA284" s="277"/>
      <c r="AB284" s="277"/>
      <c r="AC284" s="277"/>
      <c r="AD284" s="110"/>
      <c r="AE284" s="147"/>
      <c r="AF284" s="147"/>
      <c r="AG284" s="281"/>
      <c r="AH284" s="111"/>
      <c r="AI284" s="111"/>
    </row>
    <row r="285" spans="2:35">
      <c r="B285" s="273"/>
      <c r="C285" s="110"/>
      <c r="E285" s="220"/>
      <c r="L285" s="277"/>
      <c r="N285" s="147"/>
      <c r="O285" s="148"/>
      <c r="S285" s="277"/>
      <c r="T285" s="68"/>
      <c r="V285" s="279"/>
      <c r="X285" s="277"/>
      <c r="Y285" s="453"/>
      <c r="Z285" s="280"/>
      <c r="AA285" s="277"/>
      <c r="AB285" s="277"/>
      <c r="AC285" s="277"/>
      <c r="AD285" s="110"/>
      <c r="AE285" s="147"/>
      <c r="AF285" s="147"/>
      <c r="AG285" s="281"/>
      <c r="AH285" s="111"/>
      <c r="AI285" s="111"/>
    </row>
    <row r="286" spans="2:35">
      <c r="B286" s="273"/>
      <c r="C286" s="110"/>
      <c r="E286" s="220"/>
      <c r="L286" s="277"/>
      <c r="N286" s="147"/>
      <c r="O286" s="148"/>
      <c r="S286" s="277"/>
      <c r="T286" s="68"/>
      <c r="V286" s="279"/>
      <c r="X286" s="277"/>
      <c r="Y286" s="453"/>
      <c r="Z286" s="280"/>
      <c r="AA286" s="277"/>
      <c r="AB286" s="277"/>
      <c r="AC286" s="277"/>
      <c r="AD286" s="110"/>
      <c r="AE286" s="147"/>
      <c r="AF286" s="147"/>
      <c r="AG286" s="281"/>
      <c r="AH286" s="111"/>
      <c r="AI286" s="111"/>
    </row>
    <row r="287" spans="2:35">
      <c r="B287" s="273"/>
      <c r="C287" s="110"/>
      <c r="E287" s="220"/>
      <c r="L287" s="277"/>
      <c r="N287" s="147"/>
      <c r="O287" s="148"/>
      <c r="S287" s="277"/>
      <c r="T287" s="68"/>
      <c r="V287" s="279"/>
      <c r="X287" s="277"/>
      <c r="Y287" s="453"/>
      <c r="Z287" s="280"/>
      <c r="AA287" s="277"/>
      <c r="AB287" s="277"/>
      <c r="AC287" s="277"/>
      <c r="AD287" s="110"/>
      <c r="AE287" s="147"/>
      <c r="AF287" s="147"/>
      <c r="AG287" s="281"/>
      <c r="AH287" s="111"/>
      <c r="AI287" s="111"/>
    </row>
    <row r="288" spans="2:35">
      <c r="B288" s="273"/>
      <c r="C288" s="110"/>
      <c r="E288" s="220"/>
      <c r="L288" s="277"/>
      <c r="N288" s="147"/>
      <c r="O288" s="148"/>
      <c r="S288" s="277"/>
      <c r="T288" s="68"/>
      <c r="V288" s="279"/>
      <c r="X288" s="277"/>
      <c r="Y288" s="453"/>
      <c r="Z288" s="280"/>
      <c r="AA288" s="277"/>
      <c r="AB288" s="277"/>
      <c r="AC288" s="277"/>
      <c r="AD288" s="110"/>
      <c r="AE288" s="147"/>
      <c r="AF288" s="147"/>
      <c r="AG288" s="281"/>
      <c r="AH288" s="111"/>
      <c r="AI288" s="111"/>
    </row>
    <row r="289" spans="2:35">
      <c r="B289" s="273"/>
      <c r="C289" s="110"/>
      <c r="E289" s="220"/>
      <c r="L289" s="277"/>
      <c r="N289" s="147"/>
      <c r="O289" s="148"/>
      <c r="S289" s="277"/>
      <c r="T289" s="68"/>
      <c r="V289" s="279"/>
      <c r="X289" s="277"/>
      <c r="Y289" s="453"/>
      <c r="Z289" s="280"/>
      <c r="AA289" s="277"/>
      <c r="AB289" s="277"/>
      <c r="AC289" s="277"/>
      <c r="AD289" s="110"/>
      <c r="AE289" s="147"/>
      <c r="AF289" s="147"/>
      <c r="AG289" s="281"/>
      <c r="AH289" s="111"/>
      <c r="AI289" s="111"/>
    </row>
    <row r="290" spans="2:35">
      <c r="B290" s="273"/>
      <c r="C290" s="110"/>
      <c r="E290" s="220"/>
      <c r="L290" s="277"/>
      <c r="N290" s="147"/>
      <c r="O290" s="148"/>
      <c r="S290" s="277"/>
      <c r="T290" s="68"/>
      <c r="V290" s="279"/>
      <c r="X290" s="277"/>
      <c r="Y290" s="453"/>
      <c r="Z290" s="280"/>
      <c r="AA290" s="277"/>
      <c r="AB290" s="277"/>
      <c r="AC290" s="277"/>
      <c r="AD290" s="110"/>
      <c r="AE290" s="147"/>
      <c r="AF290" s="147"/>
      <c r="AG290" s="281"/>
      <c r="AH290" s="111"/>
      <c r="AI290" s="111"/>
    </row>
    <row r="291" spans="2:35">
      <c r="B291" s="273"/>
      <c r="C291" s="110"/>
      <c r="E291" s="220"/>
      <c r="L291" s="277"/>
      <c r="N291" s="147"/>
      <c r="O291" s="148"/>
      <c r="S291" s="277"/>
      <c r="T291" s="68"/>
      <c r="V291" s="279"/>
      <c r="X291" s="277"/>
      <c r="Y291" s="453"/>
      <c r="Z291" s="280"/>
      <c r="AA291" s="277"/>
      <c r="AB291" s="277"/>
      <c r="AC291" s="277"/>
      <c r="AD291" s="110"/>
      <c r="AE291" s="147"/>
      <c r="AF291" s="147"/>
      <c r="AG291" s="281"/>
      <c r="AH291" s="111"/>
      <c r="AI291" s="111"/>
    </row>
    <row r="292" spans="2:35">
      <c r="B292" s="273"/>
      <c r="C292" s="110"/>
      <c r="E292" s="220"/>
      <c r="L292" s="277"/>
      <c r="N292" s="147"/>
      <c r="O292" s="148"/>
      <c r="S292" s="277"/>
      <c r="T292" s="68"/>
      <c r="V292" s="279"/>
      <c r="X292" s="277"/>
      <c r="Y292" s="453"/>
      <c r="Z292" s="280"/>
      <c r="AA292" s="277"/>
      <c r="AB292" s="277"/>
      <c r="AC292" s="277"/>
      <c r="AD292" s="110"/>
      <c r="AE292" s="147"/>
      <c r="AF292" s="147"/>
      <c r="AG292" s="281"/>
      <c r="AH292" s="111"/>
      <c r="AI292" s="111"/>
    </row>
    <row r="293" spans="2:35">
      <c r="B293" s="273"/>
      <c r="C293" s="110"/>
      <c r="E293" s="220"/>
      <c r="L293" s="277"/>
      <c r="N293" s="147"/>
      <c r="O293" s="148"/>
      <c r="S293" s="277"/>
      <c r="T293" s="68"/>
      <c r="V293" s="279"/>
      <c r="X293" s="277"/>
      <c r="Y293" s="453"/>
      <c r="Z293" s="280"/>
      <c r="AA293" s="277"/>
      <c r="AB293" s="277"/>
      <c r="AC293" s="277"/>
      <c r="AD293" s="110"/>
      <c r="AE293" s="147"/>
      <c r="AF293" s="147"/>
      <c r="AG293" s="281"/>
      <c r="AH293" s="111"/>
      <c r="AI293" s="111"/>
    </row>
    <row r="294" spans="2:35">
      <c r="B294" s="273"/>
      <c r="C294" s="110"/>
      <c r="E294" s="220"/>
      <c r="L294" s="277"/>
      <c r="N294" s="147"/>
      <c r="O294" s="148"/>
      <c r="S294" s="277"/>
      <c r="T294" s="68"/>
      <c r="V294" s="279"/>
      <c r="X294" s="277"/>
      <c r="Y294" s="453"/>
      <c r="Z294" s="280"/>
      <c r="AA294" s="277"/>
      <c r="AB294" s="277"/>
      <c r="AC294" s="277"/>
      <c r="AD294" s="110"/>
      <c r="AE294" s="147"/>
      <c r="AF294" s="147"/>
      <c r="AG294" s="281"/>
      <c r="AH294" s="111"/>
      <c r="AI294" s="111"/>
    </row>
    <row r="295" spans="2:35">
      <c r="B295" s="273"/>
      <c r="C295" s="110"/>
      <c r="E295" s="220"/>
      <c r="L295" s="277"/>
      <c r="N295" s="147"/>
      <c r="O295" s="148"/>
      <c r="S295" s="277"/>
      <c r="T295" s="68"/>
      <c r="V295" s="279"/>
      <c r="X295" s="277"/>
      <c r="Y295" s="453"/>
      <c r="Z295" s="280"/>
      <c r="AA295" s="277"/>
      <c r="AB295" s="277"/>
      <c r="AC295" s="277"/>
      <c r="AD295" s="110"/>
      <c r="AE295" s="147"/>
      <c r="AF295" s="147"/>
      <c r="AG295" s="281"/>
      <c r="AH295" s="111"/>
      <c r="AI295" s="111"/>
    </row>
    <row r="296" spans="2:35">
      <c r="B296" s="273"/>
      <c r="C296" s="110"/>
      <c r="E296" s="220"/>
      <c r="L296" s="277"/>
      <c r="N296" s="147"/>
      <c r="O296" s="148"/>
      <c r="S296" s="277"/>
      <c r="T296" s="68"/>
      <c r="V296" s="279"/>
      <c r="X296" s="277"/>
      <c r="Y296" s="453"/>
      <c r="Z296" s="280"/>
      <c r="AA296" s="277"/>
      <c r="AB296" s="277"/>
      <c r="AC296" s="277"/>
      <c r="AD296" s="110"/>
      <c r="AE296" s="147"/>
      <c r="AF296" s="147"/>
      <c r="AG296" s="281"/>
      <c r="AH296" s="111"/>
      <c r="AI296" s="111"/>
    </row>
    <row r="297" spans="2:35">
      <c r="B297" s="273"/>
      <c r="C297" s="110"/>
      <c r="E297" s="220"/>
      <c r="L297" s="277"/>
      <c r="N297" s="147"/>
      <c r="O297" s="148"/>
      <c r="S297" s="277"/>
      <c r="T297" s="68"/>
      <c r="V297" s="279"/>
      <c r="X297" s="277"/>
      <c r="Y297" s="453"/>
      <c r="Z297" s="280"/>
      <c r="AA297" s="277"/>
      <c r="AB297" s="277"/>
      <c r="AC297" s="277"/>
      <c r="AD297" s="110"/>
      <c r="AE297" s="147"/>
      <c r="AF297" s="147"/>
      <c r="AG297" s="281"/>
      <c r="AH297" s="111"/>
      <c r="AI297" s="111"/>
    </row>
    <row r="298" spans="2:35">
      <c r="B298" s="273"/>
      <c r="C298" s="110"/>
      <c r="E298" s="220"/>
      <c r="L298" s="277"/>
      <c r="N298" s="147"/>
      <c r="O298" s="148"/>
      <c r="S298" s="277"/>
      <c r="T298" s="68"/>
      <c r="V298" s="279"/>
      <c r="X298" s="277"/>
      <c r="Y298" s="453"/>
      <c r="Z298" s="280"/>
      <c r="AA298" s="277"/>
      <c r="AB298" s="277"/>
      <c r="AC298" s="277"/>
      <c r="AD298" s="110"/>
      <c r="AE298" s="147"/>
      <c r="AF298" s="147"/>
      <c r="AG298" s="281"/>
      <c r="AH298" s="111"/>
      <c r="AI298" s="111"/>
    </row>
    <row r="299" spans="2:35">
      <c r="B299" s="273"/>
      <c r="C299" s="110"/>
      <c r="E299" s="220"/>
      <c r="L299" s="277"/>
      <c r="N299" s="147"/>
      <c r="O299" s="148"/>
      <c r="S299" s="277"/>
      <c r="T299" s="68"/>
      <c r="V299" s="279"/>
      <c r="X299" s="277"/>
      <c r="Y299" s="453"/>
      <c r="Z299" s="280"/>
      <c r="AA299" s="277"/>
      <c r="AB299" s="277"/>
      <c r="AC299" s="277"/>
      <c r="AD299" s="110"/>
      <c r="AE299" s="147"/>
      <c r="AF299" s="147"/>
      <c r="AG299" s="281"/>
      <c r="AH299" s="111"/>
      <c r="AI299" s="111"/>
    </row>
    <row r="300" spans="2:35">
      <c r="B300" s="273"/>
      <c r="C300" s="110"/>
      <c r="E300" s="220"/>
      <c r="L300" s="277"/>
      <c r="N300" s="147"/>
      <c r="O300" s="148"/>
      <c r="S300" s="277"/>
      <c r="T300" s="68"/>
      <c r="V300" s="279"/>
      <c r="X300" s="277"/>
      <c r="Y300" s="453"/>
      <c r="Z300" s="280"/>
      <c r="AA300" s="277"/>
      <c r="AB300" s="277"/>
      <c r="AC300" s="277"/>
      <c r="AD300" s="110"/>
      <c r="AE300" s="147"/>
      <c r="AF300" s="147"/>
      <c r="AG300" s="281"/>
      <c r="AH300" s="111"/>
      <c r="AI300" s="111"/>
    </row>
    <row r="301" spans="2:35">
      <c r="B301" s="273"/>
      <c r="C301" s="110"/>
      <c r="E301" s="220"/>
      <c r="L301" s="277"/>
      <c r="N301" s="147"/>
      <c r="O301" s="148"/>
      <c r="S301" s="277"/>
      <c r="T301" s="68"/>
      <c r="V301" s="279"/>
      <c r="X301" s="277"/>
      <c r="Y301" s="453"/>
      <c r="Z301" s="280"/>
      <c r="AA301" s="277"/>
      <c r="AB301" s="277"/>
      <c r="AC301" s="277"/>
      <c r="AD301" s="110"/>
      <c r="AE301" s="147"/>
      <c r="AF301" s="147"/>
      <c r="AG301" s="281"/>
      <c r="AH301" s="111"/>
      <c r="AI301" s="111"/>
    </row>
    <row r="302" spans="2:35">
      <c r="B302" s="273"/>
      <c r="C302" s="110"/>
      <c r="E302" s="220"/>
      <c r="L302" s="277"/>
      <c r="N302" s="147"/>
      <c r="O302" s="148"/>
      <c r="S302" s="277"/>
      <c r="T302" s="68"/>
      <c r="V302" s="279"/>
      <c r="X302" s="277"/>
      <c r="Y302" s="453"/>
      <c r="Z302" s="280"/>
      <c r="AA302" s="277"/>
      <c r="AB302" s="277"/>
      <c r="AC302" s="277"/>
      <c r="AD302" s="110"/>
      <c r="AE302" s="147"/>
      <c r="AF302" s="147"/>
      <c r="AG302" s="281"/>
      <c r="AH302" s="111"/>
      <c r="AI302" s="111"/>
    </row>
    <row r="303" spans="2:35">
      <c r="B303" s="273"/>
      <c r="C303" s="110"/>
      <c r="E303" s="220"/>
      <c r="L303" s="277"/>
      <c r="N303" s="147"/>
      <c r="O303" s="148"/>
      <c r="S303" s="277"/>
      <c r="T303" s="68"/>
      <c r="V303" s="279"/>
      <c r="X303" s="277"/>
      <c r="Y303" s="453"/>
      <c r="Z303" s="280"/>
      <c r="AA303" s="277"/>
      <c r="AB303" s="277"/>
      <c r="AC303" s="277"/>
      <c r="AD303" s="110"/>
      <c r="AE303" s="147"/>
      <c r="AF303" s="147"/>
      <c r="AG303" s="281"/>
      <c r="AH303" s="111"/>
      <c r="AI303" s="111"/>
    </row>
    <row r="304" spans="2:35">
      <c r="B304" s="273"/>
      <c r="C304" s="110"/>
      <c r="E304" s="220"/>
      <c r="L304" s="277"/>
      <c r="N304" s="147"/>
      <c r="O304" s="148"/>
      <c r="S304" s="277"/>
      <c r="T304" s="68"/>
      <c r="V304" s="279"/>
      <c r="X304" s="277"/>
      <c r="Y304" s="453"/>
      <c r="Z304" s="280"/>
      <c r="AA304" s="277"/>
      <c r="AB304" s="277"/>
      <c r="AC304" s="277"/>
      <c r="AD304" s="110"/>
      <c r="AE304" s="147"/>
      <c r="AF304" s="147"/>
      <c r="AG304" s="281"/>
      <c r="AH304" s="111"/>
      <c r="AI304" s="111"/>
    </row>
    <row r="305" spans="2:35">
      <c r="B305" s="273"/>
      <c r="C305" s="110"/>
      <c r="E305" s="220"/>
      <c r="L305" s="277"/>
      <c r="N305" s="147"/>
      <c r="O305" s="148"/>
      <c r="S305" s="277"/>
      <c r="T305" s="68"/>
      <c r="V305" s="279"/>
      <c r="X305" s="277"/>
      <c r="Y305" s="453"/>
      <c r="Z305" s="280"/>
      <c r="AA305" s="277"/>
      <c r="AB305" s="277"/>
      <c r="AC305" s="277"/>
      <c r="AD305" s="110"/>
      <c r="AE305" s="147"/>
      <c r="AF305" s="147"/>
      <c r="AG305" s="281"/>
      <c r="AH305" s="111"/>
      <c r="AI305" s="111"/>
    </row>
    <row r="306" spans="2:35">
      <c r="B306" s="273"/>
      <c r="C306" s="110"/>
      <c r="E306" s="220"/>
      <c r="L306" s="277"/>
      <c r="N306" s="147"/>
      <c r="O306" s="148"/>
      <c r="S306" s="277"/>
      <c r="T306" s="68"/>
      <c r="V306" s="279"/>
      <c r="X306" s="277"/>
      <c r="Y306" s="453"/>
      <c r="Z306" s="280"/>
      <c r="AA306" s="277"/>
      <c r="AB306" s="277"/>
      <c r="AC306" s="277"/>
      <c r="AD306" s="110"/>
      <c r="AE306" s="147"/>
      <c r="AF306" s="147"/>
      <c r="AG306" s="281"/>
      <c r="AH306" s="111"/>
      <c r="AI306" s="111"/>
    </row>
    <row r="307" spans="2:35">
      <c r="B307" s="273"/>
      <c r="C307" s="110"/>
      <c r="E307" s="220"/>
      <c r="L307" s="277"/>
      <c r="N307" s="147"/>
      <c r="O307" s="148"/>
      <c r="S307" s="277"/>
      <c r="T307" s="68"/>
      <c r="V307" s="279"/>
      <c r="X307" s="277"/>
      <c r="Y307" s="453"/>
      <c r="Z307" s="280"/>
      <c r="AA307" s="277"/>
      <c r="AB307" s="277"/>
      <c r="AC307" s="277"/>
      <c r="AD307" s="110"/>
      <c r="AE307" s="147"/>
      <c r="AF307" s="147"/>
      <c r="AG307" s="281"/>
      <c r="AH307" s="111"/>
      <c r="AI307" s="111"/>
    </row>
    <row r="308" spans="2:35">
      <c r="B308" s="273"/>
      <c r="C308" s="110"/>
      <c r="E308" s="220"/>
      <c r="L308" s="277"/>
      <c r="N308" s="147"/>
      <c r="O308" s="148"/>
      <c r="S308" s="277"/>
      <c r="T308" s="68"/>
      <c r="V308" s="279"/>
      <c r="X308" s="277"/>
      <c r="Y308" s="453"/>
      <c r="Z308" s="280"/>
      <c r="AA308" s="277"/>
      <c r="AB308" s="277"/>
      <c r="AC308" s="277"/>
      <c r="AD308" s="110"/>
      <c r="AE308" s="147"/>
      <c r="AF308" s="147"/>
      <c r="AG308" s="281"/>
      <c r="AH308" s="111"/>
      <c r="AI308" s="111"/>
    </row>
    <row r="309" spans="2:35">
      <c r="B309" s="273"/>
      <c r="C309" s="110"/>
      <c r="E309" s="220"/>
      <c r="L309" s="277"/>
      <c r="N309" s="147"/>
      <c r="O309" s="148"/>
      <c r="S309" s="277"/>
      <c r="T309" s="68"/>
      <c r="V309" s="279"/>
      <c r="X309" s="277"/>
      <c r="Y309" s="453"/>
      <c r="Z309" s="280"/>
      <c r="AA309" s="277"/>
      <c r="AB309" s="277"/>
      <c r="AC309" s="277"/>
      <c r="AD309" s="110"/>
      <c r="AE309" s="147"/>
      <c r="AF309" s="147"/>
      <c r="AG309" s="281"/>
      <c r="AH309" s="111"/>
      <c r="AI309" s="111"/>
    </row>
    <row r="310" spans="2:35">
      <c r="B310" s="273"/>
      <c r="C310" s="110"/>
      <c r="E310" s="220"/>
      <c r="L310" s="277"/>
      <c r="N310" s="147"/>
      <c r="O310" s="148"/>
      <c r="S310" s="277"/>
      <c r="T310" s="68"/>
      <c r="V310" s="279"/>
      <c r="X310" s="277"/>
      <c r="Y310" s="453"/>
      <c r="Z310" s="280"/>
      <c r="AA310" s="277"/>
      <c r="AB310" s="277"/>
      <c r="AC310" s="277"/>
      <c r="AD310" s="110"/>
      <c r="AE310" s="147"/>
      <c r="AF310" s="147"/>
      <c r="AG310" s="281"/>
      <c r="AH310" s="111"/>
      <c r="AI310" s="111"/>
    </row>
    <row r="311" spans="2:35">
      <c r="B311" s="273"/>
      <c r="C311" s="110"/>
      <c r="E311" s="220"/>
      <c r="L311" s="277"/>
      <c r="N311" s="147"/>
      <c r="O311" s="148"/>
      <c r="S311" s="277"/>
      <c r="T311" s="68"/>
      <c r="V311" s="279"/>
      <c r="X311" s="277"/>
      <c r="Y311" s="453"/>
      <c r="Z311" s="280"/>
      <c r="AA311" s="277"/>
      <c r="AB311" s="277"/>
      <c r="AC311" s="277"/>
      <c r="AD311" s="110"/>
      <c r="AE311" s="147"/>
      <c r="AF311" s="147"/>
      <c r="AG311" s="281"/>
      <c r="AH311" s="111"/>
      <c r="AI311" s="111"/>
    </row>
    <row r="312" spans="2:35">
      <c r="B312" s="273"/>
      <c r="C312" s="110"/>
      <c r="E312" s="220"/>
      <c r="L312" s="277"/>
      <c r="N312" s="147"/>
      <c r="O312" s="148"/>
      <c r="S312" s="277"/>
      <c r="T312" s="68"/>
      <c r="V312" s="279"/>
      <c r="X312" s="277"/>
      <c r="Y312" s="453"/>
      <c r="Z312" s="280"/>
      <c r="AA312" s="277"/>
      <c r="AB312" s="277"/>
      <c r="AC312" s="277"/>
      <c r="AD312" s="110"/>
      <c r="AE312" s="147"/>
      <c r="AF312" s="147"/>
      <c r="AG312" s="281"/>
      <c r="AH312" s="111"/>
      <c r="AI312" s="111"/>
    </row>
    <row r="313" spans="2:35">
      <c r="B313" s="273"/>
      <c r="C313" s="110"/>
      <c r="E313" s="220"/>
      <c r="L313" s="277"/>
      <c r="N313" s="147"/>
      <c r="O313" s="148"/>
      <c r="S313" s="277"/>
      <c r="T313" s="68"/>
      <c r="V313" s="279"/>
      <c r="X313" s="277"/>
      <c r="Y313" s="453"/>
      <c r="Z313" s="280"/>
      <c r="AA313" s="277"/>
      <c r="AB313" s="277"/>
      <c r="AC313" s="277"/>
      <c r="AD313" s="110"/>
      <c r="AE313" s="147"/>
      <c r="AF313" s="147"/>
      <c r="AG313" s="281"/>
      <c r="AH313" s="111"/>
      <c r="AI313" s="111"/>
    </row>
    <row r="314" spans="2:35">
      <c r="B314" s="273"/>
      <c r="C314" s="110"/>
      <c r="E314" s="220"/>
      <c r="L314" s="277"/>
      <c r="N314" s="147"/>
      <c r="O314" s="148"/>
      <c r="S314" s="277"/>
      <c r="T314" s="68"/>
      <c r="V314" s="279"/>
      <c r="X314" s="277"/>
      <c r="Y314" s="453"/>
      <c r="Z314" s="280"/>
      <c r="AA314" s="277"/>
      <c r="AB314" s="277"/>
      <c r="AC314" s="277"/>
      <c r="AD314" s="110"/>
      <c r="AE314" s="147"/>
      <c r="AF314" s="147"/>
      <c r="AG314" s="281"/>
      <c r="AH314" s="111"/>
      <c r="AI314" s="111"/>
    </row>
    <row r="315" spans="2:35">
      <c r="B315" s="273"/>
      <c r="C315" s="110"/>
      <c r="E315" s="220"/>
      <c r="L315" s="277"/>
      <c r="N315" s="147"/>
      <c r="O315" s="148"/>
      <c r="S315" s="277"/>
      <c r="T315" s="68"/>
      <c r="V315" s="279"/>
      <c r="X315" s="277"/>
      <c r="Y315" s="453"/>
      <c r="Z315" s="280"/>
      <c r="AA315" s="277"/>
      <c r="AB315" s="277"/>
      <c r="AC315" s="277"/>
      <c r="AD315" s="110"/>
      <c r="AE315" s="147"/>
      <c r="AF315" s="147"/>
      <c r="AG315" s="281"/>
      <c r="AH315" s="111"/>
      <c r="AI315" s="111"/>
    </row>
    <row r="316" spans="2:35">
      <c r="B316" s="273"/>
      <c r="C316" s="110"/>
      <c r="E316" s="220"/>
      <c r="L316" s="277"/>
      <c r="N316" s="147"/>
      <c r="O316" s="148"/>
      <c r="S316" s="277"/>
      <c r="T316" s="68"/>
      <c r="V316" s="279"/>
      <c r="X316" s="277"/>
      <c r="Y316" s="453"/>
      <c r="Z316" s="280"/>
      <c r="AA316" s="277"/>
      <c r="AB316" s="277"/>
      <c r="AC316" s="277"/>
      <c r="AD316" s="110"/>
      <c r="AE316" s="147"/>
      <c r="AF316" s="147"/>
      <c r="AG316" s="281"/>
      <c r="AH316" s="111"/>
      <c r="AI316" s="111"/>
    </row>
    <row r="317" spans="2:35">
      <c r="B317" s="273"/>
      <c r="C317" s="110"/>
      <c r="E317" s="220"/>
      <c r="L317" s="277"/>
      <c r="N317" s="147"/>
      <c r="O317" s="148"/>
      <c r="S317" s="277"/>
      <c r="T317" s="68"/>
      <c r="V317" s="279"/>
      <c r="X317" s="277"/>
      <c r="Y317" s="453"/>
      <c r="Z317" s="280"/>
      <c r="AA317" s="277"/>
      <c r="AB317" s="277"/>
      <c r="AC317" s="277"/>
      <c r="AD317" s="110"/>
      <c r="AE317" s="147"/>
      <c r="AF317" s="147"/>
      <c r="AG317" s="281"/>
      <c r="AH317" s="111"/>
      <c r="AI317" s="111"/>
    </row>
    <row r="318" spans="2:35">
      <c r="B318" s="273"/>
      <c r="C318" s="110"/>
      <c r="E318" s="220"/>
      <c r="L318" s="277"/>
      <c r="N318" s="147"/>
      <c r="O318" s="148"/>
      <c r="S318" s="277"/>
      <c r="T318" s="68"/>
      <c r="V318" s="279"/>
      <c r="X318" s="277"/>
      <c r="Y318" s="453"/>
      <c r="Z318" s="280"/>
      <c r="AA318" s="277"/>
      <c r="AB318" s="277"/>
      <c r="AC318" s="277"/>
      <c r="AD318" s="110"/>
      <c r="AE318" s="147"/>
      <c r="AF318" s="147"/>
      <c r="AG318" s="281"/>
      <c r="AH318" s="111"/>
      <c r="AI318" s="111"/>
    </row>
    <row r="319" spans="2:35">
      <c r="B319" s="273"/>
      <c r="C319" s="110"/>
      <c r="E319" s="220"/>
      <c r="L319" s="277"/>
      <c r="N319" s="147"/>
      <c r="O319" s="148"/>
      <c r="S319" s="277"/>
      <c r="T319" s="68"/>
      <c r="V319" s="279"/>
      <c r="X319" s="277"/>
      <c r="Y319" s="453"/>
      <c r="Z319" s="280"/>
      <c r="AA319" s="277"/>
      <c r="AB319" s="277"/>
      <c r="AC319" s="277"/>
      <c r="AD319" s="110"/>
      <c r="AE319" s="147"/>
      <c r="AF319" s="147"/>
      <c r="AG319" s="281"/>
      <c r="AH319" s="111"/>
      <c r="AI319" s="111"/>
    </row>
    <row r="320" spans="2:35">
      <c r="B320" s="273"/>
      <c r="C320" s="110"/>
      <c r="E320" s="220"/>
      <c r="L320" s="277"/>
      <c r="N320" s="147"/>
      <c r="O320" s="148"/>
      <c r="S320" s="277"/>
      <c r="T320" s="68"/>
      <c r="V320" s="279"/>
      <c r="X320" s="277"/>
      <c r="Y320" s="453"/>
      <c r="Z320" s="280"/>
      <c r="AA320" s="277"/>
      <c r="AB320" s="277"/>
      <c r="AC320" s="277"/>
      <c r="AD320" s="110"/>
      <c r="AE320" s="147"/>
      <c r="AF320" s="147"/>
      <c r="AG320" s="281"/>
      <c r="AH320" s="111"/>
      <c r="AI320" s="111"/>
    </row>
    <row r="321" spans="2:35">
      <c r="B321" s="273"/>
      <c r="C321" s="110"/>
      <c r="E321" s="220"/>
      <c r="L321" s="277"/>
      <c r="N321" s="147"/>
      <c r="O321" s="148"/>
      <c r="S321" s="277"/>
      <c r="T321" s="68"/>
      <c r="V321" s="279"/>
      <c r="X321" s="277"/>
      <c r="Y321" s="453"/>
      <c r="Z321" s="280"/>
      <c r="AA321" s="277"/>
      <c r="AB321" s="277"/>
      <c r="AC321" s="277"/>
      <c r="AD321" s="110"/>
      <c r="AE321" s="147"/>
      <c r="AF321" s="147"/>
      <c r="AG321" s="281"/>
      <c r="AH321" s="111"/>
      <c r="AI321" s="111"/>
    </row>
    <row r="322" spans="2:35">
      <c r="B322" s="273"/>
      <c r="C322" s="110"/>
      <c r="E322" s="220"/>
      <c r="L322" s="277"/>
      <c r="N322" s="147"/>
      <c r="O322" s="148"/>
      <c r="S322" s="277"/>
      <c r="T322" s="68"/>
      <c r="V322" s="279"/>
      <c r="X322" s="277"/>
      <c r="Y322" s="453"/>
      <c r="Z322" s="280"/>
      <c r="AA322" s="277"/>
      <c r="AB322" s="277"/>
      <c r="AC322" s="277"/>
      <c r="AD322" s="110"/>
      <c r="AE322" s="147"/>
      <c r="AF322" s="147"/>
      <c r="AG322" s="281"/>
      <c r="AH322" s="111"/>
      <c r="AI322" s="111"/>
    </row>
    <row r="323" spans="2:35">
      <c r="B323" s="273"/>
      <c r="C323" s="110"/>
      <c r="E323" s="220"/>
      <c r="L323" s="277"/>
      <c r="N323" s="147"/>
      <c r="O323" s="148"/>
      <c r="S323" s="277"/>
      <c r="T323" s="68"/>
      <c r="V323" s="279"/>
      <c r="X323" s="277"/>
      <c r="Y323" s="453"/>
      <c r="Z323" s="280"/>
      <c r="AA323" s="277"/>
      <c r="AB323" s="277"/>
      <c r="AC323" s="277"/>
      <c r="AD323" s="110"/>
      <c r="AE323" s="147"/>
      <c r="AF323" s="147"/>
      <c r="AG323" s="281"/>
      <c r="AH323" s="111"/>
      <c r="AI323" s="111"/>
    </row>
    <row r="324" spans="2:35">
      <c r="B324" s="273"/>
      <c r="C324" s="110"/>
      <c r="E324" s="220"/>
      <c r="L324" s="277"/>
      <c r="N324" s="147"/>
      <c r="O324" s="148"/>
      <c r="S324" s="277"/>
      <c r="T324" s="68"/>
      <c r="V324" s="279"/>
      <c r="X324" s="277"/>
      <c r="Y324" s="453"/>
      <c r="Z324" s="280"/>
      <c r="AA324" s="277"/>
      <c r="AB324" s="277"/>
      <c r="AC324" s="277"/>
      <c r="AD324" s="110"/>
      <c r="AE324" s="147"/>
      <c r="AF324" s="147"/>
      <c r="AG324" s="281"/>
      <c r="AH324" s="111"/>
      <c r="AI324" s="111"/>
    </row>
    <row r="325" spans="2:35">
      <c r="B325" s="273"/>
      <c r="C325" s="110"/>
      <c r="E325" s="220"/>
      <c r="L325" s="277"/>
      <c r="N325" s="147"/>
      <c r="O325" s="148"/>
      <c r="S325" s="277"/>
      <c r="T325" s="68"/>
      <c r="V325" s="279"/>
      <c r="X325" s="277"/>
      <c r="Y325" s="453"/>
      <c r="Z325" s="280"/>
      <c r="AA325" s="277"/>
      <c r="AB325" s="277"/>
      <c r="AC325" s="277"/>
      <c r="AD325" s="110"/>
      <c r="AE325" s="147"/>
      <c r="AF325" s="147"/>
      <c r="AG325" s="281"/>
      <c r="AH325" s="111"/>
      <c r="AI325" s="111"/>
    </row>
    <row r="326" spans="2:35">
      <c r="B326" s="273"/>
      <c r="C326" s="110"/>
      <c r="E326" s="220"/>
      <c r="L326" s="277"/>
      <c r="N326" s="147"/>
      <c r="O326" s="148"/>
      <c r="S326" s="277"/>
      <c r="T326" s="68"/>
      <c r="V326" s="279"/>
      <c r="X326" s="277"/>
      <c r="Y326" s="453"/>
      <c r="Z326" s="280"/>
      <c r="AA326" s="277"/>
      <c r="AB326" s="277"/>
      <c r="AC326" s="277"/>
      <c r="AD326" s="110"/>
      <c r="AE326" s="147"/>
      <c r="AF326" s="147"/>
      <c r="AG326" s="281"/>
      <c r="AH326" s="111"/>
      <c r="AI326" s="111"/>
    </row>
    <row r="327" spans="2:35">
      <c r="B327" s="273"/>
      <c r="C327" s="110"/>
      <c r="E327" s="220"/>
      <c r="L327" s="277"/>
      <c r="N327" s="147"/>
      <c r="O327" s="148"/>
      <c r="S327" s="277"/>
      <c r="T327" s="68"/>
      <c r="V327" s="279"/>
      <c r="X327" s="277"/>
      <c r="Y327" s="453"/>
      <c r="Z327" s="280"/>
      <c r="AA327" s="277"/>
      <c r="AB327" s="277"/>
      <c r="AC327" s="277"/>
      <c r="AD327" s="110"/>
      <c r="AE327" s="147"/>
      <c r="AF327" s="147"/>
      <c r="AG327" s="281"/>
      <c r="AH327" s="111"/>
      <c r="AI327" s="111"/>
    </row>
    <row r="328" spans="2:35">
      <c r="B328" s="273"/>
      <c r="C328" s="110"/>
      <c r="E328" s="220"/>
      <c r="L328" s="277"/>
      <c r="N328" s="147"/>
      <c r="O328" s="148"/>
      <c r="S328" s="277"/>
      <c r="T328" s="68"/>
      <c r="V328" s="279"/>
      <c r="X328" s="277"/>
      <c r="Y328" s="453"/>
      <c r="Z328" s="280"/>
      <c r="AA328" s="277"/>
      <c r="AB328" s="277"/>
      <c r="AC328" s="277"/>
      <c r="AD328" s="110"/>
      <c r="AE328" s="147"/>
      <c r="AF328" s="147"/>
      <c r="AG328" s="281"/>
      <c r="AH328" s="111"/>
      <c r="AI328" s="111"/>
    </row>
    <row r="329" spans="2:35">
      <c r="B329" s="273"/>
      <c r="C329" s="110"/>
      <c r="E329" s="220"/>
      <c r="L329" s="277"/>
      <c r="N329" s="147"/>
      <c r="O329" s="148"/>
      <c r="S329" s="277"/>
      <c r="T329" s="68"/>
      <c r="V329" s="279"/>
      <c r="X329" s="277"/>
      <c r="Y329" s="453"/>
      <c r="Z329" s="280"/>
      <c r="AA329" s="277"/>
      <c r="AB329" s="277"/>
      <c r="AC329" s="277"/>
      <c r="AD329" s="110"/>
      <c r="AE329" s="147"/>
      <c r="AF329" s="147"/>
      <c r="AG329" s="281"/>
      <c r="AH329" s="111"/>
      <c r="AI329" s="111"/>
    </row>
    <row r="330" spans="2:35">
      <c r="B330" s="273"/>
      <c r="C330" s="110"/>
      <c r="E330" s="220"/>
      <c r="L330" s="277"/>
      <c r="N330" s="147"/>
      <c r="O330" s="148"/>
      <c r="S330" s="277"/>
      <c r="T330" s="68"/>
      <c r="V330" s="279"/>
      <c r="X330" s="277"/>
      <c r="Y330" s="453"/>
      <c r="Z330" s="280"/>
      <c r="AA330" s="277"/>
      <c r="AB330" s="277"/>
      <c r="AC330" s="277"/>
      <c r="AD330" s="110"/>
      <c r="AE330" s="147"/>
      <c r="AF330" s="147"/>
      <c r="AG330" s="281"/>
      <c r="AH330" s="111"/>
      <c r="AI330" s="111"/>
    </row>
    <row r="331" spans="2:35">
      <c r="B331" s="273"/>
      <c r="C331" s="110"/>
      <c r="E331" s="220"/>
      <c r="L331" s="277"/>
      <c r="N331" s="147"/>
      <c r="O331" s="148"/>
      <c r="S331" s="277"/>
      <c r="T331" s="68"/>
      <c r="V331" s="279"/>
      <c r="X331" s="277"/>
      <c r="Y331" s="453"/>
      <c r="Z331" s="280"/>
      <c r="AA331" s="277"/>
      <c r="AB331" s="277"/>
      <c r="AC331" s="277"/>
      <c r="AD331" s="110"/>
      <c r="AE331" s="147"/>
      <c r="AF331" s="147"/>
      <c r="AG331" s="281"/>
      <c r="AH331" s="111"/>
      <c r="AI331" s="111"/>
    </row>
    <row r="332" spans="2:35">
      <c r="B332" s="273"/>
      <c r="C332" s="110"/>
      <c r="E332" s="220"/>
      <c r="L332" s="277"/>
      <c r="N332" s="147"/>
      <c r="O332" s="148"/>
      <c r="S332" s="277"/>
      <c r="T332" s="68"/>
      <c r="V332" s="279"/>
      <c r="X332" s="277"/>
      <c r="Y332" s="453"/>
      <c r="Z332" s="280"/>
      <c r="AA332" s="277"/>
      <c r="AB332" s="277"/>
      <c r="AC332" s="277"/>
      <c r="AD332" s="110"/>
      <c r="AE332" s="147"/>
      <c r="AF332" s="147"/>
      <c r="AG332" s="281"/>
      <c r="AH332" s="111"/>
      <c r="AI332" s="111"/>
    </row>
    <row r="333" spans="2:35">
      <c r="B333" s="273"/>
      <c r="C333" s="110"/>
      <c r="E333" s="220"/>
      <c r="L333" s="277"/>
      <c r="N333" s="147"/>
      <c r="O333" s="148"/>
      <c r="S333" s="277"/>
      <c r="T333" s="68"/>
      <c r="V333" s="279"/>
      <c r="X333" s="277"/>
      <c r="Y333" s="453"/>
      <c r="Z333" s="280"/>
      <c r="AA333" s="277"/>
      <c r="AB333" s="277"/>
      <c r="AC333" s="277"/>
      <c r="AD333" s="110"/>
      <c r="AE333" s="147"/>
      <c r="AF333" s="147"/>
      <c r="AG333" s="281"/>
      <c r="AH333" s="111"/>
      <c r="AI333" s="111"/>
    </row>
    <row r="334" spans="2:35">
      <c r="B334" s="273"/>
      <c r="C334" s="110"/>
      <c r="E334" s="220"/>
      <c r="L334" s="277"/>
      <c r="N334" s="147"/>
      <c r="O334" s="148"/>
      <c r="S334" s="277"/>
      <c r="T334" s="68"/>
      <c r="V334" s="279"/>
      <c r="X334" s="277"/>
      <c r="Y334" s="453"/>
      <c r="Z334" s="280"/>
      <c r="AA334" s="277"/>
      <c r="AB334" s="277"/>
      <c r="AC334" s="277"/>
      <c r="AD334" s="110"/>
      <c r="AE334" s="147"/>
      <c r="AF334" s="147"/>
      <c r="AG334" s="281"/>
      <c r="AH334" s="111"/>
      <c r="AI334" s="111"/>
    </row>
    <row r="335" spans="2:35">
      <c r="B335" s="273"/>
      <c r="C335" s="110"/>
      <c r="E335" s="220"/>
      <c r="L335" s="277"/>
      <c r="N335" s="147"/>
      <c r="O335" s="148"/>
      <c r="S335" s="277"/>
      <c r="T335" s="68"/>
      <c r="V335" s="279"/>
      <c r="X335" s="277"/>
      <c r="Y335" s="453"/>
      <c r="Z335" s="280"/>
      <c r="AA335" s="277"/>
      <c r="AB335" s="277"/>
      <c r="AC335" s="277"/>
      <c r="AD335" s="110"/>
      <c r="AE335" s="147"/>
      <c r="AF335" s="147"/>
      <c r="AG335" s="281"/>
      <c r="AH335" s="111"/>
      <c r="AI335" s="111"/>
    </row>
    <row r="336" spans="2:35">
      <c r="B336" s="273"/>
      <c r="C336" s="110"/>
      <c r="E336" s="220"/>
      <c r="L336" s="277"/>
      <c r="N336" s="147"/>
      <c r="O336" s="148"/>
      <c r="S336" s="277"/>
      <c r="T336" s="68"/>
      <c r="V336" s="279"/>
      <c r="X336" s="277"/>
      <c r="Y336" s="453"/>
      <c r="Z336" s="280"/>
      <c r="AA336" s="277"/>
      <c r="AB336" s="277"/>
      <c r="AC336" s="277"/>
      <c r="AD336" s="110"/>
      <c r="AE336" s="147"/>
      <c r="AF336" s="147"/>
      <c r="AG336" s="281"/>
      <c r="AH336" s="111"/>
      <c r="AI336" s="111"/>
    </row>
    <row r="337" spans="2:35">
      <c r="B337" s="273"/>
      <c r="C337" s="110"/>
      <c r="E337" s="220"/>
      <c r="L337" s="277"/>
      <c r="N337" s="147"/>
      <c r="O337" s="148"/>
      <c r="S337" s="277"/>
      <c r="T337" s="68"/>
      <c r="V337" s="279"/>
      <c r="X337" s="277"/>
      <c r="Y337" s="453"/>
      <c r="Z337" s="280"/>
      <c r="AA337" s="277"/>
      <c r="AB337" s="277"/>
      <c r="AC337" s="277"/>
      <c r="AD337" s="110"/>
      <c r="AE337" s="147"/>
      <c r="AF337" s="147"/>
      <c r="AG337" s="281"/>
      <c r="AH337" s="111"/>
      <c r="AI337" s="111"/>
    </row>
    <row r="338" spans="2:35">
      <c r="B338" s="273"/>
      <c r="C338" s="110"/>
      <c r="E338" s="220"/>
      <c r="L338" s="277"/>
      <c r="N338" s="147"/>
      <c r="O338" s="148"/>
      <c r="S338" s="277"/>
      <c r="T338" s="68"/>
      <c r="V338" s="279"/>
      <c r="X338" s="277"/>
      <c r="Y338" s="453"/>
      <c r="Z338" s="280"/>
      <c r="AA338" s="277"/>
      <c r="AB338" s="277"/>
      <c r="AC338" s="277"/>
      <c r="AD338" s="110"/>
      <c r="AE338" s="147"/>
      <c r="AF338" s="147"/>
      <c r="AG338" s="281"/>
      <c r="AH338" s="111"/>
      <c r="AI338" s="111"/>
    </row>
    <row r="339" spans="2:35">
      <c r="B339" s="273"/>
      <c r="C339" s="110"/>
      <c r="E339" s="220"/>
      <c r="L339" s="277"/>
      <c r="N339" s="147"/>
      <c r="O339" s="148"/>
      <c r="S339" s="277"/>
      <c r="T339" s="68"/>
      <c r="V339" s="279"/>
      <c r="X339" s="277"/>
      <c r="Y339" s="453"/>
      <c r="Z339" s="280"/>
      <c r="AA339" s="277"/>
      <c r="AB339" s="277"/>
      <c r="AC339" s="277"/>
      <c r="AD339" s="110"/>
      <c r="AE339" s="147"/>
      <c r="AF339" s="147"/>
      <c r="AG339" s="281"/>
      <c r="AH339" s="111"/>
      <c r="AI339" s="111"/>
    </row>
    <row r="340" spans="2:35">
      <c r="B340" s="273"/>
      <c r="C340" s="110"/>
      <c r="E340" s="220"/>
      <c r="L340" s="277"/>
      <c r="N340" s="147"/>
      <c r="O340" s="148"/>
      <c r="S340" s="277"/>
      <c r="T340" s="68"/>
      <c r="V340" s="279"/>
      <c r="X340" s="277"/>
      <c r="Y340" s="453"/>
      <c r="Z340" s="280"/>
      <c r="AA340" s="277"/>
      <c r="AB340" s="277"/>
      <c r="AC340" s="277"/>
      <c r="AD340" s="110"/>
      <c r="AE340" s="147"/>
      <c r="AF340" s="147"/>
      <c r="AG340" s="281"/>
      <c r="AH340" s="111"/>
      <c r="AI340" s="111"/>
    </row>
    <row r="341" spans="2:35">
      <c r="B341" s="273"/>
      <c r="C341" s="110"/>
      <c r="E341" s="220"/>
      <c r="L341" s="277"/>
      <c r="N341" s="147"/>
      <c r="O341" s="148"/>
      <c r="S341" s="277"/>
      <c r="T341" s="68"/>
      <c r="V341" s="279"/>
      <c r="X341" s="277"/>
      <c r="Y341" s="453"/>
      <c r="Z341" s="280"/>
      <c r="AA341" s="277"/>
      <c r="AB341" s="277"/>
      <c r="AC341" s="277"/>
      <c r="AD341" s="110"/>
      <c r="AE341" s="147"/>
      <c r="AF341" s="147"/>
      <c r="AG341" s="281"/>
      <c r="AH341" s="111"/>
      <c r="AI341" s="111"/>
    </row>
    <row r="342" spans="2:35">
      <c r="B342" s="273"/>
      <c r="C342" s="110"/>
      <c r="E342" s="220"/>
      <c r="L342" s="277"/>
      <c r="N342" s="147"/>
      <c r="O342" s="148"/>
      <c r="S342" s="277"/>
      <c r="T342" s="68"/>
      <c r="V342" s="279"/>
      <c r="X342" s="277"/>
      <c r="Y342" s="453"/>
      <c r="Z342" s="280"/>
      <c r="AA342" s="277"/>
      <c r="AB342" s="277"/>
      <c r="AC342" s="277"/>
      <c r="AD342" s="110"/>
      <c r="AE342" s="147"/>
      <c r="AF342" s="147"/>
      <c r="AG342" s="281"/>
      <c r="AH342" s="111"/>
      <c r="AI342" s="111"/>
    </row>
    <row r="343" spans="2:35">
      <c r="B343" s="273"/>
      <c r="C343" s="110"/>
      <c r="E343" s="220"/>
      <c r="L343" s="277"/>
      <c r="N343" s="147"/>
      <c r="O343" s="148"/>
      <c r="S343" s="277"/>
      <c r="T343" s="68"/>
      <c r="V343" s="279"/>
      <c r="X343" s="277"/>
      <c r="Y343" s="453"/>
      <c r="Z343" s="280"/>
      <c r="AA343" s="277"/>
      <c r="AB343" s="277"/>
      <c r="AC343" s="277"/>
      <c r="AD343" s="110"/>
      <c r="AE343" s="147"/>
      <c r="AF343" s="147"/>
      <c r="AG343" s="281"/>
      <c r="AH343" s="111"/>
      <c r="AI343" s="111"/>
    </row>
    <row r="344" spans="2:35">
      <c r="B344" s="273"/>
      <c r="C344" s="110"/>
      <c r="E344" s="220"/>
      <c r="L344" s="277"/>
      <c r="N344" s="147"/>
      <c r="O344" s="148"/>
      <c r="S344" s="277"/>
      <c r="T344" s="68"/>
      <c r="V344" s="279"/>
      <c r="X344" s="277"/>
      <c r="Y344" s="453"/>
      <c r="Z344" s="280"/>
      <c r="AA344" s="277"/>
      <c r="AB344" s="277"/>
      <c r="AC344" s="277"/>
      <c r="AD344" s="110"/>
      <c r="AE344" s="147"/>
      <c r="AF344" s="147"/>
      <c r="AG344" s="281"/>
      <c r="AH344" s="111"/>
      <c r="AI344" s="111"/>
    </row>
    <row r="345" spans="2:35">
      <c r="B345" s="273"/>
      <c r="C345" s="110"/>
      <c r="E345" s="220"/>
      <c r="L345" s="277"/>
      <c r="N345" s="147"/>
      <c r="O345" s="148"/>
      <c r="S345" s="277"/>
      <c r="T345" s="68"/>
      <c r="V345" s="279"/>
      <c r="X345" s="277"/>
      <c r="Y345" s="453"/>
      <c r="Z345" s="280"/>
      <c r="AA345" s="277"/>
      <c r="AB345" s="277"/>
      <c r="AC345" s="277"/>
      <c r="AD345" s="110"/>
      <c r="AE345" s="147"/>
      <c r="AF345" s="147"/>
      <c r="AG345" s="281"/>
      <c r="AH345" s="111"/>
      <c r="AI345" s="111"/>
    </row>
    <row r="346" spans="2:35">
      <c r="B346" s="273"/>
      <c r="C346" s="110"/>
      <c r="E346" s="220"/>
      <c r="L346" s="277"/>
      <c r="N346" s="147"/>
      <c r="O346" s="148"/>
      <c r="S346" s="277"/>
      <c r="T346" s="68"/>
      <c r="V346" s="279"/>
      <c r="X346" s="277"/>
      <c r="Y346" s="453"/>
      <c r="Z346" s="280"/>
      <c r="AA346" s="277"/>
      <c r="AB346" s="277"/>
      <c r="AC346" s="277"/>
      <c r="AD346" s="110"/>
      <c r="AE346" s="147"/>
      <c r="AF346" s="147"/>
      <c r="AG346" s="281"/>
      <c r="AH346" s="111"/>
      <c r="AI346" s="111"/>
    </row>
    <row r="347" spans="2:35">
      <c r="B347" s="273"/>
      <c r="C347" s="110"/>
      <c r="E347" s="220"/>
      <c r="L347" s="277"/>
      <c r="N347" s="147"/>
      <c r="O347" s="148"/>
      <c r="S347" s="277"/>
      <c r="T347" s="68"/>
      <c r="V347" s="279"/>
      <c r="X347" s="277"/>
      <c r="Y347" s="453"/>
      <c r="Z347" s="280"/>
      <c r="AA347" s="277"/>
      <c r="AB347" s="277"/>
      <c r="AC347" s="277"/>
      <c r="AD347" s="110"/>
      <c r="AE347" s="147"/>
      <c r="AF347" s="147"/>
      <c r="AG347" s="281"/>
      <c r="AH347" s="111"/>
      <c r="AI347" s="111"/>
    </row>
    <row r="348" spans="2:35">
      <c r="B348" s="273"/>
      <c r="C348" s="110"/>
      <c r="E348" s="220"/>
      <c r="L348" s="277"/>
      <c r="N348" s="147"/>
      <c r="O348" s="148"/>
      <c r="S348" s="277"/>
      <c r="T348" s="68"/>
      <c r="V348" s="279"/>
      <c r="X348" s="277"/>
      <c r="Y348" s="453"/>
      <c r="Z348" s="280"/>
      <c r="AA348" s="277"/>
      <c r="AB348" s="277"/>
      <c r="AC348" s="277"/>
      <c r="AD348" s="110"/>
      <c r="AE348" s="147"/>
      <c r="AF348" s="147"/>
      <c r="AG348" s="281"/>
      <c r="AH348" s="111"/>
      <c r="AI348" s="111"/>
    </row>
    <row r="349" spans="2:35">
      <c r="B349" s="273"/>
      <c r="C349" s="110"/>
      <c r="E349" s="220"/>
      <c r="L349" s="277"/>
      <c r="N349" s="147"/>
      <c r="O349" s="148"/>
      <c r="S349" s="277"/>
      <c r="T349" s="68"/>
      <c r="V349" s="279"/>
      <c r="X349" s="277"/>
      <c r="Y349" s="453"/>
      <c r="Z349" s="280"/>
      <c r="AA349" s="277"/>
      <c r="AB349" s="277"/>
      <c r="AC349" s="277"/>
      <c r="AD349" s="110"/>
      <c r="AE349" s="147"/>
      <c r="AF349" s="147"/>
      <c r="AG349" s="281"/>
      <c r="AH349" s="111"/>
      <c r="AI349" s="111"/>
    </row>
    <row r="350" spans="2:35">
      <c r="B350" s="273"/>
      <c r="C350" s="110"/>
      <c r="E350" s="220"/>
      <c r="L350" s="277"/>
      <c r="N350" s="147"/>
      <c r="O350" s="148"/>
      <c r="S350" s="277"/>
      <c r="T350" s="68"/>
      <c r="V350" s="279"/>
      <c r="X350" s="277"/>
      <c r="Y350" s="453"/>
      <c r="Z350" s="280"/>
      <c r="AA350" s="277"/>
      <c r="AB350" s="277"/>
      <c r="AC350" s="277"/>
      <c r="AD350" s="110"/>
      <c r="AE350" s="147"/>
      <c r="AF350" s="147"/>
      <c r="AG350" s="281"/>
      <c r="AH350" s="111"/>
      <c r="AI350" s="111"/>
    </row>
    <row r="351" spans="2:35">
      <c r="B351" s="273"/>
      <c r="C351" s="110"/>
      <c r="E351" s="220"/>
      <c r="L351" s="277"/>
      <c r="N351" s="147"/>
      <c r="O351" s="148"/>
      <c r="S351" s="277"/>
      <c r="T351" s="68"/>
      <c r="V351" s="279"/>
      <c r="X351" s="277"/>
      <c r="Y351" s="453"/>
      <c r="Z351" s="280"/>
      <c r="AA351" s="277"/>
      <c r="AB351" s="277"/>
      <c r="AC351" s="277"/>
      <c r="AD351" s="110"/>
      <c r="AE351" s="147"/>
      <c r="AF351" s="147"/>
      <c r="AG351" s="281"/>
      <c r="AH351" s="111"/>
      <c r="AI351" s="111"/>
    </row>
    <row r="352" spans="2:35">
      <c r="B352" s="273"/>
      <c r="C352" s="110"/>
      <c r="E352" s="220"/>
      <c r="L352" s="277"/>
      <c r="N352" s="147"/>
      <c r="O352" s="148"/>
      <c r="S352" s="277"/>
      <c r="T352" s="68"/>
      <c r="V352" s="279"/>
      <c r="X352" s="277"/>
      <c r="Y352" s="453"/>
      <c r="Z352" s="280"/>
      <c r="AA352" s="277"/>
      <c r="AB352" s="277"/>
      <c r="AC352" s="277"/>
      <c r="AD352" s="110"/>
      <c r="AE352" s="147"/>
      <c r="AF352" s="147"/>
      <c r="AG352" s="281"/>
      <c r="AH352" s="111"/>
      <c r="AI352" s="111"/>
    </row>
    <row r="353" spans="2:35">
      <c r="B353" s="273"/>
      <c r="C353" s="110"/>
      <c r="E353" s="220"/>
      <c r="L353" s="277"/>
      <c r="N353" s="147"/>
      <c r="O353" s="148"/>
      <c r="S353" s="277"/>
      <c r="T353" s="68"/>
      <c r="V353" s="279"/>
      <c r="X353" s="277"/>
      <c r="Y353" s="453"/>
      <c r="Z353" s="280"/>
      <c r="AA353" s="277"/>
      <c r="AB353" s="277"/>
      <c r="AC353" s="277"/>
      <c r="AD353" s="110"/>
      <c r="AE353" s="147"/>
      <c r="AF353" s="147"/>
      <c r="AG353" s="281"/>
      <c r="AH353" s="111"/>
      <c r="AI353" s="111"/>
    </row>
    <row r="354" spans="2:35">
      <c r="B354" s="273"/>
      <c r="C354" s="110"/>
      <c r="E354" s="220"/>
      <c r="L354" s="277"/>
      <c r="N354" s="147"/>
      <c r="O354" s="148"/>
      <c r="S354" s="277"/>
      <c r="T354" s="68"/>
      <c r="V354" s="279"/>
      <c r="X354" s="277"/>
      <c r="Y354" s="453"/>
      <c r="Z354" s="280"/>
      <c r="AA354" s="277"/>
      <c r="AB354" s="277"/>
      <c r="AC354" s="277"/>
      <c r="AD354" s="110"/>
      <c r="AE354" s="147"/>
      <c r="AF354" s="147"/>
      <c r="AG354" s="281"/>
      <c r="AH354" s="111"/>
      <c r="AI354" s="111"/>
    </row>
    <row r="355" spans="2:35">
      <c r="B355" s="273"/>
      <c r="C355" s="110"/>
      <c r="E355" s="220"/>
      <c r="L355" s="277"/>
      <c r="N355" s="147"/>
      <c r="O355" s="148"/>
      <c r="S355" s="277"/>
      <c r="T355" s="68"/>
      <c r="V355" s="279"/>
      <c r="X355" s="277"/>
      <c r="Y355" s="453"/>
      <c r="Z355" s="280"/>
      <c r="AA355" s="277"/>
      <c r="AB355" s="277"/>
      <c r="AC355" s="277"/>
      <c r="AD355" s="110"/>
      <c r="AE355" s="147"/>
      <c r="AF355" s="147"/>
      <c r="AG355" s="281"/>
      <c r="AH355" s="111"/>
      <c r="AI355" s="111"/>
    </row>
    <row r="356" spans="2:35">
      <c r="B356" s="273"/>
      <c r="C356" s="110"/>
      <c r="E356" s="220"/>
      <c r="L356" s="277"/>
      <c r="N356" s="147"/>
      <c r="O356" s="148"/>
      <c r="S356" s="277"/>
      <c r="T356" s="68"/>
      <c r="V356" s="279"/>
      <c r="X356" s="277"/>
      <c r="Y356" s="453"/>
      <c r="Z356" s="280"/>
      <c r="AA356" s="277"/>
      <c r="AB356" s="277"/>
      <c r="AC356" s="277"/>
      <c r="AD356" s="110"/>
      <c r="AE356" s="147"/>
      <c r="AF356" s="147"/>
      <c r="AG356" s="281"/>
      <c r="AH356" s="111"/>
      <c r="AI356" s="111"/>
    </row>
    <row r="357" spans="2:35">
      <c r="B357" s="273"/>
      <c r="C357" s="110"/>
      <c r="E357" s="220"/>
      <c r="L357" s="277"/>
      <c r="N357" s="147"/>
      <c r="O357" s="148"/>
      <c r="S357" s="277"/>
      <c r="T357" s="68"/>
      <c r="V357" s="279"/>
      <c r="X357" s="277"/>
      <c r="Y357" s="453"/>
      <c r="Z357" s="280"/>
      <c r="AA357" s="277"/>
      <c r="AB357" s="277"/>
      <c r="AC357" s="277"/>
      <c r="AD357" s="110"/>
      <c r="AE357" s="147"/>
      <c r="AF357" s="147"/>
      <c r="AG357" s="281"/>
      <c r="AH357" s="111"/>
      <c r="AI357" s="111"/>
    </row>
    <row r="358" spans="2:35">
      <c r="B358" s="273"/>
      <c r="C358" s="110"/>
      <c r="E358" s="220"/>
      <c r="L358" s="277"/>
      <c r="N358" s="147"/>
      <c r="O358" s="148"/>
      <c r="S358" s="277"/>
      <c r="T358" s="68"/>
      <c r="V358" s="279"/>
      <c r="X358" s="277"/>
      <c r="Y358" s="453"/>
      <c r="Z358" s="280"/>
      <c r="AA358" s="277"/>
      <c r="AB358" s="277"/>
      <c r="AC358" s="277"/>
      <c r="AD358" s="110"/>
      <c r="AE358" s="147"/>
      <c r="AF358" s="147"/>
      <c r="AG358" s="281"/>
      <c r="AH358" s="111"/>
      <c r="AI358" s="111"/>
    </row>
    <row r="359" spans="2:35">
      <c r="B359" s="273"/>
      <c r="C359" s="110"/>
      <c r="E359" s="220"/>
      <c r="L359" s="277"/>
      <c r="N359" s="147"/>
      <c r="O359" s="148"/>
      <c r="S359" s="277"/>
      <c r="T359" s="68"/>
      <c r="V359" s="279"/>
      <c r="X359" s="277"/>
      <c r="Y359" s="453"/>
      <c r="Z359" s="280"/>
      <c r="AA359" s="277"/>
      <c r="AB359" s="277"/>
      <c r="AC359" s="277"/>
      <c r="AD359" s="110"/>
      <c r="AE359" s="147"/>
      <c r="AF359" s="147"/>
      <c r="AG359" s="281"/>
      <c r="AH359" s="111"/>
      <c r="AI359" s="111"/>
    </row>
    <row r="360" spans="2:35">
      <c r="B360" s="273"/>
      <c r="C360" s="110"/>
      <c r="E360" s="220"/>
      <c r="L360" s="277"/>
      <c r="N360" s="147"/>
      <c r="O360" s="148"/>
      <c r="S360" s="277"/>
      <c r="T360" s="68"/>
      <c r="V360" s="279"/>
      <c r="X360" s="277"/>
      <c r="Y360" s="453"/>
      <c r="Z360" s="280"/>
      <c r="AA360" s="277"/>
      <c r="AB360" s="277"/>
      <c r="AC360" s="277"/>
      <c r="AD360" s="110"/>
      <c r="AE360" s="147"/>
      <c r="AF360" s="147"/>
      <c r="AG360" s="281"/>
      <c r="AH360" s="111"/>
      <c r="AI360" s="111"/>
    </row>
    <row r="361" spans="2:35">
      <c r="B361" s="273"/>
      <c r="C361" s="110"/>
      <c r="E361" s="220"/>
      <c r="L361" s="277"/>
      <c r="N361" s="147"/>
      <c r="O361" s="148"/>
      <c r="S361" s="277"/>
      <c r="T361" s="68"/>
      <c r="V361" s="279"/>
      <c r="X361" s="277"/>
      <c r="Y361" s="453"/>
      <c r="Z361" s="280"/>
      <c r="AA361" s="277"/>
      <c r="AB361" s="277"/>
      <c r="AC361" s="277"/>
      <c r="AD361" s="110"/>
      <c r="AE361" s="147"/>
      <c r="AF361" s="147"/>
      <c r="AG361" s="281"/>
      <c r="AH361" s="111"/>
      <c r="AI361" s="111"/>
    </row>
    <row r="362" spans="2:35">
      <c r="B362" s="273"/>
      <c r="C362" s="110"/>
      <c r="E362" s="220"/>
      <c r="L362" s="277"/>
      <c r="N362" s="147"/>
      <c r="O362" s="148"/>
      <c r="S362" s="277"/>
      <c r="T362" s="68"/>
      <c r="V362" s="279"/>
      <c r="X362" s="277"/>
      <c r="Y362" s="453"/>
      <c r="Z362" s="280"/>
      <c r="AA362" s="277"/>
      <c r="AB362" s="277"/>
      <c r="AC362" s="277"/>
      <c r="AD362" s="110"/>
      <c r="AE362" s="147"/>
      <c r="AF362" s="147"/>
      <c r="AG362" s="281"/>
      <c r="AH362" s="111"/>
      <c r="AI362" s="111"/>
    </row>
    <row r="363" spans="2:35">
      <c r="B363" s="273"/>
      <c r="C363" s="110"/>
      <c r="E363" s="220"/>
      <c r="L363" s="277"/>
      <c r="N363" s="147"/>
      <c r="O363" s="148"/>
      <c r="S363" s="277"/>
      <c r="T363" s="68"/>
      <c r="V363" s="279"/>
      <c r="X363" s="277"/>
      <c r="Y363" s="453"/>
      <c r="Z363" s="280"/>
      <c r="AA363" s="277"/>
      <c r="AB363" s="277"/>
      <c r="AC363" s="277"/>
      <c r="AD363" s="110"/>
      <c r="AE363" s="147"/>
      <c r="AF363" s="147"/>
      <c r="AG363" s="281"/>
      <c r="AH363" s="111"/>
      <c r="AI363" s="111"/>
    </row>
    <row r="364" spans="2:35">
      <c r="B364" s="273"/>
      <c r="C364" s="110"/>
      <c r="E364" s="220"/>
      <c r="L364" s="277"/>
      <c r="N364" s="147"/>
      <c r="O364" s="148"/>
      <c r="S364" s="277"/>
      <c r="T364" s="68"/>
      <c r="V364" s="279"/>
      <c r="X364" s="277"/>
      <c r="Y364" s="453"/>
      <c r="Z364" s="280"/>
      <c r="AA364" s="277"/>
      <c r="AB364" s="277"/>
      <c r="AC364" s="277"/>
      <c r="AD364" s="110"/>
      <c r="AE364" s="147"/>
      <c r="AF364" s="147"/>
      <c r="AG364" s="281"/>
      <c r="AH364" s="111"/>
      <c r="AI364" s="111"/>
    </row>
    <row r="365" spans="2:35">
      <c r="B365" s="273"/>
      <c r="C365" s="110"/>
      <c r="E365" s="220"/>
      <c r="L365" s="277"/>
      <c r="N365" s="147"/>
      <c r="O365" s="148"/>
      <c r="S365" s="277"/>
      <c r="T365" s="68"/>
      <c r="V365" s="279"/>
      <c r="X365" s="277"/>
      <c r="Y365" s="453"/>
      <c r="Z365" s="280"/>
      <c r="AA365" s="277"/>
      <c r="AB365" s="277"/>
      <c r="AC365" s="277"/>
      <c r="AD365" s="110"/>
      <c r="AE365" s="147"/>
      <c r="AF365" s="147"/>
      <c r="AG365" s="281"/>
      <c r="AH365" s="111"/>
      <c r="AI365" s="111"/>
    </row>
    <row r="366" spans="2:35">
      <c r="B366" s="273"/>
      <c r="C366" s="110"/>
      <c r="E366" s="220"/>
      <c r="L366" s="277"/>
      <c r="N366" s="147"/>
      <c r="O366" s="148"/>
      <c r="S366" s="277"/>
      <c r="T366" s="68"/>
      <c r="V366" s="279"/>
      <c r="X366" s="277"/>
      <c r="Y366" s="453"/>
      <c r="Z366" s="280"/>
      <c r="AA366" s="277"/>
      <c r="AB366" s="277"/>
      <c r="AC366" s="277"/>
      <c r="AD366" s="110"/>
      <c r="AE366" s="147"/>
      <c r="AF366" s="147"/>
      <c r="AG366" s="281"/>
      <c r="AH366" s="111"/>
      <c r="AI366" s="111"/>
    </row>
    <row r="367" spans="2:35">
      <c r="B367" s="273"/>
      <c r="C367" s="110"/>
      <c r="E367" s="220"/>
      <c r="L367" s="277"/>
      <c r="N367" s="147"/>
      <c r="O367" s="148"/>
      <c r="S367" s="277"/>
      <c r="T367" s="68"/>
      <c r="V367" s="279"/>
      <c r="X367" s="277"/>
      <c r="Y367" s="453"/>
      <c r="Z367" s="280"/>
      <c r="AA367" s="277"/>
      <c r="AB367" s="277"/>
      <c r="AC367" s="277"/>
      <c r="AD367" s="110"/>
      <c r="AE367" s="147"/>
      <c r="AF367" s="147"/>
      <c r="AG367" s="281"/>
      <c r="AH367" s="111"/>
      <c r="AI367" s="111"/>
    </row>
    <row r="368" spans="2:35">
      <c r="B368" s="273"/>
      <c r="C368" s="110"/>
      <c r="E368" s="220"/>
      <c r="L368" s="277"/>
      <c r="N368" s="147"/>
      <c r="O368" s="148"/>
      <c r="S368" s="277"/>
      <c r="T368" s="68"/>
      <c r="V368" s="279"/>
      <c r="X368" s="277"/>
      <c r="Y368" s="453"/>
      <c r="Z368" s="280"/>
      <c r="AA368" s="277"/>
      <c r="AB368" s="277"/>
      <c r="AC368" s="277"/>
      <c r="AD368" s="110"/>
      <c r="AE368" s="147"/>
      <c r="AF368" s="147"/>
      <c r="AG368" s="281"/>
      <c r="AH368" s="111"/>
      <c r="AI368" s="111"/>
    </row>
    <row r="369" spans="2:35">
      <c r="B369" s="273"/>
      <c r="C369" s="110"/>
      <c r="E369" s="220"/>
      <c r="L369" s="277"/>
      <c r="N369" s="147"/>
      <c r="O369" s="148"/>
      <c r="S369" s="277"/>
      <c r="T369" s="68"/>
      <c r="V369" s="279"/>
      <c r="X369" s="277"/>
      <c r="Y369" s="453"/>
      <c r="Z369" s="280"/>
      <c r="AA369" s="277"/>
      <c r="AB369" s="277"/>
      <c r="AC369" s="277"/>
      <c r="AD369" s="110"/>
      <c r="AE369" s="147"/>
      <c r="AF369" s="147"/>
      <c r="AG369" s="281"/>
      <c r="AH369" s="111"/>
      <c r="AI369" s="111"/>
    </row>
    <row r="370" spans="2:35">
      <c r="B370" s="273"/>
      <c r="C370" s="110"/>
      <c r="E370" s="220"/>
      <c r="L370" s="277"/>
      <c r="N370" s="147"/>
      <c r="O370" s="148"/>
      <c r="S370" s="277"/>
      <c r="T370" s="68"/>
      <c r="V370" s="279"/>
      <c r="X370" s="277"/>
      <c r="Y370" s="453"/>
      <c r="Z370" s="280"/>
      <c r="AA370" s="277"/>
      <c r="AB370" s="277"/>
      <c r="AC370" s="277"/>
      <c r="AD370" s="110"/>
      <c r="AE370" s="147"/>
      <c r="AF370" s="147"/>
      <c r="AG370" s="281"/>
      <c r="AH370" s="111"/>
      <c r="AI370" s="111"/>
    </row>
    <row r="371" spans="2:35">
      <c r="B371" s="273"/>
      <c r="C371" s="110"/>
      <c r="E371" s="220"/>
      <c r="L371" s="277"/>
      <c r="N371" s="147"/>
      <c r="O371" s="148"/>
      <c r="S371" s="277"/>
      <c r="T371" s="68"/>
      <c r="V371" s="279"/>
      <c r="X371" s="277"/>
      <c r="Y371" s="453"/>
      <c r="Z371" s="280"/>
      <c r="AA371" s="277"/>
      <c r="AB371" s="277"/>
      <c r="AC371" s="277"/>
      <c r="AD371" s="110"/>
      <c r="AE371" s="147"/>
      <c r="AF371" s="147"/>
      <c r="AG371" s="281"/>
      <c r="AH371" s="111"/>
      <c r="AI371" s="111"/>
    </row>
    <row r="372" spans="2:35">
      <c r="B372" s="273"/>
      <c r="C372" s="110"/>
      <c r="E372" s="220"/>
      <c r="L372" s="277"/>
      <c r="N372" s="147"/>
      <c r="O372" s="148"/>
      <c r="S372" s="277"/>
      <c r="T372" s="68"/>
      <c r="V372" s="279"/>
      <c r="X372" s="277"/>
      <c r="Y372" s="453"/>
      <c r="Z372" s="280"/>
      <c r="AA372" s="277"/>
      <c r="AB372" s="277"/>
      <c r="AC372" s="277"/>
      <c r="AD372" s="110"/>
      <c r="AE372" s="147"/>
      <c r="AF372" s="147"/>
      <c r="AG372" s="281"/>
      <c r="AH372" s="111"/>
      <c r="AI372" s="111"/>
    </row>
    <row r="373" spans="2:35">
      <c r="B373" s="273"/>
      <c r="C373" s="110"/>
      <c r="E373" s="220"/>
      <c r="L373" s="277"/>
      <c r="N373" s="147"/>
      <c r="O373" s="148"/>
      <c r="S373" s="277"/>
      <c r="T373" s="68"/>
      <c r="V373" s="279"/>
      <c r="X373" s="277"/>
      <c r="Y373" s="453"/>
      <c r="Z373" s="280"/>
      <c r="AA373" s="277"/>
      <c r="AB373" s="277"/>
      <c r="AC373" s="277"/>
      <c r="AD373" s="110"/>
      <c r="AE373" s="147"/>
      <c r="AF373" s="147"/>
      <c r="AG373" s="281"/>
      <c r="AH373" s="111"/>
      <c r="AI373" s="111"/>
    </row>
    <row r="374" spans="2:35">
      <c r="B374" s="273"/>
      <c r="C374" s="110"/>
      <c r="E374" s="220"/>
      <c r="L374" s="277"/>
      <c r="N374" s="147"/>
      <c r="O374" s="148"/>
      <c r="S374" s="277"/>
      <c r="T374" s="68"/>
      <c r="V374" s="279"/>
      <c r="X374" s="277"/>
      <c r="Y374" s="453"/>
      <c r="Z374" s="280"/>
      <c r="AA374" s="277"/>
      <c r="AB374" s="277"/>
      <c r="AC374" s="277"/>
      <c r="AD374" s="110"/>
      <c r="AE374" s="147"/>
      <c r="AF374" s="147"/>
      <c r="AG374" s="281"/>
      <c r="AH374" s="111"/>
      <c r="AI374" s="111"/>
    </row>
    <row r="375" spans="2:35">
      <c r="B375" s="273"/>
      <c r="C375" s="110"/>
      <c r="E375" s="220"/>
      <c r="L375" s="277"/>
      <c r="N375" s="147"/>
      <c r="O375" s="148"/>
      <c r="S375" s="277"/>
      <c r="T375" s="68"/>
      <c r="V375" s="279"/>
      <c r="X375" s="277"/>
      <c r="Y375" s="453"/>
      <c r="Z375" s="280"/>
      <c r="AA375" s="277"/>
      <c r="AB375" s="277"/>
      <c r="AC375" s="277"/>
      <c r="AD375" s="110"/>
      <c r="AE375" s="147"/>
      <c r="AF375" s="147"/>
      <c r="AG375" s="281"/>
      <c r="AH375" s="111"/>
      <c r="AI375" s="111"/>
    </row>
    <row r="376" spans="2:35">
      <c r="B376" s="273"/>
      <c r="C376" s="110"/>
      <c r="E376" s="220"/>
      <c r="L376" s="277"/>
      <c r="N376" s="147"/>
      <c r="O376" s="148"/>
      <c r="S376" s="277"/>
      <c r="T376" s="68"/>
      <c r="V376" s="279"/>
      <c r="X376" s="277"/>
      <c r="Y376" s="453"/>
      <c r="Z376" s="280"/>
      <c r="AA376" s="277"/>
      <c r="AB376" s="277"/>
      <c r="AC376" s="277"/>
      <c r="AD376" s="110"/>
      <c r="AE376" s="147"/>
      <c r="AF376" s="147"/>
      <c r="AG376" s="281"/>
      <c r="AH376" s="111"/>
      <c r="AI376" s="111"/>
    </row>
    <row r="377" spans="2:35">
      <c r="B377" s="273"/>
      <c r="C377" s="110"/>
      <c r="E377" s="220"/>
      <c r="L377" s="277"/>
      <c r="N377" s="147"/>
      <c r="O377" s="148"/>
      <c r="S377" s="277"/>
      <c r="T377" s="68"/>
      <c r="V377" s="279"/>
      <c r="X377" s="277"/>
      <c r="Y377" s="453"/>
      <c r="Z377" s="280"/>
      <c r="AA377" s="277"/>
      <c r="AB377" s="277"/>
      <c r="AC377" s="277"/>
      <c r="AD377" s="110"/>
      <c r="AE377" s="147"/>
      <c r="AF377" s="147"/>
      <c r="AG377" s="281"/>
      <c r="AH377" s="111"/>
      <c r="AI377" s="111"/>
    </row>
    <row r="378" spans="2:35">
      <c r="B378" s="273"/>
      <c r="C378" s="110"/>
      <c r="E378" s="220"/>
      <c r="L378" s="277"/>
      <c r="N378" s="147"/>
      <c r="O378" s="148"/>
      <c r="S378" s="277"/>
      <c r="T378" s="68"/>
      <c r="V378" s="279"/>
      <c r="X378" s="277"/>
      <c r="Y378" s="453"/>
      <c r="Z378" s="280"/>
      <c r="AA378" s="277"/>
      <c r="AB378" s="277"/>
      <c r="AC378" s="277"/>
      <c r="AD378" s="110"/>
      <c r="AE378" s="147"/>
      <c r="AF378" s="147"/>
      <c r="AG378" s="281"/>
      <c r="AH378" s="111"/>
      <c r="AI378" s="111"/>
    </row>
    <row r="379" spans="2:35">
      <c r="B379" s="273"/>
      <c r="C379" s="110"/>
      <c r="E379" s="220"/>
      <c r="L379" s="277"/>
      <c r="N379" s="147"/>
      <c r="O379" s="148"/>
      <c r="S379" s="277"/>
      <c r="T379" s="68"/>
      <c r="V379" s="279"/>
      <c r="X379" s="277"/>
      <c r="Y379" s="453"/>
      <c r="Z379" s="280"/>
      <c r="AA379" s="277"/>
      <c r="AB379" s="277"/>
      <c r="AC379" s="277"/>
      <c r="AD379" s="110"/>
      <c r="AE379" s="147"/>
      <c r="AF379" s="147"/>
      <c r="AG379" s="281"/>
      <c r="AH379" s="111"/>
      <c r="AI379" s="111"/>
    </row>
    <row r="380" spans="2:35">
      <c r="B380" s="273"/>
      <c r="C380" s="110"/>
      <c r="E380" s="220"/>
      <c r="L380" s="277"/>
      <c r="N380" s="147"/>
      <c r="O380" s="148"/>
      <c r="S380" s="277"/>
      <c r="T380" s="68"/>
      <c r="V380" s="279"/>
      <c r="X380" s="277"/>
      <c r="Y380" s="453"/>
      <c r="Z380" s="280"/>
      <c r="AA380" s="277"/>
      <c r="AB380" s="277"/>
      <c r="AC380" s="277"/>
      <c r="AD380" s="110"/>
      <c r="AE380" s="147"/>
      <c r="AF380" s="147"/>
      <c r="AG380" s="281"/>
      <c r="AH380" s="111"/>
      <c r="AI380" s="111"/>
    </row>
    <row r="381" spans="2:35">
      <c r="B381" s="273"/>
      <c r="C381" s="110"/>
      <c r="E381" s="220"/>
      <c r="L381" s="277"/>
      <c r="N381" s="147"/>
      <c r="O381" s="148"/>
      <c r="S381" s="277"/>
      <c r="T381" s="68"/>
      <c r="V381" s="279"/>
      <c r="X381" s="277"/>
      <c r="Y381" s="453"/>
      <c r="Z381" s="280"/>
      <c r="AA381" s="277"/>
      <c r="AB381" s="277"/>
      <c r="AC381" s="277"/>
      <c r="AD381" s="110"/>
      <c r="AE381" s="147"/>
      <c r="AF381" s="147"/>
      <c r="AG381" s="281"/>
      <c r="AH381" s="111"/>
      <c r="AI381" s="111"/>
    </row>
    <row r="382" spans="2:35">
      <c r="B382" s="273"/>
      <c r="C382" s="110"/>
      <c r="E382" s="220"/>
      <c r="L382" s="277"/>
      <c r="N382" s="147"/>
      <c r="O382" s="148"/>
      <c r="S382" s="277"/>
      <c r="T382" s="68"/>
      <c r="V382" s="279"/>
      <c r="X382" s="277"/>
      <c r="Y382" s="453"/>
      <c r="Z382" s="280"/>
      <c r="AA382" s="277"/>
      <c r="AB382" s="277"/>
      <c r="AC382" s="277"/>
      <c r="AD382" s="110"/>
      <c r="AE382" s="147"/>
      <c r="AF382" s="147"/>
      <c r="AG382" s="281"/>
      <c r="AH382" s="111"/>
      <c r="AI382" s="111"/>
    </row>
    <row r="383" spans="2:35">
      <c r="B383" s="273"/>
      <c r="C383" s="110"/>
      <c r="E383" s="220"/>
      <c r="L383" s="277"/>
      <c r="N383" s="147"/>
      <c r="O383" s="148"/>
      <c r="S383" s="277"/>
      <c r="T383" s="68"/>
      <c r="V383" s="279"/>
      <c r="X383" s="277"/>
      <c r="Y383" s="453"/>
      <c r="Z383" s="280"/>
      <c r="AA383" s="277"/>
      <c r="AB383" s="277"/>
      <c r="AC383" s="277"/>
      <c r="AD383" s="110"/>
      <c r="AE383" s="147"/>
      <c r="AF383" s="147"/>
      <c r="AG383" s="281"/>
      <c r="AH383" s="111"/>
      <c r="AI383" s="111"/>
    </row>
    <row r="384" spans="2:35">
      <c r="B384" s="273"/>
      <c r="C384" s="110"/>
      <c r="E384" s="220"/>
      <c r="L384" s="277"/>
      <c r="N384" s="147"/>
      <c r="O384" s="148"/>
      <c r="S384" s="277"/>
      <c r="T384" s="68"/>
      <c r="V384" s="279"/>
      <c r="X384" s="277"/>
      <c r="Y384" s="453"/>
      <c r="Z384" s="280"/>
      <c r="AA384" s="277"/>
      <c r="AB384" s="277"/>
      <c r="AC384" s="277"/>
      <c r="AD384" s="110"/>
      <c r="AE384" s="147"/>
      <c r="AF384" s="147"/>
      <c r="AG384" s="281"/>
      <c r="AH384" s="111"/>
      <c r="AI384" s="111"/>
    </row>
    <row r="385" spans="2:35">
      <c r="B385" s="273"/>
      <c r="C385" s="110"/>
      <c r="E385" s="220"/>
      <c r="L385" s="277"/>
      <c r="N385" s="147"/>
      <c r="O385" s="148"/>
      <c r="S385" s="277"/>
      <c r="T385" s="68"/>
      <c r="V385" s="279"/>
      <c r="X385" s="277"/>
      <c r="Y385" s="453"/>
      <c r="Z385" s="280"/>
      <c r="AA385" s="277"/>
      <c r="AB385" s="277"/>
      <c r="AC385" s="277"/>
      <c r="AD385" s="110"/>
      <c r="AE385" s="147"/>
      <c r="AF385" s="147"/>
      <c r="AG385" s="281"/>
      <c r="AH385" s="111"/>
      <c r="AI385" s="111"/>
    </row>
    <row r="386" spans="2:35">
      <c r="B386" s="273"/>
      <c r="C386" s="110"/>
      <c r="E386" s="220"/>
      <c r="L386" s="277"/>
      <c r="N386" s="147"/>
      <c r="O386" s="148"/>
      <c r="S386" s="277"/>
      <c r="T386" s="68"/>
      <c r="V386" s="279"/>
      <c r="X386" s="277"/>
      <c r="Y386" s="453"/>
      <c r="Z386" s="280"/>
      <c r="AA386" s="277"/>
      <c r="AB386" s="277"/>
      <c r="AC386" s="277"/>
      <c r="AD386" s="110"/>
      <c r="AE386" s="147"/>
      <c r="AF386" s="147"/>
      <c r="AG386" s="281"/>
      <c r="AH386" s="111"/>
      <c r="AI386" s="111"/>
    </row>
    <row r="387" spans="2:35">
      <c r="B387" s="273"/>
      <c r="C387" s="110"/>
      <c r="E387" s="220"/>
      <c r="L387" s="277"/>
      <c r="N387" s="147"/>
      <c r="O387" s="148"/>
      <c r="S387" s="277"/>
      <c r="T387" s="68"/>
      <c r="V387" s="279"/>
      <c r="X387" s="277"/>
      <c r="Y387" s="453"/>
      <c r="Z387" s="280"/>
      <c r="AA387" s="277"/>
      <c r="AB387" s="277"/>
      <c r="AC387" s="277"/>
      <c r="AD387" s="110"/>
      <c r="AE387" s="147"/>
      <c r="AF387" s="147"/>
      <c r="AG387" s="281"/>
      <c r="AH387" s="111"/>
      <c r="AI387" s="111"/>
    </row>
    <row r="388" spans="2:35">
      <c r="B388" s="273"/>
      <c r="C388" s="110"/>
      <c r="E388" s="220"/>
      <c r="L388" s="277"/>
      <c r="N388" s="147"/>
      <c r="O388" s="148"/>
      <c r="S388" s="277"/>
      <c r="T388" s="68"/>
      <c r="V388" s="279"/>
      <c r="X388" s="277"/>
      <c r="Y388" s="453"/>
      <c r="Z388" s="280"/>
      <c r="AA388" s="277"/>
      <c r="AB388" s="277"/>
      <c r="AC388" s="277"/>
      <c r="AD388" s="110"/>
      <c r="AE388" s="147"/>
      <c r="AF388" s="147"/>
      <c r="AG388" s="281"/>
      <c r="AH388" s="111"/>
      <c r="AI388" s="111"/>
    </row>
    <row r="389" spans="2:35">
      <c r="B389" s="273"/>
      <c r="C389" s="110"/>
      <c r="E389" s="220"/>
      <c r="L389" s="277"/>
      <c r="N389" s="147"/>
      <c r="O389" s="148"/>
      <c r="S389" s="277"/>
      <c r="T389" s="68"/>
      <c r="V389" s="279"/>
      <c r="X389" s="277"/>
      <c r="Y389" s="453"/>
      <c r="Z389" s="280"/>
      <c r="AA389" s="277"/>
      <c r="AB389" s="277"/>
      <c r="AC389" s="277"/>
      <c r="AD389" s="110"/>
      <c r="AE389" s="147"/>
      <c r="AF389" s="147"/>
      <c r="AG389" s="281"/>
      <c r="AH389" s="111"/>
      <c r="AI389" s="111"/>
    </row>
    <row r="390" spans="2:35">
      <c r="B390" s="273"/>
      <c r="C390" s="110"/>
      <c r="E390" s="220"/>
      <c r="L390" s="277"/>
      <c r="N390" s="147"/>
      <c r="O390" s="148"/>
      <c r="S390" s="277"/>
      <c r="T390" s="68"/>
      <c r="V390" s="279"/>
      <c r="X390" s="277"/>
      <c r="Y390" s="453"/>
      <c r="Z390" s="280"/>
      <c r="AA390" s="277"/>
      <c r="AB390" s="277"/>
      <c r="AC390" s="277"/>
      <c r="AD390" s="110"/>
      <c r="AE390" s="147"/>
      <c r="AF390" s="147"/>
      <c r="AG390" s="281"/>
      <c r="AH390" s="111"/>
      <c r="AI390" s="111"/>
    </row>
    <row r="391" spans="2:35">
      <c r="B391" s="273"/>
      <c r="C391" s="110"/>
      <c r="E391" s="220"/>
      <c r="L391" s="277"/>
      <c r="N391" s="147"/>
      <c r="O391" s="148"/>
      <c r="S391" s="277"/>
      <c r="T391" s="68"/>
      <c r="V391" s="279"/>
      <c r="X391" s="277"/>
      <c r="Y391" s="453"/>
      <c r="Z391" s="280"/>
      <c r="AA391" s="277"/>
      <c r="AB391" s="277"/>
      <c r="AC391" s="277"/>
      <c r="AD391" s="110"/>
      <c r="AE391" s="147"/>
      <c r="AF391" s="147"/>
      <c r="AG391" s="281"/>
      <c r="AH391" s="111"/>
      <c r="AI391" s="111"/>
    </row>
    <row r="392" spans="2:35">
      <c r="B392" s="273"/>
      <c r="C392" s="110"/>
      <c r="E392" s="220"/>
      <c r="L392" s="277"/>
      <c r="N392" s="147"/>
      <c r="O392" s="148"/>
      <c r="S392" s="277"/>
      <c r="T392" s="68"/>
      <c r="V392" s="279"/>
      <c r="X392" s="277"/>
      <c r="Y392" s="453"/>
      <c r="Z392" s="280"/>
      <c r="AA392" s="277"/>
      <c r="AB392" s="277"/>
      <c r="AC392" s="277"/>
      <c r="AD392" s="110"/>
      <c r="AE392" s="147"/>
      <c r="AF392" s="147"/>
      <c r="AG392" s="281"/>
      <c r="AH392" s="111"/>
      <c r="AI392" s="111"/>
    </row>
    <row r="393" spans="2:35">
      <c r="B393" s="273"/>
      <c r="C393" s="110"/>
      <c r="E393" s="220"/>
      <c r="L393" s="277"/>
      <c r="N393" s="147"/>
      <c r="O393" s="148"/>
      <c r="S393" s="277"/>
      <c r="T393" s="68"/>
      <c r="V393" s="279"/>
      <c r="X393" s="277"/>
      <c r="Y393" s="453"/>
      <c r="Z393" s="280"/>
      <c r="AA393" s="277"/>
      <c r="AB393" s="277"/>
      <c r="AC393" s="277"/>
      <c r="AD393" s="110"/>
      <c r="AE393" s="147"/>
      <c r="AF393" s="147"/>
      <c r="AG393" s="281"/>
      <c r="AH393" s="111"/>
      <c r="AI393" s="111"/>
    </row>
    <row r="394" spans="2:35">
      <c r="B394" s="273"/>
      <c r="C394" s="110"/>
      <c r="E394" s="220"/>
      <c r="L394" s="277"/>
      <c r="N394" s="147"/>
      <c r="O394" s="148"/>
      <c r="S394" s="277"/>
      <c r="T394" s="68"/>
      <c r="V394" s="279"/>
      <c r="X394" s="277"/>
      <c r="Y394" s="453"/>
      <c r="Z394" s="280"/>
      <c r="AA394" s="277"/>
      <c r="AB394" s="277"/>
      <c r="AC394" s="277"/>
      <c r="AD394" s="110"/>
      <c r="AE394" s="147"/>
      <c r="AF394" s="147"/>
      <c r="AG394" s="281"/>
      <c r="AH394" s="111"/>
      <c r="AI394" s="111"/>
    </row>
    <row r="395" spans="2:35">
      <c r="B395" s="273"/>
      <c r="C395" s="110"/>
      <c r="E395" s="220"/>
      <c r="L395" s="277"/>
      <c r="N395" s="147"/>
      <c r="O395" s="148"/>
      <c r="S395" s="277"/>
      <c r="T395" s="68"/>
      <c r="V395" s="279"/>
      <c r="X395" s="277"/>
      <c r="Y395" s="453"/>
      <c r="Z395" s="280"/>
      <c r="AA395" s="277"/>
      <c r="AB395" s="277"/>
      <c r="AC395" s="277"/>
      <c r="AD395" s="110"/>
      <c r="AE395" s="147"/>
      <c r="AF395" s="147"/>
      <c r="AG395" s="281"/>
      <c r="AH395" s="111"/>
      <c r="AI395" s="111"/>
    </row>
    <row r="396" spans="2:35">
      <c r="B396" s="273"/>
      <c r="C396" s="110"/>
      <c r="E396" s="220"/>
      <c r="L396" s="277"/>
      <c r="N396" s="147"/>
      <c r="O396" s="148"/>
      <c r="S396" s="277"/>
      <c r="T396" s="68"/>
      <c r="V396" s="279"/>
      <c r="X396" s="277"/>
      <c r="Y396" s="453"/>
      <c r="Z396" s="280"/>
      <c r="AA396" s="277"/>
      <c r="AB396" s="277"/>
      <c r="AC396" s="277"/>
      <c r="AD396" s="110"/>
      <c r="AE396" s="147"/>
      <c r="AF396" s="147"/>
      <c r="AG396" s="281"/>
      <c r="AH396" s="111"/>
      <c r="AI396" s="111"/>
    </row>
    <row r="397" spans="2:35">
      <c r="B397" s="273"/>
      <c r="C397" s="110"/>
      <c r="E397" s="220"/>
      <c r="L397" s="277"/>
      <c r="N397" s="147"/>
      <c r="O397" s="148"/>
      <c r="S397" s="277"/>
      <c r="T397" s="68"/>
      <c r="V397" s="279"/>
      <c r="X397" s="277"/>
      <c r="Y397" s="453"/>
      <c r="Z397" s="280"/>
      <c r="AA397" s="277"/>
      <c r="AB397" s="277"/>
      <c r="AC397" s="277"/>
      <c r="AD397" s="110"/>
      <c r="AE397" s="147"/>
      <c r="AF397" s="147"/>
      <c r="AG397" s="281"/>
      <c r="AH397" s="111"/>
      <c r="AI397" s="111"/>
    </row>
    <row r="398" spans="2:35">
      <c r="B398" s="273"/>
      <c r="C398" s="110"/>
      <c r="E398" s="220"/>
      <c r="L398" s="277"/>
      <c r="N398" s="147"/>
      <c r="O398" s="148"/>
      <c r="S398" s="277"/>
      <c r="T398" s="68"/>
      <c r="V398" s="279"/>
      <c r="X398" s="277"/>
      <c r="Y398" s="453"/>
      <c r="Z398" s="280"/>
      <c r="AA398" s="277"/>
      <c r="AB398" s="277"/>
      <c r="AC398" s="277"/>
      <c r="AD398" s="110"/>
      <c r="AE398" s="147"/>
      <c r="AF398" s="147"/>
      <c r="AG398" s="281"/>
      <c r="AH398" s="111"/>
      <c r="AI398" s="111"/>
    </row>
    <row r="399" spans="2:35">
      <c r="B399" s="273"/>
      <c r="C399" s="110"/>
      <c r="E399" s="220"/>
      <c r="L399" s="277"/>
      <c r="N399" s="147"/>
      <c r="O399" s="148"/>
      <c r="S399" s="277"/>
      <c r="T399" s="68"/>
      <c r="V399" s="279"/>
      <c r="X399" s="277"/>
      <c r="Y399" s="453"/>
      <c r="Z399" s="280"/>
      <c r="AA399" s="277"/>
      <c r="AB399" s="277"/>
      <c r="AC399" s="277"/>
      <c r="AD399" s="110"/>
      <c r="AE399" s="147"/>
      <c r="AF399" s="147"/>
      <c r="AG399" s="281"/>
      <c r="AH399" s="111"/>
      <c r="AI399" s="111"/>
    </row>
    <row r="400" spans="2:35">
      <c r="B400" s="273"/>
      <c r="C400" s="110"/>
      <c r="E400" s="220"/>
      <c r="L400" s="277"/>
      <c r="N400" s="147"/>
      <c r="O400" s="148"/>
      <c r="S400" s="277"/>
      <c r="T400" s="68"/>
      <c r="V400" s="279"/>
      <c r="X400" s="277"/>
      <c r="Y400" s="453"/>
      <c r="Z400" s="280"/>
      <c r="AA400" s="277"/>
      <c r="AB400" s="277"/>
      <c r="AC400" s="277"/>
      <c r="AD400" s="110"/>
      <c r="AE400" s="147"/>
      <c r="AF400" s="147"/>
      <c r="AG400" s="281"/>
      <c r="AH400" s="111"/>
      <c r="AI400" s="111"/>
    </row>
    <row r="401" spans="2:35">
      <c r="B401" s="273"/>
      <c r="C401" s="110"/>
      <c r="E401" s="220"/>
      <c r="L401" s="277"/>
      <c r="N401" s="147"/>
      <c r="O401" s="148"/>
      <c r="S401" s="277"/>
      <c r="T401" s="68"/>
      <c r="V401" s="279"/>
      <c r="X401" s="277"/>
      <c r="Y401" s="453"/>
      <c r="Z401" s="280"/>
      <c r="AA401" s="277"/>
      <c r="AB401" s="277"/>
      <c r="AC401" s="277"/>
      <c r="AD401" s="110"/>
      <c r="AE401" s="147"/>
      <c r="AF401" s="147"/>
      <c r="AG401" s="281"/>
      <c r="AH401" s="111"/>
      <c r="AI401" s="111"/>
    </row>
    <row r="402" spans="2:35">
      <c r="B402" s="273"/>
      <c r="C402" s="110"/>
      <c r="E402" s="220"/>
      <c r="L402" s="277"/>
      <c r="N402" s="147"/>
      <c r="O402" s="148"/>
      <c r="S402" s="277"/>
      <c r="T402" s="68"/>
      <c r="V402" s="279"/>
      <c r="X402" s="277"/>
      <c r="Y402" s="453"/>
      <c r="Z402" s="280"/>
      <c r="AA402" s="277"/>
      <c r="AB402" s="277"/>
      <c r="AC402" s="277"/>
      <c r="AD402" s="110"/>
      <c r="AE402" s="147"/>
      <c r="AF402" s="147"/>
      <c r="AG402" s="281"/>
      <c r="AH402" s="111"/>
      <c r="AI402" s="111"/>
    </row>
    <row r="403" spans="2:35">
      <c r="B403" s="273"/>
      <c r="C403" s="110"/>
      <c r="E403" s="220"/>
      <c r="L403" s="277"/>
      <c r="N403" s="147"/>
      <c r="O403" s="148"/>
      <c r="S403" s="277"/>
      <c r="T403" s="68"/>
      <c r="V403" s="279"/>
      <c r="X403" s="277"/>
      <c r="Y403" s="453"/>
      <c r="Z403" s="280"/>
      <c r="AA403" s="277"/>
      <c r="AB403" s="277"/>
      <c r="AC403" s="277"/>
      <c r="AD403" s="110"/>
      <c r="AE403" s="147"/>
      <c r="AF403" s="147"/>
      <c r="AG403" s="281"/>
      <c r="AH403" s="111"/>
      <c r="AI403" s="111"/>
    </row>
    <row r="404" spans="2:35">
      <c r="B404" s="273"/>
      <c r="C404" s="110"/>
      <c r="E404" s="220"/>
      <c r="L404" s="277"/>
      <c r="N404" s="147"/>
      <c r="O404" s="148"/>
      <c r="S404" s="277"/>
      <c r="T404" s="68"/>
      <c r="V404" s="279"/>
      <c r="X404" s="277"/>
      <c r="Y404" s="453"/>
      <c r="Z404" s="280"/>
      <c r="AA404" s="277"/>
      <c r="AB404" s="277"/>
      <c r="AC404" s="277"/>
      <c r="AD404" s="110"/>
      <c r="AE404" s="147"/>
      <c r="AF404" s="147"/>
      <c r="AG404" s="281"/>
      <c r="AH404" s="111"/>
      <c r="AI404" s="111"/>
    </row>
    <row r="405" spans="2:35">
      <c r="B405" s="273"/>
      <c r="C405" s="110"/>
      <c r="E405" s="220"/>
      <c r="L405" s="277"/>
      <c r="N405" s="147"/>
      <c r="O405" s="148"/>
      <c r="S405" s="277"/>
      <c r="T405" s="68"/>
      <c r="V405" s="279"/>
      <c r="X405" s="277"/>
      <c r="Y405" s="453"/>
      <c r="Z405" s="280"/>
      <c r="AA405" s="277"/>
      <c r="AB405" s="277"/>
      <c r="AC405" s="277"/>
      <c r="AD405" s="110"/>
      <c r="AE405" s="147"/>
      <c r="AF405" s="147"/>
      <c r="AG405" s="281"/>
      <c r="AH405" s="111"/>
      <c r="AI405" s="111"/>
    </row>
    <row r="406" spans="2:35">
      <c r="B406" s="273"/>
      <c r="C406" s="110"/>
      <c r="E406" s="220"/>
      <c r="L406" s="277"/>
      <c r="N406" s="147"/>
      <c r="O406" s="148"/>
      <c r="S406" s="277"/>
      <c r="T406" s="68"/>
      <c r="V406" s="279"/>
      <c r="X406" s="277"/>
      <c r="Y406" s="453"/>
      <c r="Z406" s="280"/>
      <c r="AA406" s="277"/>
      <c r="AB406" s="277"/>
      <c r="AC406" s="277"/>
      <c r="AD406" s="110"/>
      <c r="AE406" s="147"/>
      <c r="AF406" s="147"/>
      <c r="AG406" s="281"/>
      <c r="AH406" s="111"/>
      <c r="AI406" s="111"/>
    </row>
    <row r="407" spans="2:35">
      <c r="B407" s="273"/>
      <c r="C407" s="110"/>
      <c r="E407" s="220"/>
      <c r="L407" s="277"/>
      <c r="N407" s="147"/>
      <c r="O407" s="148"/>
      <c r="S407" s="277"/>
      <c r="T407" s="68"/>
      <c r="V407" s="279"/>
      <c r="X407" s="277"/>
      <c r="Y407" s="453"/>
      <c r="Z407" s="280"/>
      <c r="AA407" s="277"/>
      <c r="AB407" s="277"/>
      <c r="AC407" s="277"/>
      <c r="AD407" s="110"/>
      <c r="AE407" s="147"/>
      <c r="AF407" s="147"/>
      <c r="AG407" s="281"/>
      <c r="AH407" s="111"/>
      <c r="AI407" s="111"/>
    </row>
    <row r="408" spans="2:35">
      <c r="B408" s="273"/>
      <c r="C408" s="110"/>
      <c r="E408" s="220"/>
      <c r="L408" s="277"/>
      <c r="N408" s="147"/>
      <c r="O408" s="148"/>
      <c r="S408" s="277"/>
      <c r="T408" s="68"/>
      <c r="V408" s="279"/>
      <c r="X408" s="277"/>
      <c r="Y408" s="453"/>
      <c r="Z408" s="280"/>
      <c r="AA408" s="277"/>
      <c r="AB408" s="277"/>
      <c r="AC408" s="277"/>
      <c r="AD408" s="110"/>
      <c r="AE408" s="147"/>
      <c r="AF408" s="147"/>
      <c r="AG408" s="281"/>
      <c r="AH408" s="111"/>
      <c r="AI408" s="111"/>
    </row>
    <row r="409" spans="2:35">
      <c r="B409" s="273"/>
      <c r="C409" s="110"/>
      <c r="E409" s="220"/>
      <c r="L409" s="277"/>
      <c r="N409" s="147"/>
      <c r="O409" s="148"/>
      <c r="S409" s="277"/>
      <c r="T409" s="68"/>
      <c r="V409" s="279"/>
      <c r="X409" s="277"/>
      <c r="Y409" s="453"/>
      <c r="Z409" s="280"/>
      <c r="AA409" s="277"/>
      <c r="AB409" s="277"/>
      <c r="AC409" s="277"/>
      <c r="AD409" s="110"/>
      <c r="AE409" s="147"/>
      <c r="AF409" s="147"/>
      <c r="AG409" s="281"/>
      <c r="AH409" s="111"/>
      <c r="AI409" s="111"/>
    </row>
    <row r="410" spans="2:35">
      <c r="B410" s="273"/>
      <c r="C410" s="110"/>
      <c r="E410" s="220"/>
      <c r="L410" s="277"/>
      <c r="N410" s="147"/>
      <c r="O410" s="148"/>
      <c r="S410" s="277"/>
      <c r="T410" s="68"/>
      <c r="V410" s="279"/>
      <c r="X410" s="277"/>
      <c r="Y410" s="453"/>
      <c r="Z410" s="280"/>
      <c r="AA410" s="277"/>
      <c r="AB410" s="277"/>
      <c r="AC410" s="277"/>
      <c r="AD410" s="110"/>
      <c r="AE410" s="147"/>
      <c r="AF410" s="147"/>
      <c r="AG410" s="281"/>
      <c r="AH410" s="111"/>
      <c r="AI410" s="111"/>
    </row>
    <row r="411" spans="2:35">
      <c r="B411" s="273"/>
      <c r="C411" s="110"/>
      <c r="E411" s="220"/>
      <c r="L411" s="277"/>
      <c r="N411" s="147"/>
      <c r="O411" s="148"/>
      <c r="S411" s="277"/>
      <c r="T411" s="68"/>
      <c r="V411" s="279"/>
      <c r="X411" s="277"/>
      <c r="Y411" s="453"/>
      <c r="Z411" s="280"/>
      <c r="AA411" s="277"/>
      <c r="AB411" s="277"/>
      <c r="AC411" s="277"/>
      <c r="AD411" s="110"/>
      <c r="AE411" s="147"/>
      <c r="AF411" s="147"/>
      <c r="AG411" s="281"/>
      <c r="AH411" s="111"/>
      <c r="AI411" s="111"/>
    </row>
    <row r="412" spans="2:35">
      <c r="B412" s="273"/>
      <c r="C412" s="110"/>
      <c r="E412" s="220"/>
      <c r="L412" s="277"/>
      <c r="N412" s="147"/>
      <c r="O412" s="148"/>
      <c r="S412" s="277"/>
      <c r="T412" s="68"/>
      <c r="V412" s="279"/>
      <c r="X412" s="277"/>
      <c r="Y412" s="453"/>
      <c r="Z412" s="280"/>
      <c r="AA412" s="277"/>
      <c r="AB412" s="277"/>
      <c r="AC412" s="277"/>
      <c r="AD412" s="110"/>
      <c r="AE412" s="147"/>
      <c r="AF412" s="147"/>
      <c r="AG412" s="281"/>
      <c r="AH412" s="111"/>
      <c r="AI412" s="111"/>
    </row>
    <row r="413" spans="2:35">
      <c r="B413" s="273"/>
      <c r="C413" s="110"/>
      <c r="E413" s="220"/>
      <c r="L413" s="277"/>
      <c r="N413" s="147"/>
      <c r="O413" s="148"/>
      <c r="S413" s="277"/>
      <c r="T413" s="68"/>
      <c r="V413" s="279"/>
      <c r="X413" s="277"/>
      <c r="Y413" s="453"/>
      <c r="Z413" s="280"/>
      <c r="AA413" s="277"/>
      <c r="AB413" s="277"/>
      <c r="AC413" s="277"/>
      <c r="AD413" s="110"/>
      <c r="AE413" s="147"/>
      <c r="AF413" s="147"/>
      <c r="AG413" s="281"/>
      <c r="AH413" s="111"/>
      <c r="AI413" s="111"/>
    </row>
    <row r="414" spans="2:35">
      <c r="B414" s="273"/>
      <c r="C414" s="110"/>
      <c r="E414" s="220"/>
      <c r="L414" s="277"/>
      <c r="N414" s="147"/>
      <c r="O414" s="148"/>
      <c r="S414" s="277"/>
      <c r="T414" s="68"/>
      <c r="V414" s="279"/>
      <c r="X414" s="277"/>
      <c r="Y414" s="453"/>
      <c r="Z414" s="280"/>
      <c r="AA414" s="277"/>
      <c r="AB414" s="277"/>
      <c r="AC414" s="277"/>
      <c r="AD414" s="110"/>
      <c r="AE414" s="147"/>
      <c r="AF414" s="147"/>
      <c r="AG414" s="281"/>
      <c r="AH414" s="111"/>
      <c r="AI414" s="111"/>
    </row>
    <row r="415" spans="2:35">
      <c r="B415" s="273"/>
      <c r="C415" s="110"/>
      <c r="E415" s="220"/>
      <c r="L415" s="277"/>
      <c r="N415" s="147"/>
      <c r="O415" s="148"/>
      <c r="S415" s="277"/>
      <c r="T415" s="68"/>
      <c r="V415" s="279"/>
      <c r="X415" s="277"/>
      <c r="Y415" s="453"/>
      <c r="Z415" s="280"/>
      <c r="AA415" s="277"/>
      <c r="AB415" s="277"/>
      <c r="AC415" s="277"/>
      <c r="AD415" s="110"/>
      <c r="AE415" s="147"/>
      <c r="AF415" s="147"/>
      <c r="AG415" s="281"/>
      <c r="AH415" s="111"/>
      <c r="AI415" s="111"/>
    </row>
    <row r="416" spans="2:35">
      <c r="B416" s="273"/>
      <c r="C416" s="110"/>
      <c r="E416" s="220"/>
      <c r="L416" s="277"/>
      <c r="N416" s="147"/>
      <c r="O416" s="148"/>
      <c r="S416" s="277"/>
      <c r="T416" s="68"/>
      <c r="V416" s="279"/>
      <c r="X416" s="277"/>
      <c r="Y416" s="453"/>
      <c r="Z416" s="280"/>
      <c r="AA416" s="277"/>
      <c r="AB416" s="277"/>
      <c r="AC416" s="277"/>
      <c r="AD416" s="110"/>
      <c r="AE416" s="147"/>
      <c r="AF416" s="147"/>
      <c r="AG416" s="281"/>
      <c r="AH416" s="111"/>
      <c r="AI416" s="111"/>
    </row>
    <row r="417" spans="2:35">
      <c r="B417" s="273"/>
      <c r="C417" s="110"/>
      <c r="E417" s="220"/>
      <c r="L417" s="277"/>
      <c r="N417" s="147"/>
      <c r="O417" s="148"/>
      <c r="S417" s="277"/>
      <c r="T417" s="68"/>
      <c r="V417" s="279"/>
      <c r="X417" s="277"/>
      <c r="Y417" s="453"/>
      <c r="Z417" s="280"/>
      <c r="AA417" s="277"/>
      <c r="AB417" s="277"/>
      <c r="AC417" s="277"/>
      <c r="AD417" s="110"/>
      <c r="AE417" s="147"/>
      <c r="AF417" s="147"/>
      <c r="AG417" s="281"/>
      <c r="AH417" s="111"/>
      <c r="AI417" s="111"/>
    </row>
    <row r="418" spans="2:35">
      <c r="B418" s="273"/>
      <c r="C418" s="110"/>
      <c r="E418" s="220"/>
      <c r="L418" s="277"/>
      <c r="N418" s="147"/>
      <c r="O418" s="148"/>
      <c r="S418" s="277"/>
      <c r="T418" s="68"/>
      <c r="V418" s="279"/>
      <c r="X418" s="277"/>
      <c r="Y418" s="453"/>
      <c r="Z418" s="280"/>
      <c r="AA418" s="277"/>
      <c r="AB418" s="277"/>
      <c r="AC418" s="277"/>
      <c r="AD418" s="110"/>
      <c r="AE418" s="147"/>
      <c r="AF418" s="147"/>
      <c r="AG418" s="281"/>
      <c r="AH418" s="111"/>
      <c r="AI418" s="111"/>
    </row>
    <row r="419" spans="2:35">
      <c r="B419" s="273"/>
      <c r="C419" s="110"/>
      <c r="E419" s="220"/>
      <c r="L419" s="277"/>
      <c r="N419" s="147"/>
      <c r="O419" s="148"/>
      <c r="S419" s="277"/>
      <c r="T419" s="68"/>
      <c r="V419" s="279"/>
      <c r="X419" s="277"/>
      <c r="Y419" s="453"/>
      <c r="Z419" s="280"/>
      <c r="AA419" s="277"/>
      <c r="AB419" s="277"/>
      <c r="AC419" s="277"/>
      <c r="AD419" s="110"/>
      <c r="AE419" s="147"/>
      <c r="AF419" s="147"/>
      <c r="AG419" s="281"/>
      <c r="AH419" s="111"/>
      <c r="AI419" s="111"/>
    </row>
    <row r="420" spans="2:35">
      <c r="B420" s="273"/>
      <c r="C420" s="110"/>
      <c r="E420" s="220"/>
      <c r="L420" s="277"/>
      <c r="N420" s="147"/>
      <c r="O420" s="148"/>
      <c r="S420" s="277"/>
      <c r="T420" s="68"/>
      <c r="V420" s="279"/>
      <c r="X420" s="277"/>
      <c r="Y420" s="453"/>
      <c r="Z420" s="280"/>
      <c r="AA420" s="277"/>
      <c r="AB420" s="277"/>
      <c r="AC420" s="277"/>
      <c r="AD420" s="110"/>
      <c r="AE420" s="147"/>
      <c r="AF420" s="147"/>
      <c r="AG420" s="281"/>
      <c r="AH420" s="111"/>
      <c r="AI420" s="111"/>
    </row>
    <row r="421" spans="2:35">
      <c r="B421" s="273"/>
      <c r="C421" s="110"/>
      <c r="E421" s="220"/>
      <c r="L421" s="277"/>
      <c r="N421" s="147"/>
      <c r="O421" s="148"/>
      <c r="S421" s="277"/>
      <c r="T421" s="68"/>
      <c r="V421" s="279"/>
      <c r="X421" s="277"/>
      <c r="Y421" s="453"/>
      <c r="Z421" s="280"/>
      <c r="AA421" s="277"/>
      <c r="AB421" s="277"/>
      <c r="AC421" s="277"/>
      <c r="AD421" s="110"/>
      <c r="AE421" s="147"/>
      <c r="AF421" s="147"/>
      <c r="AG421" s="281"/>
      <c r="AH421" s="111"/>
      <c r="AI421" s="111"/>
    </row>
    <row r="422" spans="2:35">
      <c r="B422" s="273"/>
      <c r="C422" s="110"/>
      <c r="E422" s="220"/>
      <c r="L422" s="277"/>
      <c r="N422" s="147"/>
      <c r="O422" s="148"/>
      <c r="S422" s="277"/>
      <c r="T422" s="68"/>
      <c r="V422" s="279"/>
      <c r="X422" s="277"/>
      <c r="Y422" s="453"/>
      <c r="Z422" s="280"/>
      <c r="AA422" s="277"/>
      <c r="AB422" s="277"/>
      <c r="AC422" s="277"/>
      <c r="AD422" s="110"/>
      <c r="AE422" s="147"/>
      <c r="AF422" s="147"/>
      <c r="AG422" s="281"/>
      <c r="AH422" s="111"/>
      <c r="AI422" s="111"/>
    </row>
    <row r="423" spans="2:35">
      <c r="B423" s="273"/>
      <c r="C423" s="110"/>
      <c r="E423" s="220"/>
      <c r="L423" s="277"/>
      <c r="N423" s="147"/>
      <c r="O423" s="148"/>
      <c r="S423" s="277"/>
      <c r="T423" s="68"/>
      <c r="V423" s="279"/>
      <c r="X423" s="277"/>
      <c r="Y423" s="453"/>
      <c r="Z423" s="280"/>
      <c r="AA423" s="277"/>
      <c r="AB423" s="277"/>
      <c r="AC423" s="277"/>
      <c r="AD423" s="110"/>
      <c r="AE423" s="147"/>
      <c r="AF423" s="147"/>
      <c r="AG423" s="281"/>
      <c r="AH423" s="111"/>
      <c r="AI423" s="111"/>
    </row>
    <row r="424" spans="2:35">
      <c r="B424" s="273"/>
      <c r="C424" s="110"/>
      <c r="E424" s="220"/>
      <c r="L424" s="277"/>
      <c r="N424" s="147"/>
      <c r="O424" s="148"/>
      <c r="S424" s="277"/>
      <c r="T424" s="68"/>
      <c r="V424" s="279"/>
      <c r="X424" s="277"/>
      <c r="Y424" s="453"/>
      <c r="Z424" s="280"/>
      <c r="AA424" s="277"/>
      <c r="AB424" s="277"/>
      <c r="AC424" s="277"/>
      <c r="AD424" s="110"/>
      <c r="AE424" s="147"/>
      <c r="AF424" s="147"/>
      <c r="AG424" s="281"/>
      <c r="AH424" s="111"/>
      <c r="AI424" s="111"/>
    </row>
    <row r="425" spans="2:35">
      <c r="B425" s="273"/>
      <c r="C425" s="110"/>
      <c r="E425" s="220"/>
      <c r="L425" s="277"/>
      <c r="N425" s="147"/>
      <c r="O425" s="148"/>
      <c r="S425" s="277"/>
      <c r="T425" s="68"/>
      <c r="V425" s="279"/>
      <c r="X425" s="277"/>
      <c r="Y425" s="453"/>
      <c r="Z425" s="280"/>
      <c r="AA425" s="277"/>
      <c r="AB425" s="277"/>
      <c r="AC425" s="277"/>
      <c r="AD425" s="110"/>
      <c r="AE425" s="147"/>
      <c r="AF425" s="147"/>
      <c r="AG425" s="281"/>
      <c r="AH425" s="111"/>
      <c r="AI425" s="111"/>
    </row>
    <row r="426" spans="2:35">
      <c r="B426" s="273"/>
      <c r="C426" s="110"/>
      <c r="E426" s="220"/>
      <c r="L426" s="277"/>
      <c r="N426" s="147"/>
      <c r="O426" s="148"/>
      <c r="S426" s="277"/>
      <c r="T426" s="68"/>
      <c r="V426" s="279"/>
      <c r="X426" s="277"/>
      <c r="Y426" s="453"/>
      <c r="Z426" s="280"/>
      <c r="AA426" s="277"/>
      <c r="AB426" s="277"/>
      <c r="AC426" s="277"/>
      <c r="AD426" s="110"/>
      <c r="AE426" s="147"/>
      <c r="AF426" s="147"/>
      <c r="AG426" s="281"/>
      <c r="AH426" s="111"/>
      <c r="AI426" s="111"/>
    </row>
    <row r="427" spans="2:35">
      <c r="B427" s="273"/>
      <c r="C427" s="110"/>
      <c r="E427" s="220"/>
      <c r="L427" s="277"/>
      <c r="N427" s="147"/>
      <c r="O427" s="148"/>
      <c r="S427" s="277"/>
      <c r="T427" s="68"/>
      <c r="V427" s="279"/>
      <c r="X427" s="277"/>
      <c r="Y427" s="453"/>
      <c r="Z427" s="280"/>
      <c r="AA427" s="277"/>
      <c r="AB427" s="277"/>
      <c r="AC427" s="277"/>
      <c r="AD427" s="110"/>
      <c r="AE427" s="147"/>
      <c r="AF427" s="147"/>
      <c r="AG427" s="281"/>
      <c r="AH427" s="111"/>
      <c r="AI427" s="111"/>
    </row>
    <row r="428" spans="2:35">
      <c r="B428" s="273"/>
      <c r="C428" s="110"/>
      <c r="E428" s="220"/>
      <c r="L428" s="277"/>
      <c r="N428" s="147"/>
      <c r="O428" s="148"/>
      <c r="S428" s="277"/>
      <c r="T428" s="68"/>
      <c r="V428" s="279"/>
      <c r="X428" s="277"/>
      <c r="Y428" s="453"/>
      <c r="Z428" s="280"/>
      <c r="AA428" s="277"/>
      <c r="AB428" s="277"/>
      <c r="AC428" s="277"/>
      <c r="AD428" s="110"/>
      <c r="AE428" s="147"/>
      <c r="AF428" s="147"/>
      <c r="AG428" s="281"/>
      <c r="AH428" s="111"/>
      <c r="AI428" s="111"/>
    </row>
    <row r="429" spans="2:35">
      <c r="B429" s="273"/>
      <c r="C429" s="110"/>
      <c r="E429" s="220"/>
      <c r="L429" s="277"/>
      <c r="N429" s="147"/>
      <c r="O429" s="148"/>
      <c r="S429" s="277"/>
      <c r="T429" s="68"/>
      <c r="V429" s="279"/>
      <c r="X429" s="277"/>
      <c r="Y429" s="453"/>
      <c r="Z429" s="280"/>
      <c r="AA429" s="277"/>
      <c r="AB429" s="277"/>
      <c r="AC429" s="277"/>
      <c r="AD429" s="110"/>
      <c r="AE429" s="147"/>
      <c r="AF429" s="147"/>
      <c r="AG429" s="281"/>
      <c r="AH429" s="111"/>
      <c r="AI429" s="111"/>
    </row>
    <row r="430" spans="2:35">
      <c r="B430" s="273"/>
      <c r="C430" s="110"/>
      <c r="E430" s="220"/>
      <c r="L430" s="277"/>
      <c r="N430" s="147"/>
      <c r="O430" s="148"/>
      <c r="S430" s="277"/>
      <c r="T430" s="68"/>
      <c r="V430" s="279"/>
      <c r="X430" s="277"/>
      <c r="Y430" s="453"/>
      <c r="Z430" s="280"/>
      <c r="AA430" s="277"/>
      <c r="AB430" s="277"/>
      <c r="AC430" s="277"/>
      <c r="AD430" s="110"/>
      <c r="AE430" s="147"/>
      <c r="AF430" s="147"/>
      <c r="AG430" s="281"/>
      <c r="AH430" s="111"/>
      <c r="AI430" s="111"/>
    </row>
    <row r="431" spans="2:35">
      <c r="B431" s="273"/>
      <c r="C431" s="110"/>
      <c r="E431" s="220"/>
      <c r="L431" s="277"/>
      <c r="N431" s="147"/>
      <c r="O431" s="148"/>
      <c r="S431" s="277"/>
      <c r="T431" s="68"/>
      <c r="V431" s="279"/>
      <c r="X431" s="277"/>
      <c r="Y431" s="453"/>
      <c r="Z431" s="280"/>
      <c r="AA431" s="277"/>
      <c r="AB431" s="277"/>
      <c r="AC431" s="277"/>
      <c r="AD431" s="110"/>
      <c r="AE431" s="147"/>
      <c r="AF431" s="147"/>
      <c r="AG431" s="281"/>
      <c r="AH431" s="111"/>
      <c r="AI431" s="111"/>
    </row>
    <row r="432" spans="2:35">
      <c r="B432" s="273"/>
      <c r="C432" s="110"/>
      <c r="E432" s="220"/>
      <c r="L432" s="277"/>
      <c r="N432" s="147"/>
      <c r="O432" s="148"/>
      <c r="S432" s="277"/>
      <c r="T432" s="68"/>
      <c r="V432" s="279"/>
      <c r="X432" s="277"/>
      <c r="Y432" s="453"/>
      <c r="Z432" s="280"/>
      <c r="AA432" s="277"/>
      <c r="AB432" s="277"/>
      <c r="AC432" s="277"/>
      <c r="AD432" s="110"/>
      <c r="AE432" s="147"/>
      <c r="AF432" s="147"/>
      <c r="AG432" s="281"/>
      <c r="AH432" s="111"/>
      <c r="AI432" s="111"/>
    </row>
    <row r="433" spans="2:35">
      <c r="B433" s="273"/>
      <c r="C433" s="110"/>
      <c r="E433" s="220"/>
      <c r="L433" s="277"/>
      <c r="N433" s="147"/>
      <c r="O433" s="148"/>
      <c r="S433" s="277"/>
      <c r="T433" s="68"/>
      <c r="V433" s="279"/>
      <c r="X433" s="277"/>
      <c r="Y433" s="453"/>
      <c r="Z433" s="280"/>
      <c r="AA433" s="277"/>
      <c r="AB433" s="277"/>
      <c r="AC433" s="277"/>
      <c r="AD433" s="110"/>
      <c r="AE433" s="147"/>
      <c r="AF433" s="147"/>
      <c r="AG433" s="281"/>
      <c r="AH433" s="111"/>
      <c r="AI433" s="111"/>
    </row>
    <row r="434" spans="2:35">
      <c r="B434" s="273"/>
      <c r="C434" s="110"/>
      <c r="E434" s="220"/>
      <c r="L434" s="277"/>
      <c r="N434" s="147"/>
      <c r="O434" s="148"/>
      <c r="S434" s="277"/>
      <c r="T434" s="68"/>
      <c r="V434" s="279"/>
      <c r="X434" s="277"/>
      <c r="Y434" s="453"/>
      <c r="Z434" s="280"/>
      <c r="AA434" s="277"/>
      <c r="AB434" s="277"/>
      <c r="AC434" s="277"/>
      <c r="AD434" s="110"/>
      <c r="AE434" s="147"/>
      <c r="AF434" s="147"/>
      <c r="AG434" s="281"/>
      <c r="AH434" s="111"/>
      <c r="AI434" s="111"/>
    </row>
    <row r="435" spans="2:35">
      <c r="B435" s="273"/>
      <c r="C435" s="110"/>
      <c r="E435" s="220"/>
      <c r="L435" s="277"/>
      <c r="N435" s="147"/>
      <c r="O435" s="148"/>
      <c r="S435" s="277"/>
      <c r="T435" s="68"/>
      <c r="V435" s="279"/>
      <c r="X435" s="277"/>
      <c r="Y435" s="453"/>
      <c r="Z435" s="280"/>
      <c r="AA435" s="277"/>
      <c r="AB435" s="277"/>
      <c r="AC435" s="277"/>
      <c r="AD435" s="110"/>
      <c r="AE435" s="147"/>
      <c r="AF435" s="147"/>
      <c r="AG435" s="281"/>
      <c r="AH435" s="111"/>
      <c r="AI435" s="111"/>
    </row>
    <row r="436" spans="2:35">
      <c r="B436" s="273"/>
      <c r="C436" s="110"/>
      <c r="E436" s="220"/>
      <c r="L436" s="277"/>
      <c r="N436" s="147"/>
      <c r="O436" s="148"/>
      <c r="S436" s="277"/>
      <c r="T436" s="68"/>
      <c r="V436" s="279"/>
      <c r="X436" s="277"/>
      <c r="Y436" s="453"/>
      <c r="Z436" s="280"/>
      <c r="AA436" s="277"/>
      <c r="AB436" s="277"/>
      <c r="AC436" s="277"/>
      <c r="AD436" s="110"/>
      <c r="AE436" s="147"/>
      <c r="AF436" s="147"/>
      <c r="AG436" s="281"/>
      <c r="AH436" s="111"/>
      <c r="AI436" s="111"/>
    </row>
    <row r="437" spans="2:35">
      <c r="B437" s="273"/>
      <c r="C437" s="110"/>
      <c r="E437" s="220"/>
      <c r="L437" s="277"/>
      <c r="N437" s="147"/>
      <c r="O437" s="148"/>
      <c r="S437" s="277"/>
      <c r="T437" s="68"/>
      <c r="V437" s="279"/>
      <c r="X437" s="277"/>
      <c r="Y437" s="453"/>
      <c r="Z437" s="280"/>
      <c r="AA437" s="277"/>
      <c r="AB437" s="277"/>
      <c r="AC437" s="277"/>
      <c r="AD437" s="110"/>
      <c r="AE437" s="147"/>
      <c r="AF437" s="147"/>
      <c r="AG437" s="281"/>
      <c r="AH437" s="111"/>
      <c r="AI437" s="111"/>
    </row>
    <row r="438" spans="2:35">
      <c r="B438" s="273"/>
      <c r="C438" s="110"/>
      <c r="E438" s="220"/>
      <c r="L438" s="277"/>
      <c r="N438" s="147"/>
      <c r="O438" s="148"/>
      <c r="S438" s="277"/>
      <c r="T438" s="68"/>
      <c r="V438" s="279"/>
      <c r="X438" s="277"/>
      <c r="Y438" s="453"/>
      <c r="Z438" s="280"/>
      <c r="AA438" s="277"/>
      <c r="AB438" s="277"/>
      <c r="AC438" s="277"/>
      <c r="AD438" s="110"/>
      <c r="AE438" s="147"/>
      <c r="AF438" s="147"/>
      <c r="AG438" s="281"/>
      <c r="AH438" s="111"/>
      <c r="AI438" s="111"/>
    </row>
    <row r="439" spans="2:35">
      <c r="B439" s="273"/>
      <c r="C439" s="110"/>
      <c r="E439" s="220"/>
      <c r="L439" s="277"/>
      <c r="N439" s="147"/>
      <c r="O439" s="148"/>
      <c r="S439" s="277"/>
      <c r="T439" s="68"/>
      <c r="V439" s="279"/>
      <c r="X439" s="277"/>
      <c r="Y439" s="453"/>
      <c r="Z439" s="280"/>
      <c r="AA439" s="277"/>
      <c r="AB439" s="277"/>
      <c r="AC439" s="277"/>
      <c r="AD439" s="110"/>
      <c r="AE439" s="147"/>
      <c r="AF439" s="147"/>
      <c r="AG439" s="281"/>
      <c r="AH439" s="111"/>
      <c r="AI439" s="111"/>
    </row>
    <row r="440" spans="2:35">
      <c r="B440" s="273"/>
      <c r="C440" s="110"/>
      <c r="E440" s="220"/>
      <c r="L440" s="277"/>
      <c r="N440" s="147"/>
      <c r="O440" s="148"/>
      <c r="S440" s="277"/>
      <c r="T440" s="68"/>
      <c r="V440" s="279"/>
      <c r="X440" s="277"/>
      <c r="Y440" s="453"/>
      <c r="Z440" s="280"/>
      <c r="AA440" s="277"/>
      <c r="AB440" s="277"/>
      <c r="AC440" s="277"/>
      <c r="AD440" s="110"/>
      <c r="AE440" s="147"/>
      <c r="AF440" s="147"/>
      <c r="AG440" s="281"/>
      <c r="AH440" s="111"/>
      <c r="AI440" s="111"/>
    </row>
    <row r="441" spans="2:35">
      <c r="B441" s="273"/>
      <c r="C441" s="110"/>
      <c r="E441" s="220"/>
      <c r="L441" s="277"/>
      <c r="N441" s="147"/>
      <c r="O441" s="148"/>
      <c r="S441" s="277"/>
      <c r="T441" s="68"/>
      <c r="V441" s="279"/>
      <c r="X441" s="277"/>
      <c r="Y441" s="453"/>
      <c r="Z441" s="280"/>
      <c r="AA441" s="277"/>
      <c r="AB441" s="277"/>
      <c r="AC441" s="277"/>
      <c r="AD441" s="110"/>
      <c r="AE441" s="147"/>
      <c r="AF441" s="147"/>
      <c r="AG441" s="281"/>
      <c r="AH441" s="111"/>
      <c r="AI441" s="111"/>
    </row>
    <row r="442" spans="2:35">
      <c r="B442" s="273"/>
      <c r="C442" s="110"/>
      <c r="E442" s="220"/>
      <c r="L442" s="277"/>
      <c r="N442" s="147"/>
      <c r="O442" s="148"/>
      <c r="S442" s="277"/>
      <c r="T442" s="68"/>
      <c r="V442" s="279"/>
      <c r="X442" s="277"/>
      <c r="Y442" s="453"/>
      <c r="Z442" s="280"/>
      <c r="AA442" s="277"/>
      <c r="AB442" s="277"/>
      <c r="AC442" s="277"/>
      <c r="AD442" s="110"/>
      <c r="AE442" s="147"/>
      <c r="AF442" s="147"/>
      <c r="AG442" s="281"/>
      <c r="AH442" s="111"/>
      <c r="AI442" s="111"/>
    </row>
    <row r="443" spans="2:35">
      <c r="B443" s="273"/>
      <c r="C443" s="110"/>
      <c r="E443" s="220"/>
      <c r="L443" s="277"/>
      <c r="N443" s="147"/>
      <c r="O443" s="148"/>
      <c r="S443" s="277"/>
      <c r="T443" s="68"/>
      <c r="V443" s="279"/>
      <c r="X443" s="277"/>
      <c r="Y443" s="453"/>
      <c r="Z443" s="280"/>
      <c r="AA443" s="277"/>
      <c r="AB443" s="277"/>
      <c r="AC443" s="277"/>
      <c r="AD443" s="110"/>
      <c r="AE443" s="147"/>
      <c r="AF443" s="147"/>
      <c r="AG443" s="281"/>
      <c r="AH443" s="111"/>
      <c r="AI443" s="111"/>
    </row>
    <row r="444" spans="2:35">
      <c r="B444" s="273"/>
      <c r="C444" s="110"/>
      <c r="E444" s="220"/>
      <c r="L444" s="277"/>
      <c r="N444" s="147"/>
      <c r="O444" s="148"/>
      <c r="S444" s="277"/>
      <c r="T444" s="68"/>
      <c r="V444" s="279"/>
      <c r="X444" s="277"/>
      <c r="Y444" s="453"/>
      <c r="Z444" s="280"/>
      <c r="AA444" s="277"/>
      <c r="AB444" s="277"/>
      <c r="AC444" s="277"/>
      <c r="AD444" s="110"/>
      <c r="AE444" s="147"/>
      <c r="AF444" s="147"/>
      <c r="AG444" s="281"/>
      <c r="AH444" s="111"/>
      <c r="AI444" s="111"/>
    </row>
    <row r="445" spans="2:35">
      <c r="B445" s="273"/>
      <c r="C445" s="110"/>
      <c r="E445" s="220"/>
      <c r="L445" s="277"/>
      <c r="N445" s="147"/>
      <c r="O445" s="148"/>
      <c r="S445" s="277"/>
      <c r="T445" s="68"/>
      <c r="V445" s="279"/>
      <c r="X445" s="277"/>
      <c r="Y445" s="453"/>
      <c r="Z445" s="280"/>
      <c r="AA445" s="277"/>
      <c r="AB445" s="277"/>
      <c r="AC445" s="277"/>
      <c r="AD445" s="110"/>
      <c r="AE445" s="147"/>
      <c r="AF445" s="147"/>
      <c r="AG445" s="281"/>
      <c r="AH445" s="111"/>
      <c r="AI445" s="111"/>
    </row>
    <row r="446" spans="2:35">
      <c r="B446" s="273"/>
      <c r="C446" s="110"/>
      <c r="E446" s="220"/>
      <c r="L446" s="277"/>
      <c r="N446" s="147"/>
      <c r="O446" s="148"/>
      <c r="S446" s="277"/>
      <c r="T446" s="68"/>
      <c r="V446" s="279"/>
      <c r="X446" s="277"/>
      <c r="Y446" s="453"/>
      <c r="Z446" s="280"/>
      <c r="AA446" s="277"/>
      <c r="AB446" s="277"/>
      <c r="AC446" s="277"/>
      <c r="AD446" s="110"/>
      <c r="AE446" s="147"/>
      <c r="AF446" s="147"/>
      <c r="AG446" s="281"/>
      <c r="AH446" s="111"/>
      <c r="AI446" s="111"/>
    </row>
    <row r="447" spans="2:35">
      <c r="B447" s="273"/>
      <c r="C447" s="110"/>
      <c r="E447" s="220"/>
      <c r="L447" s="277"/>
      <c r="N447" s="147"/>
      <c r="O447" s="148"/>
      <c r="S447" s="277"/>
      <c r="T447" s="68"/>
      <c r="V447" s="279"/>
      <c r="X447" s="277"/>
      <c r="Y447" s="453"/>
      <c r="Z447" s="280"/>
      <c r="AA447" s="277"/>
      <c r="AB447" s="277"/>
      <c r="AC447" s="277"/>
      <c r="AD447" s="110"/>
      <c r="AE447" s="147"/>
      <c r="AF447" s="147"/>
      <c r="AG447" s="281"/>
      <c r="AH447" s="111"/>
      <c r="AI447" s="111"/>
    </row>
    <row r="448" spans="2:35">
      <c r="B448" s="273"/>
      <c r="C448" s="110"/>
      <c r="E448" s="220"/>
      <c r="L448" s="277"/>
      <c r="N448" s="147"/>
      <c r="O448" s="148"/>
      <c r="S448" s="277"/>
      <c r="T448" s="68"/>
      <c r="V448" s="279"/>
      <c r="X448" s="277"/>
      <c r="Y448" s="453"/>
      <c r="Z448" s="280"/>
      <c r="AA448" s="277"/>
      <c r="AB448" s="277"/>
      <c r="AC448" s="277"/>
      <c r="AD448" s="110"/>
      <c r="AE448" s="147"/>
      <c r="AF448" s="147"/>
      <c r="AG448" s="281"/>
      <c r="AH448" s="111"/>
      <c r="AI448" s="111"/>
    </row>
    <row r="449" spans="2:35">
      <c r="B449" s="273"/>
      <c r="C449" s="110"/>
      <c r="E449" s="220"/>
      <c r="L449" s="277"/>
      <c r="N449" s="147"/>
      <c r="O449" s="148"/>
      <c r="S449" s="277"/>
      <c r="T449" s="68"/>
      <c r="V449" s="279"/>
      <c r="X449" s="277"/>
      <c r="Y449" s="453"/>
      <c r="Z449" s="280"/>
      <c r="AA449" s="277"/>
      <c r="AB449" s="277"/>
      <c r="AC449" s="277"/>
      <c r="AD449" s="110"/>
      <c r="AE449" s="147"/>
      <c r="AF449" s="147"/>
      <c r="AG449" s="281"/>
      <c r="AH449" s="111"/>
      <c r="AI449" s="111"/>
    </row>
    <row r="450" spans="2:35">
      <c r="B450" s="273"/>
      <c r="C450" s="110"/>
      <c r="E450" s="220"/>
      <c r="L450" s="277"/>
      <c r="N450" s="147"/>
      <c r="O450" s="148"/>
      <c r="S450" s="277"/>
      <c r="T450" s="68"/>
      <c r="V450" s="279"/>
      <c r="X450" s="277"/>
      <c r="Y450" s="453"/>
      <c r="Z450" s="280"/>
      <c r="AA450" s="277"/>
      <c r="AB450" s="277"/>
      <c r="AC450" s="277"/>
      <c r="AD450" s="110"/>
      <c r="AE450" s="147"/>
      <c r="AF450" s="147"/>
      <c r="AG450" s="281"/>
      <c r="AH450" s="111"/>
      <c r="AI450" s="111"/>
    </row>
    <row r="451" spans="2:35">
      <c r="B451" s="273"/>
      <c r="C451" s="110"/>
      <c r="E451" s="220"/>
      <c r="L451" s="277"/>
      <c r="N451" s="147"/>
      <c r="O451" s="148"/>
      <c r="S451" s="277"/>
      <c r="T451" s="68"/>
      <c r="V451" s="279"/>
      <c r="X451" s="277"/>
      <c r="Y451" s="453"/>
      <c r="Z451" s="280"/>
      <c r="AA451" s="277"/>
      <c r="AB451" s="277"/>
      <c r="AC451" s="277"/>
      <c r="AD451" s="110"/>
      <c r="AE451" s="147"/>
      <c r="AF451" s="147"/>
      <c r="AG451" s="281"/>
      <c r="AH451" s="111"/>
      <c r="AI451" s="111"/>
    </row>
    <row r="452" spans="2:35">
      <c r="B452" s="273"/>
      <c r="C452" s="110"/>
      <c r="E452" s="220"/>
      <c r="L452" s="277"/>
      <c r="N452" s="147"/>
      <c r="O452" s="148"/>
      <c r="S452" s="277"/>
      <c r="T452" s="68"/>
      <c r="V452" s="279"/>
      <c r="X452" s="277"/>
      <c r="Y452" s="453"/>
      <c r="Z452" s="280"/>
      <c r="AA452" s="277"/>
      <c r="AB452" s="277"/>
      <c r="AC452" s="277"/>
      <c r="AD452" s="110"/>
      <c r="AE452" s="147"/>
      <c r="AF452" s="147"/>
      <c r="AG452" s="281"/>
      <c r="AH452" s="111"/>
      <c r="AI452" s="111"/>
    </row>
    <row r="453" spans="2:35">
      <c r="B453" s="273"/>
      <c r="C453" s="110"/>
      <c r="E453" s="220"/>
      <c r="L453" s="277"/>
      <c r="N453" s="147"/>
      <c r="O453" s="148"/>
      <c r="S453" s="277"/>
      <c r="T453" s="68"/>
      <c r="V453" s="279"/>
      <c r="X453" s="277"/>
      <c r="Y453" s="453"/>
      <c r="Z453" s="280"/>
      <c r="AA453" s="277"/>
      <c r="AB453" s="277"/>
      <c r="AC453" s="277"/>
      <c r="AD453" s="110"/>
      <c r="AE453" s="147"/>
      <c r="AF453" s="147"/>
      <c r="AG453" s="281"/>
      <c r="AH453" s="111"/>
      <c r="AI453" s="111"/>
    </row>
    <row r="454" spans="2:35">
      <c r="B454" s="273"/>
      <c r="C454" s="110"/>
      <c r="E454" s="220"/>
      <c r="L454" s="277"/>
      <c r="N454" s="147"/>
      <c r="O454" s="148"/>
      <c r="S454" s="277"/>
      <c r="T454" s="68"/>
      <c r="V454" s="279"/>
      <c r="X454" s="277"/>
      <c r="Y454" s="453"/>
      <c r="Z454" s="280"/>
      <c r="AA454" s="277"/>
      <c r="AB454" s="277"/>
      <c r="AC454" s="277"/>
      <c r="AD454" s="110"/>
      <c r="AE454" s="147"/>
      <c r="AF454" s="147"/>
      <c r="AG454" s="281"/>
      <c r="AH454" s="111"/>
      <c r="AI454" s="111"/>
    </row>
    <row r="455" spans="2:35">
      <c r="B455" s="273"/>
      <c r="C455" s="110"/>
      <c r="E455" s="220"/>
      <c r="L455" s="277"/>
      <c r="N455" s="147"/>
      <c r="O455" s="148"/>
      <c r="S455" s="277"/>
      <c r="T455" s="68"/>
      <c r="V455" s="279"/>
      <c r="X455" s="277"/>
      <c r="Y455" s="453"/>
      <c r="Z455" s="280"/>
      <c r="AA455" s="277"/>
      <c r="AB455" s="277"/>
      <c r="AC455" s="277"/>
      <c r="AD455" s="110"/>
      <c r="AE455" s="147"/>
      <c r="AF455" s="147"/>
      <c r="AG455" s="281"/>
      <c r="AH455" s="111"/>
      <c r="AI455" s="111"/>
    </row>
    <row r="456" spans="2:35">
      <c r="B456" s="273"/>
      <c r="C456" s="110"/>
      <c r="E456" s="220"/>
      <c r="L456" s="277"/>
      <c r="N456" s="147"/>
      <c r="O456" s="148"/>
      <c r="S456" s="277"/>
      <c r="T456" s="68"/>
      <c r="V456" s="279"/>
      <c r="X456" s="277"/>
      <c r="Y456" s="453"/>
      <c r="Z456" s="280"/>
      <c r="AA456" s="277"/>
      <c r="AB456" s="277"/>
      <c r="AC456" s="277"/>
      <c r="AD456" s="110"/>
      <c r="AE456" s="147"/>
      <c r="AF456" s="147"/>
      <c r="AG456" s="281"/>
      <c r="AH456" s="111"/>
      <c r="AI456" s="111"/>
    </row>
    <row r="457" spans="2:35">
      <c r="B457" s="273"/>
      <c r="C457" s="110"/>
      <c r="E457" s="220"/>
      <c r="L457" s="277"/>
      <c r="N457" s="147"/>
      <c r="O457" s="148"/>
      <c r="S457" s="277"/>
      <c r="T457" s="68"/>
      <c r="V457" s="279"/>
      <c r="X457" s="277"/>
      <c r="Y457" s="453"/>
      <c r="Z457" s="280"/>
      <c r="AA457" s="277"/>
      <c r="AB457" s="277"/>
      <c r="AC457" s="277"/>
      <c r="AD457" s="110"/>
      <c r="AE457" s="147"/>
      <c r="AF457" s="147"/>
      <c r="AG457" s="281"/>
      <c r="AH457" s="111"/>
      <c r="AI457" s="111"/>
    </row>
    <row r="458" spans="2:35">
      <c r="B458" s="273"/>
      <c r="C458" s="110"/>
      <c r="E458" s="220"/>
      <c r="L458" s="277"/>
      <c r="N458" s="147"/>
      <c r="O458" s="148"/>
      <c r="S458" s="277"/>
      <c r="T458" s="68"/>
      <c r="V458" s="279"/>
      <c r="X458" s="277"/>
      <c r="Y458" s="453"/>
      <c r="Z458" s="280"/>
      <c r="AA458" s="277"/>
      <c r="AB458" s="277"/>
      <c r="AC458" s="277"/>
      <c r="AD458" s="110"/>
      <c r="AE458" s="147"/>
      <c r="AF458" s="147"/>
      <c r="AG458" s="281"/>
      <c r="AH458" s="111"/>
      <c r="AI458" s="111"/>
    </row>
    <row r="459" spans="2:35">
      <c r="B459" s="273"/>
      <c r="C459" s="110"/>
      <c r="E459" s="220"/>
      <c r="L459" s="277"/>
      <c r="N459" s="147"/>
      <c r="O459" s="148"/>
      <c r="S459" s="277"/>
      <c r="T459" s="68"/>
      <c r="V459" s="279"/>
      <c r="X459" s="277"/>
      <c r="Y459" s="453"/>
      <c r="Z459" s="280"/>
      <c r="AA459" s="277"/>
      <c r="AB459" s="277"/>
      <c r="AC459" s="277"/>
      <c r="AD459" s="110"/>
      <c r="AE459" s="147"/>
      <c r="AF459" s="147"/>
      <c r="AG459" s="281"/>
      <c r="AH459" s="111"/>
      <c r="AI459" s="111"/>
    </row>
    <row r="460" spans="2:35">
      <c r="B460" s="273"/>
      <c r="C460" s="110"/>
      <c r="E460" s="220"/>
      <c r="L460" s="277"/>
      <c r="N460" s="147"/>
      <c r="O460" s="148"/>
      <c r="S460" s="277"/>
      <c r="T460" s="68"/>
      <c r="V460" s="279"/>
      <c r="X460" s="277"/>
      <c r="Y460" s="453"/>
      <c r="Z460" s="280"/>
      <c r="AA460" s="277"/>
      <c r="AB460" s="277"/>
      <c r="AC460" s="277"/>
      <c r="AD460" s="110"/>
      <c r="AE460" s="147"/>
      <c r="AF460" s="147"/>
      <c r="AG460" s="281"/>
      <c r="AH460" s="111"/>
      <c r="AI460" s="111"/>
    </row>
    <row r="461" spans="2:35">
      <c r="B461" s="273"/>
      <c r="C461" s="110"/>
      <c r="E461" s="220"/>
      <c r="L461" s="277"/>
      <c r="N461" s="147"/>
      <c r="O461" s="148"/>
      <c r="S461" s="277"/>
      <c r="T461" s="68"/>
      <c r="V461" s="279"/>
      <c r="X461" s="277"/>
      <c r="Y461" s="453"/>
      <c r="Z461" s="280"/>
      <c r="AA461" s="277"/>
      <c r="AB461" s="277"/>
      <c r="AC461" s="277"/>
      <c r="AD461" s="110"/>
      <c r="AE461" s="147"/>
      <c r="AF461" s="147"/>
      <c r="AG461" s="281"/>
      <c r="AH461" s="111"/>
      <c r="AI461" s="111"/>
    </row>
    <row r="462" spans="2:35">
      <c r="B462" s="273"/>
      <c r="C462" s="110"/>
      <c r="E462" s="220"/>
      <c r="L462" s="277"/>
      <c r="N462" s="147"/>
      <c r="O462" s="148"/>
      <c r="S462" s="277"/>
      <c r="T462" s="68"/>
      <c r="V462" s="279"/>
      <c r="X462" s="277"/>
      <c r="Y462" s="453"/>
      <c r="Z462" s="280"/>
      <c r="AA462" s="277"/>
      <c r="AB462" s="277"/>
      <c r="AC462" s="277"/>
      <c r="AD462" s="110"/>
      <c r="AE462" s="147"/>
      <c r="AF462" s="147"/>
      <c r="AG462" s="281"/>
      <c r="AH462" s="111"/>
      <c r="AI462" s="111"/>
    </row>
    <row r="463" spans="2:35">
      <c r="B463" s="273"/>
      <c r="C463" s="110"/>
      <c r="E463" s="220"/>
      <c r="L463" s="277"/>
      <c r="N463" s="147"/>
      <c r="O463" s="148"/>
      <c r="S463" s="277"/>
      <c r="T463" s="68"/>
      <c r="V463" s="279"/>
      <c r="X463" s="277"/>
      <c r="Y463" s="453"/>
      <c r="Z463" s="280"/>
      <c r="AA463" s="277"/>
      <c r="AB463" s="277"/>
      <c r="AC463" s="277"/>
      <c r="AD463" s="110"/>
      <c r="AE463" s="147"/>
      <c r="AF463" s="147"/>
      <c r="AG463" s="281"/>
      <c r="AH463" s="111"/>
      <c r="AI463" s="111"/>
    </row>
    <row r="464" spans="2:35">
      <c r="B464" s="273"/>
      <c r="C464" s="110"/>
      <c r="E464" s="220"/>
      <c r="L464" s="277"/>
      <c r="N464" s="147"/>
      <c r="O464" s="148"/>
      <c r="S464" s="277"/>
      <c r="T464" s="68"/>
      <c r="V464" s="279"/>
      <c r="X464" s="277"/>
      <c r="Y464" s="453"/>
      <c r="Z464" s="280"/>
      <c r="AA464" s="277"/>
      <c r="AB464" s="277"/>
      <c r="AC464" s="277"/>
      <c r="AD464" s="110"/>
      <c r="AE464" s="147"/>
      <c r="AF464" s="147"/>
      <c r="AG464" s="281"/>
      <c r="AH464" s="111"/>
      <c r="AI464" s="111"/>
    </row>
    <row r="465" spans="2:35">
      <c r="B465" s="273"/>
      <c r="C465" s="110"/>
      <c r="E465" s="220"/>
      <c r="L465" s="277"/>
      <c r="N465" s="147"/>
      <c r="O465" s="148"/>
      <c r="S465" s="277"/>
      <c r="T465" s="68"/>
      <c r="V465" s="279"/>
      <c r="X465" s="277"/>
      <c r="Y465" s="453"/>
      <c r="Z465" s="280"/>
      <c r="AA465" s="277"/>
      <c r="AB465" s="277"/>
      <c r="AC465" s="277"/>
      <c r="AD465" s="110"/>
      <c r="AE465" s="147"/>
      <c r="AF465" s="147"/>
      <c r="AG465" s="281"/>
      <c r="AH465" s="111"/>
      <c r="AI465" s="111"/>
    </row>
    <row r="466" spans="2:35">
      <c r="B466" s="273"/>
      <c r="C466" s="110"/>
      <c r="E466" s="220"/>
      <c r="L466" s="277"/>
      <c r="N466" s="147"/>
      <c r="O466" s="148"/>
      <c r="S466" s="277"/>
      <c r="T466" s="68"/>
      <c r="V466" s="279"/>
      <c r="X466" s="277"/>
      <c r="Y466" s="453"/>
      <c r="Z466" s="280"/>
      <c r="AA466" s="277"/>
      <c r="AB466" s="277"/>
      <c r="AC466" s="277"/>
      <c r="AD466" s="110"/>
      <c r="AE466" s="147"/>
      <c r="AF466" s="147"/>
      <c r="AG466" s="281"/>
      <c r="AH466" s="111"/>
      <c r="AI466" s="111"/>
    </row>
    <row r="467" spans="2:35">
      <c r="B467" s="273"/>
      <c r="C467" s="110"/>
      <c r="E467" s="220"/>
      <c r="L467" s="277"/>
      <c r="N467" s="147"/>
      <c r="O467" s="148"/>
      <c r="S467" s="277"/>
      <c r="T467" s="68"/>
      <c r="V467" s="279"/>
      <c r="X467" s="277"/>
      <c r="Y467" s="453"/>
      <c r="Z467" s="280"/>
      <c r="AA467" s="277"/>
      <c r="AB467" s="277"/>
      <c r="AC467" s="277"/>
      <c r="AD467" s="110"/>
      <c r="AE467" s="147"/>
      <c r="AF467" s="147"/>
      <c r="AG467" s="281"/>
      <c r="AH467" s="111"/>
      <c r="AI467" s="111"/>
    </row>
    <row r="468" spans="2:35">
      <c r="B468" s="273"/>
      <c r="C468" s="110"/>
      <c r="E468" s="220"/>
      <c r="L468" s="277"/>
      <c r="N468" s="147"/>
      <c r="O468" s="148"/>
      <c r="S468" s="277"/>
      <c r="T468" s="68"/>
      <c r="V468" s="279"/>
      <c r="X468" s="277"/>
      <c r="Y468" s="453"/>
      <c r="Z468" s="280"/>
      <c r="AA468" s="277"/>
      <c r="AB468" s="277"/>
      <c r="AC468" s="277"/>
      <c r="AD468" s="110"/>
      <c r="AE468" s="147"/>
      <c r="AF468" s="147"/>
      <c r="AG468" s="281"/>
      <c r="AH468" s="111"/>
      <c r="AI468" s="111"/>
    </row>
    <row r="469" spans="2:35">
      <c r="B469" s="273"/>
      <c r="C469" s="110"/>
      <c r="E469" s="220"/>
      <c r="L469" s="277"/>
      <c r="N469" s="147"/>
      <c r="O469" s="148"/>
      <c r="S469" s="277"/>
      <c r="T469" s="68"/>
      <c r="V469" s="279"/>
      <c r="X469" s="277"/>
      <c r="Y469" s="453"/>
      <c r="Z469" s="280"/>
      <c r="AA469" s="277"/>
      <c r="AB469" s="277"/>
      <c r="AC469" s="277"/>
      <c r="AD469" s="110"/>
      <c r="AE469" s="147"/>
      <c r="AF469" s="147"/>
      <c r="AG469" s="281"/>
      <c r="AH469" s="111"/>
      <c r="AI469" s="111"/>
    </row>
    <row r="470" spans="2:35">
      <c r="B470" s="273"/>
      <c r="C470" s="110"/>
      <c r="E470" s="220"/>
      <c r="L470" s="277"/>
      <c r="N470" s="147"/>
      <c r="O470" s="148"/>
      <c r="S470" s="277"/>
      <c r="T470" s="68"/>
      <c r="V470" s="279"/>
      <c r="X470" s="277"/>
      <c r="Y470" s="453"/>
      <c r="Z470" s="280"/>
      <c r="AA470" s="277"/>
      <c r="AB470" s="277"/>
      <c r="AC470" s="277"/>
      <c r="AD470" s="110"/>
      <c r="AE470" s="147"/>
      <c r="AF470" s="147"/>
      <c r="AG470" s="281"/>
      <c r="AH470" s="111"/>
      <c r="AI470" s="111"/>
    </row>
    <row r="471" spans="2:35">
      <c r="B471" s="273"/>
      <c r="C471" s="110"/>
      <c r="E471" s="220"/>
      <c r="L471" s="277"/>
      <c r="N471" s="147"/>
      <c r="O471" s="148"/>
      <c r="S471" s="277"/>
      <c r="T471" s="68"/>
      <c r="V471" s="279"/>
      <c r="X471" s="277"/>
      <c r="Y471" s="453"/>
      <c r="Z471" s="280"/>
      <c r="AA471" s="277"/>
      <c r="AB471" s="277"/>
      <c r="AC471" s="277"/>
      <c r="AD471" s="110"/>
      <c r="AE471" s="147"/>
      <c r="AF471" s="147"/>
      <c r="AG471" s="281"/>
      <c r="AH471" s="111"/>
      <c r="AI471" s="111"/>
    </row>
    <row r="472" spans="2:35">
      <c r="B472" s="273"/>
      <c r="C472" s="110"/>
      <c r="E472" s="220"/>
      <c r="L472" s="277"/>
      <c r="N472" s="147"/>
      <c r="O472" s="148"/>
      <c r="S472" s="277"/>
      <c r="T472" s="68"/>
      <c r="V472" s="279"/>
      <c r="X472" s="277"/>
      <c r="Y472" s="453"/>
      <c r="Z472" s="280"/>
      <c r="AA472" s="277"/>
      <c r="AB472" s="277"/>
      <c r="AC472" s="277"/>
      <c r="AD472" s="110"/>
      <c r="AE472" s="147"/>
      <c r="AF472" s="147"/>
      <c r="AG472" s="281"/>
      <c r="AH472" s="111"/>
      <c r="AI472" s="111"/>
    </row>
    <row r="473" spans="2:35">
      <c r="B473" s="273"/>
      <c r="C473" s="110"/>
      <c r="E473" s="220"/>
      <c r="L473" s="277"/>
      <c r="N473" s="147"/>
      <c r="O473" s="148"/>
      <c r="S473" s="277"/>
      <c r="T473" s="68"/>
      <c r="V473" s="279"/>
      <c r="X473" s="277"/>
      <c r="Y473" s="453"/>
      <c r="Z473" s="280"/>
      <c r="AA473" s="277"/>
      <c r="AB473" s="277"/>
      <c r="AC473" s="277"/>
      <c r="AD473" s="110"/>
      <c r="AE473" s="147"/>
      <c r="AF473" s="147"/>
      <c r="AG473" s="281"/>
      <c r="AH473" s="111"/>
      <c r="AI473" s="111"/>
    </row>
    <row r="474" spans="2:35">
      <c r="B474" s="273"/>
      <c r="C474" s="110"/>
      <c r="E474" s="220"/>
      <c r="L474" s="277"/>
      <c r="N474" s="147"/>
      <c r="O474" s="148"/>
      <c r="S474" s="277"/>
      <c r="T474" s="68"/>
      <c r="V474" s="279"/>
      <c r="X474" s="277"/>
      <c r="Y474" s="453"/>
      <c r="Z474" s="280"/>
      <c r="AA474" s="277"/>
      <c r="AB474" s="277"/>
      <c r="AC474" s="277"/>
      <c r="AD474" s="110"/>
      <c r="AE474" s="147"/>
      <c r="AF474" s="147"/>
      <c r="AG474" s="281"/>
      <c r="AH474" s="111"/>
      <c r="AI474" s="111"/>
    </row>
    <row r="475" spans="2:35">
      <c r="B475" s="273"/>
      <c r="C475" s="110"/>
      <c r="E475" s="220"/>
      <c r="L475" s="277"/>
      <c r="N475" s="147"/>
      <c r="O475" s="148"/>
      <c r="S475" s="277"/>
      <c r="T475" s="68"/>
      <c r="V475" s="279"/>
      <c r="X475" s="277"/>
      <c r="Y475" s="453"/>
      <c r="Z475" s="280"/>
      <c r="AA475" s="277"/>
      <c r="AB475" s="277"/>
      <c r="AC475" s="277"/>
      <c r="AD475" s="110"/>
      <c r="AE475" s="147"/>
      <c r="AF475" s="147"/>
      <c r="AG475" s="281"/>
      <c r="AH475" s="111"/>
      <c r="AI475" s="111"/>
    </row>
    <row r="476" spans="2:35">
      <c r="B476" s="273"/>
      <c r="C476" s="110"/>
      <c r="E476" s="220"/>
      <c r="L476" s="277"/>
      <c r="N476" s="147"/>
      <c r="O476" s="148"/>
      <c r="S476" s="277"/>
      <c r="T476" s="68"/>
      <c r="V476" s="279"/>
      <c r="X476" s="277"/>
      <c r="Y476" s="453"/>
      <c r="Z476" s="280"/>
      <c r="AA476" s="277"/>
      <c r="AB476" s="277"/>
      <c r="AC476" s="277"/>
      <c r="AD476" s="110"/>
      <c r="AE476" s="147"/>
      <c r="AF476" s="147"/>
      <c r="AG476" s="281"/>
      <c r="AH476" s="111"/>
      <c r="AI476" s="111"/>
    </row>
    <row r="477" spans="2:35">
      <c r="B477" s="273"/>
      <c r="C477" s="110"/>
      <c r="E477" s="220"/>
      <c r="L477" s="277"/>
      <c r="N477" s="147"/>
      <c r="O477" s="148"/>
      <c r="S477" s="277"/>
      <c r="T477" s="68"/>
      <c r="V477" s="279"/>
      <c r="X477" s="277"/>
      <c r="Y477" s="453"/>
      <c r="Z477" s="280"/>
      <c r="AA477" s="277"/>
      <c r="AB477" s="277"/>
      <c r="AC477" s="277"/>
      <c r="AD477" s="110"/>
      <c r="AE477" s="147"/>
      <c r="AF477" s="147"/>
      <c r="AG477" s="281"/>
      <c r="AH477" s="111"/>
      <c r="AI477" s="111"/>
    </row>
    <row r="478" spans="2:35">
      <c r="B478" s="273"/>
      <c r="C478" s="110"/>
      <c r="E478" s="220"/>
      <c r="L478" s="277"/>
      <c r="N478" s="147"/>
      <c r="O478" s="148"/>
      <c r="S478" s="277"/>
      <c r="T478" s="68"/>
      <c r="V478" s="279"/>
      <c r="X478" s="277"/>
      <c r="Y478" s="453"/>
      <c r="Z478" s="280"/>
      <c r="AA478" s="277"/>
      <c r="AB478" s="277"/>
      <c r="AC478" s="277"/>
      <c r="AD478" s="110"/>
      <c r="AE478" s="147"/>
      <c r="AF478" s="147"/>
      <c r="AG478" s="281"/>
      <c r="AH478" s="111"/>
      <c r="AI478" s="111"/>
    </row>
    <row r="479" spans="2:35">
      <c r="B479" s="273"/>
      <c r="C479" s="110"/>
      <c r="E479" s="220"/>
      <c r="L479" s="277"/>
      <c r="N479" s="147"/>
      <c r="O479" s="148"/>
      <c r="S479" s="277"/>
      <c r="T479" s="68"/>
      <c r="V479" s="279"/>
      <c r="X479" s="277"/>
      <c r="Y479" s="453"/>
      <c r="Z479" s="280"/>
      <c r="AA479" s="277"/>
      <c r="AB479" s="277"/>
      <c r="AC479" s="277"/>
      <c r="AD479" s="110"/>
      <c r="AE479" s="147"/>
      <c r="AF479" s="147"/>
      <c r="AG479" s="281"/>
      <c r="AH479" s="111"/>
      <c r="AI479" s="111"/>
    </row>
    <row r="480" spans="2:35">
      <c r="B480" s="273"/>
      <c r="C480" s="110"/>
      <c r="E480" s="220"/>
      <c r="L480" s="277"/>
      <c r="N480" s="147"/>
      <c r="O480" s="148"/>
      <c r="S480" s="277"/>
      <c r="T480" s="68"/>
      <c r="V480" s="279"/>
      <c r="X480" s="277"/>
      <c r="Y480" s="453"/>
      <c r="Z480" s="280"/>
      <c r="AA480" s="277"/>
      <c r="AB480" s="277"/>
      <c r="AC480" s="277"/>
      <c r="AD480" s="110"/>
      <c r="AE480" s="147"/>
      <c r="AF480" s="147"/>
      <c r="AG480" s="281"/>
      <c r="AH480" s="111"/>
      <c r="AI480" s="111"/>
    </row>
    <row r="481" spans="2:35">
      <c r="B481" s="273"/>
      <c r="C481" s="110"/>
      <c r="E481" s="220"/>
      <c r="L481" s="277"/>
      <c r="N481" s="147"/>
      <c r="O481" s="148"/>
      <c r="S481" s="277"/>
      <c r="T481" s="68"/>
      <c r="V481" s="279"/>
      <c r="X481" s="277"/>
      <c r="Y481" s="453"/>
      <c r="Z481" s="280"/>
      <c r="AA481" s="277"/>
      <c r="AB481" s="277"/>
      <c r="AC481" s="277"/>
      <c r="AD481" s="110"/>
      <c r="AE481" s="147"/>
      <c r="AF481" s="147"/>
      <c r="AG481" s="281"/>
      <c r="AH481" s="111"/>
      <c r="AI481" s="111"/>
    </row>
    <row r="482" spans="2:35">
      <c r="B482" s="273"/>
      <c r="C482" s="110"/>
      <c r="E482" s="220"/>
      <c r="L482" s="277"/>
      <c r="N482" s="147"/>
      <c r="O482" s="148"/>
      <c r="S482" s="277"/>
      <c r="T482" s="68"/>
      <c r="V482" s="279"/>
      <c r="X482" s="277"/>
      <c r="Y482" s="453"/>
      <c r="Z482" s="280"/>
      <c r="AA482" s="277"/>
      <c r="AB482" s="277"/>
      <c r="AC482" s="277"/>
      <c r="AD482" s="110"/>
      <c r="AE482" s="147"/>
      <c r="AF482" s="147"/>
      <c r="AG482" s="281"/>
      <c r="AH482" s="111"/>
      <c r="AI482" s="111"/>
    </row>
    <row r="483" spans="2:35">
      <c r="B483" s="273"/>
      <c r="C483" s="110"/>
      <c r="E483" s="220"/>
      <c r="L483" s="277"/>
      <c r="N483" s="147"/>
      <c r="O483" s="148"/>
      <c r="S483" s="277"/>
      <c r="T483" s="68"/>
      <c r="V483" s="279"/>
      <c r="X483" s="277"/>
      <c r="Y483" s="453"/>
      <c r="Z483" s="280"/>
      <c r="AA483" s="277"/>
      <c r="AB483" s="277"/>
      <c r="AC483" s="277"/>
      <c r="AD483" s="110"/>
      <c r="AE483" s="147"/>
      <c r="AF483" s="147"/>
      <c r="AG483" s="281"/>
      <c r="AH483" s="111"/>
      <c r="AI483" s="111"/>
    </row>
    <row r="484" spans="2:35">
      <c r="B484" s="273"/>
      <c r="C484" s="110"/>
      <c r="E484" s="220"/>
      <c r="L484" s="277"/>
      <c r="N484" s="147"/>
      <c r="O484" s="148"/>
      <c r="S484" s="277"/>
      <c r="T484" s="68"/>
      <c r="V484" s="279"/>
      <c r="X484" s="277"/>
      <c r="Y484" s="453"/>
      <c r="Z484" s="280"/>
      <c r="AA484" s="277"/>
      <c r="AB484" s="277"/>
      <c r="AC484" s="277"/>
      <c r="AD484" s="110"/>
      <c r="AE484" s="147"/>
      <c r="AF484" s="147"/>
      <c r="AG484" s="281"/>
      <c r="AH484" s="111"/>
      <c r="AI484" s="111"/>
    </row>
    <row r="485" spans="2:35">
      <c r="B485" s="273"/>
      <c r="C485" s="110"/>
      <c r="E485" s="220"/>
      <c r="L485" s="277"/>
      <c r="N485" s="147"/>
      <c r="O485" s="148"/>
      <c r="S485" s="277"/>
      <c r="T485" s="68"/>
      <c r="V485" s="279"/>
      <c r="X485" s="277"/>
      <c r="Y485" s="453"/>
      <c r="Z485" s="280"/>
      <c r="AA485" s="277"/>
      <c r="AB485" s="277"/>
      <c r="AC485" s="277"/>
      <c r="AD485" s="110"/>
      <c r="AE485" s="147"/>
      <c r="AF485" s="147"/>
      <c r="AG485" s="281"/>
      <c r="AH485" s="111"/>
      <c r="AI485" s="111"/>
    </row>
    <row r="486" spans="2:35">
      <c r="B486" s="273"/>
      <c r="C486" s="110"/>
      <c r="E486" s="220"/>
      <c r="L486" s="277"/>
      <c r="N486" s="147"/>
      <c r="O486" s="148"/>
      <c r="S486" s="277"/>
      <c r="T486" s="68"/>
      <c r="V486" s="279"/>
      <c r="X486" s="277"/>
      <c r="Y486" s="453"/>
      <c r="Z486" s="280"/>
      <c r="AA486" s="277"/>
      <c r="AB486" s="277"/>
      <c r="AC486" s="277"/>
      <c r="AD486" s="110"/>
      <c r="AE486" s="147"/>
      <c r="AF486" s="147"/>
      <c r="AG486" s="281"/>
      <c r="AH486" s="111"/>
      <c r="AI486" s="111"/>
    </row>
    <row r="487" spans="2:35">
      <c r="B487" s="273"/>
      <c r="C487" s="110"/>
      <c r="E487" s="220"/>
      <c r="L487" s="277"/>
      <c r="N487" s="147"/>
      <c r="O487" s="148"/>
      <c r="S487" s="277"/>
      <c r="T487" s="68"/>
      <c r="V487" s="279"/>
      <c r="X487" s="277"/>
      <c r="Y487" s="453"/>
      <c r="Z487" s="280"/>
      <c r="AA487" s="277"/>
      <c r="AB487" s="277"/>
      <c r="AC487" s="277"/>
      <c r="AD487" s="110"/>
      <c r="AE487" s="147"/>
      <c r="AF487" s="147"/>
      <c r="AG487" s="281"/>
      <c r="AH487" s="111"/>
      <c r="AI487" s="111"/>
    </row>
    <row r="488" spans="2:35">
      <c r="B488" s="273"/>
      <c r="C488" s="110"/>
      <c r="E488" s="220"/>
      <c r="L488" s="277"/>
      <c r="N488" s="147"/>
      <c r="O488" s="148"/>
      <c r="S488" s="277"/>
      <c r="T488" s="68"/>
      <c r="V488" s="279"/>
      <c r="X488" s="277"/>
      <c r="Y488" s="453"/>
      <c r="Z488" s="280"/>
      <c r="AA488" s="277"/>
      <c r="AB488" s="277"/>
      <c r="AC488" s="277"/>
      <c r="AD488" s="110"/>
      <c r="AE488" s="147"/>
      <c r="AF488" s="147"/>
      <c r="AG488" s="281"/>
      <c r="AH488" s="111"/>
      <c r="AI488" s="111"/>
    </row>
    <row r="489" spans="2:35">
      <c r="B489" s="273"/>
      <c r="C489" s="110"/>
      <c r="E489" s="220"/>
      <c r="L489" s="277"/>
      <c r="N489" s="147"/>
      <c r="O489" s="148"/>
      <c r="S489" s="277"/>
      <c r="T489" s="68"/>
      <c r="V489" s="279"/>
      <c r="X489" s="277"/>
      <c r="Y489" s="453"/>
      <c r="Z489" s="280"/>
      <c r="AA489" s="277"/>
      <c r="AB489" s="277"/>
      <c r="AC489" s="277"/>
      <c r="AD489" s="110"/>
      <c r="AE489" s="147"/>
      <c r="AF489" s="147"/>
      <c r="AG489" s="281"/>
      <c r="AH489" s="111"/>
      <c r="AI489" s="111"/>
    </row>
    <row r="490" spans="2:35">
      <c r="B490" s="273"/>
      <c r="C490" s="110"/>
      <c r="E490" s="220"/>
      <c r="L490" s="277"/>
      <c r="N490" s="147"/>
      <c r="O490" s="148"/>
      <c r="S490" s="277"/>
      <c r="T490" s="68"/>
      <c r="V490" s="279"/>
      <c r="X490" s="277"/>
      <c r="Y490" s="453"/>
      <c r="Z490" s="280"/>
      <c r="AA490" s="277"/>
      <c r="AB490" s="277"/>
      <c r="AC490" s="277"/>
      <c r="AD490" s="110"/>
      <c r="AE490" s="147"/>
      <c r="AF490" s="147"/>
      <c r="AG490" s="281"/>
      <c r="AH490" s="111"/>
      <c r="AI490" s="111"/>
    </row>
    <row r="491" spans="2:35">
      <c r="B491" s="273"/>
      <c r="C491" s="110"/>
      <c r="E491" s="220"/>
      <c r="L491" s="277"/>
      <c r="N491" s="147"/>
      <c r="O491" s="148"/>
      <c r="S491" s="277"/>
      <c r="T491" s="68"/>
      <c r="V491" s="279"/>
      <c r="X491" s="277"/>
      <c r="Y491" s="453"/>
      <c r="Z491" s="280"/>
      <c r="AA491" s="277"/>
      <c r="AB491" s="277"/>
      <c r="AC491" s="277"/>
      <c r="AD491" s="110"/>
      <c r="AE491" s="147"/>
      <c r="AF491" s="147"/>
      <c r="AG491" s="281"/>
      <c r="AH491" s="111"/>
      <c r="AI491" s="111"/>
    </row>
    <row r="492" spans="2:35">
      <c r="B492" s="273"/>
      <c r="C492" s="110"/>
      <c r="E492" s="220"/>
      <c r="L492" s="277"/>
      <c r="N492" s="147"/>
      <c r="O492" s="148"/>
      <c r="S492" s="277"/>
      <c r="T492" s="68"/>
      <c r="V492" s="279"/>
      <c r="X492" s="277"/>
      <c r="Y492" s="453"/>
      <c r="Z492" s="280"/>
      <c r="AA492" s="277"/>
      <c r="AB492" s="277"/>
      <c r="AC492" s="277"/>
      <c r="AD492" s="110"/>
      <c r="AE492" s="147"/>
      <c r="AF492" s="147"/>
      <c r="AG492" s="281"/>
      <c r="AH492" s="111"/>
      <c r="AI492" s="111"/>
    </row>
    <row r="493" spans="2:35">
      <c r="B493" s="273"/>
      <c r="C493" s="110"/>
      <c r="E493" s="220"/>
      <c r="L493" s="277"/>
      <c r="N493" s="147"/>
      <c r="O493" s="148"/>
      <c r="S493" s="277"/>
      <c r="T493" s="68"/>
      <c r="V493" s="279"/>
      <c r="X493" s="277"/>
      <c r="Y493" s="453"/>
      <c r="Z493" s="280"/>
      <c r="AA493" s="277"/>
      <c r="AB493" s="277"/>
      <c r="AC493" s="277"/>
      <c r="AD493" s="110"/>
      <c r="AE493" s="147"/>
      <c r="AF493" s="147"/>
      <c r="AG493" s="281"/>
      <c r="AH493" s="111"/>
      <c r="AI493" s="111"/>
    </row>
    <row r="494" spans="2:35">
      <c r="B494" s="273"/>
      <c r="C494" s="110"/>
      <c r="E494" s="220"/>
      <c r="L494" s="277"/>
      <c r="N494" s="147"/>
      <c r="O494" s="148"/>
      <c r="S494" s="277"/>
      <c r="T494" s="68"/>
      <c r="V494" s="279"/>
      <c r="X494" s="277"/>
      <c r="Y494" s="453"/>
      <c r="Z494" s="280"/>
      <c r="AA494" s="277"/>
      <c r="AB494" s="277"/>
      <c r="AC494" s="277"/>
      <c r="AD494" s="110"/>
      <c r="AE494" s="147"/>
      <c r="AF494" s="147"/>
      <c r="AG494" s="281"/>
      <c r="AH494" s="111"/>
      <c r="AI494" s="111"/>
    </row>
    <row r="495" spans="2:35">
      <c r="B495" s="273"/>
      <c r="C495" s="110"/>
      <c r="E495" s="220"/>
      <c r="L495" s="277"/>
      <c r="N495" s="147"/>
      <c r="O495" s="148"/>
      <c r="S495" s="277"/>
      <c r="T495" s="68"/>
      <c r="V495" s="279"/>
      <c r="X495" s="277"/>
      <c r="Y495" s="453"/>
      <c r="Z495" s="280"/>
      <c r="AA495" s="277"/>
      <c r="AB495" s="277"/>
      <c r="AC495" s="277"/>
      <c r="AD495" s="110"/>
      <c r="AE495" s="147"/>
      <c r="AF495" s="147"/>
      <c r="AG495" s="281"/>
      <c r="AH495" s="111"/>
      <c r="AI495" s="111"/>
    </row>
    <row r="496" spans="2:35">
      <c r="B496" s="273"/>
      <c r="C496" s="110"/>
      <c r="E496" s="220"/>
      <c r="L496" s="277"/>
      <c r="N496" s="147"/>
      <c r="O496" s="148"/>
      <c r="S496" s="277"/>
      <c r="T496" s="68"/>
      <c r="V496" s="279"/>
      <c r="X496" s="277"/>
      <c r="Y496" s="453"/>
      <c r="Z496" s="280"/>
      <c r="AA496" s="277"/>
      <c r="AB496" s="277"/>
      <c r="AC496" s="277"/>
      <c r="AD496" s="110"/>
      <c r="AE496" s="147"/>
      <c r="AF496" s="147"/>
      <c r="AG496" s="281"/>
      <c r="AH496" s="111"/>
      <c r="AI496" s="111"/>
    </row>
    <row r="497" spans="2:35">
      <c r="B497" s="273"/>
      <c r="C497" s="110"/>
      <c r="E497" s="220"/>
      <c r="L497" s="277"/>
      <c r="N497" s="147"/>
      <c r="O497" s="148"/>
      <c r="S497" s="277"/>
      <c r="T497" s="68"/>
      <c r="V497" s="279"/>
      <c r="X497" s="277"/>
      <c r="Y497" s="453"/>
      <c r="Z497" s="280"/>
      <c r="AA497" s="277"/>
      <c r="AB497" s="277"/>
      <c r="AC497" s="277"/>
      <c r="AD497" s="110"/>
      <c r="AE497" s="147"/>
      <c r="AF497" s="147"/>
      <c r="AG497" s="281"/>
      <c r="AH497" s="111"/>
      <c r="AI497" s="111"/>
    </row>
    <row r="498" spans="2:35">
      <c r="B498" s="273"/>
      <c r="C498" s="110"/>
      <c r="E498" s="220"/>
      <c r="L498" s="277"/>
      <c r="N498" s="147"/>
      <c r="O498" s="148"/>
      <c r="S498" s="277"/>
      <c r="T498" s="68"/>
      <c r="V498" s="279"/>
      <c r="X498" s="277"/>
      <c r="Y498" s="453"/>
      <c r="Z498" s="280"/>
      <c r="AA498" s="277"/>
      <c r="AB498" s="277"/>
      <c r="AC498" s="277"/>
      <c r="AD498" s="110"/>
      <c r="AE498" s="147"/>
      <c r="AF498" s="147"/>
      <c r="AG498" s="281"/>
      <c r="AH498" s="111"/>
      <c r="AI498" s="111"/>
    </row>
    <row r="499" spans="2:35">
      <c r="B499" s="273"/>
      <c r="C499" s="110"/>
      <c r="E499" s="220"/>
      <c r="L499" s="277"/>
      <c r="N499" s="147"/>
      <c r="O499" s="148"/>
      <c r="S499" s="277"/>
      <c r="T499" s="68"/>
      <c r="V499" s="279"/>
      <c r="X499" s="277"/>
      <c r="Y499" s="453"/>
      <c r="Z499" s="280"/>
      <c r="AA499" s="277"/>
      <c r="AB499" s="277"/>
      <c r="AC499" s="277"/>
      <c r="AD499" s="110"/>
      <c r="AE499" s="147"/>
      <c r="AF499" s="147"/>
      <c r="AG499" s="281"/>
      <c r="AH499" s="111"/>
      <c r="AI499" s="111"/>
    </row>
    <row r="500" spans="2:35">
      <c r="B500" s="273"/>
      <c r="C500" s="110"/>
      <c r="E500" s="220"/>
      <c r="L500" s="277"/>
      <c r="N500" s="147"/>
      <c r="O500" s="148"/>
      <c r="S500" s="277"/>
      <c r="T500" s="68"/>
      <c r="V500" s="279"/>
      <c r="X500" s="277"/>
      <c r="Y500" s="453"/>
      <c r="Z500" s="280"/>
      <c r="AA500" s="277"/>
      <c r="AB500" s="277"/>
      <c r="AC500" s="277"/>
      <c r="AD500" s="110"/>
      <c r="AE500" s="147"/>
      <c r="AF500" s="147"/>
      <c r="AG500" s="281"/>
      <c r="AH500" s="111"/>
      <c r="AI500" s="111"/>
    </row>
    <row r="501" spans="2:35">
      <c r="B501" s="273"/>
      <c r="C501" s="110"/>
      <c r="E501" s="220"/>
      <c r="L501" s="277"/>
      <c r="N501" s="147"/>
      <c r="O501" s="148"/>
      <c r="S501" s="277"/>
      <c r="T501" s="68"/>
      <c r="V501" s="279"/>
      <c r="X501" s="277"/>
      <c r="Y501" s="453"/>
      <c r="Z501" s="280"/>
      <c r="AA501" s="277"/>
      <c r="AB501" s="277"/>
      <c r="AC501" s="277"/>
      <c r="AD501" s="110"/>
      <c r="AE501" s="147"/>
      <c r="AF501" s="147"/>
      <c r="AG501" s="281"/>
      <c r="AH501" s="111"/>
      <c r="AI501" s="111"/>
    </row>
    <row r="502" spans="2:35">
      <c r="B502" s="273"/>
      <c r="C502" s="110"/>
      <c r="E502" s="220"/>
      <c r="L502" s="277"/>
      <c r="N502" s="147"/>
      <c r="O502" s="148"/>
      <c r="S502" s="277"/>
      <c r="T502" s="68"/>
      <c r="V502" s="279"/>
      <c r="X502" s="277"/>
      <c r="Y502" s="453"/>
      <c r="Z502" s="280"/>
      <c r="AA502" s="277"/>
      <c r="AB502" s="277"/>
      <c r="AC502" s="277"/>
      <c r="AD502" s="110"/>
      <c r="AE502" s="147"/>
      <c r="AF502" s="147"/>
      <c r="AG502" s="281"/>
      <c r="AH502" s="111"/>
      <c r="AI502" s="111"/>
    </row>
    <row r="503" spans="2:35">
      <c r="B503" s="273"/>
      <c r="C503" s="110"/>
      <c r="E503" s="220"/>
      <c r="L503" s="277"/>
      <c r="N503" s="147"/>
      <c r="O503" s="148"/>
      <c r="S503" s="277"/>
      <c r="T503" s="68"/>
      <c r="V503" s="279"/>
      <c r="X503" s="277"/>
      <c r="Y503" s="453"/>
      <c r="Z503" s="280"/>
      <c r="AA503" s="277"/>
      <c r="AB503" s="277"/>
      <c r="AC503" s="277"/>
      <c r="AD503" s="110"/>
      <c r="AE503" s="147"/>
      <c r="AF503" s="147"/>
      <c r="AG503" s="281"/>
      <c r="AH503" s="111"/>
      <c r="AI503" s="111"/>
    </row>
    <row r="504" spans="2:35">
      <c r="B504" s="273"/>
      <c r="C504" s="110"/>
      <c r="E504" s="220"/>
      <c r="L504" s="277"/>
      <c r="N504" s="147"/>
      <c r="O504" s="148"/>
      <c r="S504" s="277"/>
      <c r="T504" s="68"/>
      <c r="V504" s="279"/>
      <c r="X504" s="277"/>
      <c r="Y504" s="453"/>
      <c r="Z504" s="280"/>
      <c r="AA504" s="277"/>
      <c r="AB504" s="277"/>
      <c r="AC504" s="277"/>
      <c r="AD504" s="110"/>
      <c r="AE504" s="147"/>
      <c r="AF504" s="147"/>
      <c r="AG504" s="281"/>
      <c r="AH504" s="111"/>
      <c r="AI504" s="111"/>
    </row>
    <row r="505" spans="2:35">
      <c r="B505" s="273"/>
      <c r="C505" s="110"/>
      <c r="E505" s="220"/>
      <c r="L505" s="277"/>
      <c r="N505" s="147"/>
      <c r="O505" s="148"/>
      <c r="S505" s="277"/>
      <c r="T505" s="68"/>
      <c r="V505" s="279"/>
      <c r="X505" s="277"/>
      <c r="Y505" s="453"/>
      <c r="Z505" s="280"/>
      <c r="AA505" s="277"/>
      <c r="AB505" s="277"/>
      <c r="AC505" s="277"/>
      <c r="AD505" s="110"/>
      <c r="AE505" s="147"/>
      <c r="AF505" s="147"/>
      <c r="AG505" s="281"/>
      <c r="AH505" s="111"/>
      <c r="AI505" s="111"/>
    </row>
    <row r="506" spans="2:35">
      <c r="B506" s="273"/>
      <c r="C506" s="110"/>
      <c r="E506" s="220"/>
      <c r="L506" s="277"/>
      <c r="N506" s="147"/>
      <c r="O506" s="148"/>
      <c r="S506" s="277"/>
      <c r="T506" s="68"/>
      <c r="V506" s="279"/>
      <c r="X506" s="277"/>
      <c r="Y506" s="453"/>
      <c r="Z506" s="280"/>
      <c r="AA506" s="277"/>
      <c r="AB506" s="277"/>
      <c r="AC506" s="277"/>
      <c r="AD506" s="110"/>
      <c r="AE506" s="147"/>
      <c r="AF506" s="147"/>
      <c r="AG506" s="281"/>
      <c r="AH506" s="111"/>
      <c r="AI506" s="111"/>
    </row>
    <row r="507" spans="2:35">
      <c r="B507" s="273"/>
      <c r="C507" s="110"/>
      <c r="E507" s="220"/>
      <c r="L507" s="277"/>
      <c r="N507" s="147"/>
      <c r="O507" s="148"/>
      <c r="S507" s="277"/>
      <c r="T507" s="68"/>
      <c r="V507" s="279"/>
      <c r="X507" s="277"/>
      <c r="Y507" s="453"/>
      <c r="Z507" s="280"/>
      <c r="AA507" s="277"/>
      <c r="AB507" s="277"/>
      <c r="AC507" s="277"/>
      <c r="AD507" s="110"/>
      <c r="AE507" s="147"/>
      <c r="AF507" s="147"/>
      <c r="AG507" s="281"/>
      <c r="AH507" s="111"/>
      <c r="AI507" s="111"/>
    </row>
    <row r="508" spans="2:35">
      <c r="B508" s="273"/>
      <c r="C508" s="110"/>
      <c r="E508" s="220"/>
      <c r="L508" s="277"/>
      <c r="N508" s="147"/>
      <c r="O508" s="148"/>
      <c r="S508" s="277"/>
      <c r="T508" s="68"/>
      <c r="V508" s="279"/>
      <c r="X508" s="277"/>
      <c r="Y508" s="453"/>
      <c r="Z508" s="280"/>
      <c r="AA508" s="277"/>
      <c r="AB508" s="277"/>
      <c r="AC508" s="277"/>
      <c r="AD508" s="110"/>
      <c r="AE508" s="147"/>
      <c r="AF508" s="147"/>
      <c r="AG508" s="281"/>
      <c r="AH508" s="111"/>
      <c r="AI508" s="111"/>
    </row>
    <row r="509" spans="2:35">
      <c r="B509" s="273"/>
      <c r="C509" s="110"/>
      <c r="E509" s="220"/>
      <c r="L509" s="277"/>
      <c r="N509" s="147"/>
      <c r="O509" s="148"/>
      <c r="S509" s="277"/>
      <c r="T509" s="68"/>
      <c r="V509" s="279"/>
      <c r="X509" s="277"/>
      <c r="Y509" s="453"/>
      <c r="Z509" s="280"/>
      <c r="AA509" s="277"/>
      <c r="AB509" s="277"/>
      <c r="AC509" s="277"/>
      <c r="AD509" s="110"/>
      <c r="AE509" s="147"/>
      <c r="AF509" s="147"/>
      <c r="AG509" s="281"/>
      <c r="AH509" s="111"/>
      <c r="AI509" s="111"/>
    </row>
    <row r="510" spans="2:35">
      <c r="B510" s="273"/>
      <c r="C510" s="110"/>
      <c r="E510" s="220"/>
      <c r="L510" s="277"/>
      <c r="N510" s="147"/>
      <c r="O510" s="148"/>
      <c r="S510" s="277"/>
      <c r="T510" s="68"/>
      <c r="V510" s="279"/>
      <c r="X510" s="277"/>
      <c r="Y510" s="453"/>
      <c r="Z510" s="280"/>
      <c r="AA510" s="277"/>
      <c r="AB510" s="277"/>
      <c r="AC510" s="277"/>
      <c r="AD510" s="110"/>
      <c r="AE510" s="147"/>
      <c r="AF510" s="147"/>
      <c r="AG510" s="281"/>
      <c r="AH510" s="111"/>
      <c r="AI510" s="111"/>
    </row>
    <row r="511" spans="2:35">
      <c r="B511" s="273"/>
      <c r="C511" s="110"/>
      <c r="E511" s="220"/>
      <c r="L511" s="277"/>
      <c r="N511" s="147"/>
      <c r="O511" s="148"/>
      <c r="S511" s="277"/>
      <c r="T511" s="68"/>
      <c r="V511" s="279"/>
      <c r="X511" s="277"/>
      <c r="Y511" s="453"/>
      <c r="Z511" s="280"/>
      <c r="AA511" s="277"/>
      <c r="AB511" s="277"/>
      <c r="AC511" s="277"/>
      <c r="AD511" s="110"/>
      <c r="AE511" s="147"/>
      <c r="AF511" s="147"/>
      <c r="AG511" s="281"/>
      <c r="AH511" s="111"/>
      <c r="AI511" s="111"/>
    </row>
    <row r="512" spans="2:35">
      <c r="B512" s="273"/>
      <c r="C512" s="110"/>
      <c r="E512" s="220"/>
      <c r="L512" s="277"/>
      <c r="N512" s="147"/>
      <c r="O512" s="148"/>
      <c r="S512" s="277"/>
      <c r="T512" s="68"/>
      <c r="V512" s="279"/>
      <c r="X512" s="277"/>
      <c r="Y512" s="453"/>
      <c r="Z512" s="280"/>
      <c r="AA512" s="277"/>
      <c r="AB512" s="277"/>
      <c r="AC512" s="277"/>
      <c r="AD512" s="110"/>
      <c r="AE512" s="147"/>
      <c r="AF512" s="147"/>
      <c r="AG512" s="281"/>
      <c r="AH512" s="111"/>
      <c r="AI512" s="111"/>
    </row>
    <row r="513" spans="2:35">
      <c r="B513" s="273"/>
      <c r="C513" s="110"/>
      <c r="E513" s="220"/>
      <c r="L513" s="277"/>
      <c r="N513" s="147"/>
      <c r="O513" s="148"/>
      <c r="S513" s="277"/>
      <c r="T513" s="68"/>
      <c r="V513" s="279"/>
      <c r="X513" s="277"/>
      <c r="Y513" s="453"/>
      <c r="Z513" s="280"/>
      <c r="AA513" s="277"/>
      <c r="AB513" s="277"/>
      <c r="AC513" s="277"/>
      <c r="AD513" s="110"/>
      <c r="AE513" s="147"/>
      <c r="AF513" s="147"/>
      <c r="AG513" s="281"/>
      <c r="AH513" s="111"/>
      <c r="AI513" s="111"/>
    </row>
    <row r="514" spans="2:35">
      <c r="B514" s="273"/>
      <c r="C514" s="110"/>
      <c r="E514" s="220"/>
      <c r="L514" s="277"/>
      <c r="N514" s="147"/>
      <c r="O514" s="148"/>
      <c r="S514" s="277"/>
      <c r="T514" s="68"/>
      <c r="V514" s="279"/>
      <c r="X514" s="277"/>
      <c r="Y514" s="453"/>
      <c r="Z514" s="280"/>
      <c r="AA514" s="277"/>
      <c r="AB514" s="277"/>
      <c r="AC514" s="277"/>
      <c r="AD514" s="110"/>
      <c r="AE514" s="147"/>
      <c r="AF514" s="147"/>
      <c r="AG514" s="281"/>
      <c r="AH514" s="111"/>
      <c r="AI514" s="111"/>
    </row>
    <row r="515" spans="2:35">
      <c r="B515" s="273"/>
      <c r="C515" s="110"/>
      <c r="E515" s="220"/>
      <c r="L515" s="277"/>
      <c r="N515" s="147"/>
      <c r="O515" s="148"/>
      <c r="S515" s="277"/>
      <c r="T515" s="68"/>
      <c r="V515" s="279"/>
      <c r="X515" s="277"/>
      <c r="Y515" s="453"/>
      <c r="Z515" s="280"/>
      <c r="AA515" s="277"/>
      <c r="AB515" s="277"/>
      <c r="AC515" s="277"/>
      <c r="AD515" s="110"/>
      <c r="AE515" s="147"/>
      <c r="AF515" s="147"/>
      <c r="AG515" s="281"/>
      <c r="AH515" s="111"/>
      <c r="AI515" s="111"/>
    </row>
    <row r="516" spans="2:35">
      <c r="B516" s="273"/>
      <c r="C516" s="110"/>
      <c r="E516" s="220"/>
      <c r="L516" s="277"/>
      <c r="N516" s="147"/>
      <c r="O516" s="148"/>
      <c r="S516" s="277"/>
      <c r="T516" s="68"/>
      <c r="V516" s="279"/>
      <c r="X516" s="277"/>
      <c r="Y516" s="453"/>
      <c r="Z516" s="280"/>
      <c r="AA516" s="277"/>
      <c r="AB516" s="277"/>
      <c r="AC516" s="277"/>
      <c r="AD516" s="110"/>
      <c r="AE516" s="147"/>
      <c r="AF516" s="147"/>
      <c r="AG516" s="281"/>
      <c r="AH516" s="111"/>
      <c r="AI516" s="111"/>
    </row>
    <row r="517" spans="2:35">
      <c r="B517" s="273"/>
      <c r="C517" s="110"/>
      <c r="E517" s="220"/>
      <c r="L517" s="277"/>
      <c r="N517" s="147"/>
      <c r="O517" s="148"/>
      <c r="S517" s="277"/>
      <c r="T517" s="68"/>
      <c r="V517" s="279"/>
      <c r="X517" s="277"/>
      <c r="Y517" s="453"/>
      <c r="Z517" s="280"/>
      <c r="AA517" s="277"/>
      <c r="AB517" s="277"/>
      <c r="AC517" s="277"/>
      <c r="AD517" s="110"/>
      <c r="AE517" s="147"/>
      <c r="AF517" s="147"/>
      <c r="AG517" s="281"/>
      <c r="AH517" s="111"/>
      <c r="AI517" s="111"/>
    </row>
    <row r="518" spans="2:35">
      <c r="B518" s="273"/>
      <c r="C518" s="110"/>
      <c r="E518" s="220"/>
      <c r="L518" s="277"/>
      <c r="N518" s="147"/>
      <c r="O518" s="148"/>
      <c r="S518" s="277"/>
      <c r="T518" s="68"/>
      <c r="V518" s="279"/>
      <c r="X518" s="277"/>
      <c r="Y518" s="453"/>
      <c r="Z518" s="280"/>
      <c r="AA518" s="277"/>
      <c r="AB518" s="277"/>
      <c r="AC518" s="277"/>
      <c r="AD518" s="110"/>
      <c r="AE518" s="147"/>
      <c r="AF518" s="147"/>
      <c r="AG518" s="281"/>
      <c r="AH518" s="111"/>
      <c r="AI518" s="111"/>
    </row>
    <row r="519" spans="2:35">
      <c r="B519" s="273"/>
      <c r="C519" s="110"/>
      <c r="E519" s="220"/>
      <c r="L519" s="277"/>
      <c r="N519" s="147"/>
      <c r="O519" s="148"/>
      <c r="S519" s="277"/>
      <c r="T519" s="68"/>
      <c r="V519" s="279"/>
      <c r="X519" s="277"/>
      <c r="Y519" s="453"/>
      <c r="Z519" s="280"/>
      <c r="AA519" s="277"/>
      <c r="AB519" s="277"/>
      <c r="AC519" s="277"/>
      <c r="AD519" s="110"/>
      <c r="AE519" s="147"/>
      <c r="AF519" s="147"/>
      <c r="AG519" s="281"/>
      <c r="AH519" s="111"/>
      <c r="AI519" s="111"/>
    </row>
    <row r="520" spans="2:35">
      <c r="B520" s="273"/>
      <c r="C520" s="110"/>
      <c r="E520" s="220"/>
      <c r="L520" s="277"/>
      <c r="N520" s="147"/>
      <c r="O520" s="148"/>
      <c r="S520" s="277"/>
      <c r="T520" s="68"/>
      <c r="V520" s="279"/>
      <c r="X520" s="277"/>
      <c r="Y520" s="453"/>
      <c r="Z520" s="280"/>
      <c r="AA520" s="277"/>
      <c r="AB520" s="277"/>
      <c r="AC520" s="277"/>
      <c r="AD520" s="110"/>
      <c r="AE520" s="147"/>
      <c r="AF520" s="147"/>
      <c r="AG520" s="281"/>
      <c r="AH520" s="111"/>
      <c r="AI520" s="111"/>
    </row>
    <row r="521" spans="2:35">
      <c r="B521" s="273"/>
      <c r="C521" s="110"/>
      <c r="E521" s="220"/>
      <c r="L521" s="277"/>
      <c r="N521" s="147"/>
      <c r="O521" s="148"/>
      <c r="S521" s="277"/>
      <c r="T521" s="68"/>
      <c r="V521" s="279"/>
      <c r="X521" s="277"/>
      <c r="Y521" s="453"/>
      <c r="Z521" s="280"/>
      <c r="AA521" s="277"/>
      <c r="AB521" s="277"/>
      <c r="AC521" s="277"/>
      <c r="AD521" s="110"/>
      <c r="AE521" s="147"/>
      <c r="AF521" s="147"/>
      <c r="AG521" s="281"/>
      <c r="AH521" s="111"/>
      <c r="AI521" s="111"/>
    </row>
    <row r="522" spans="2:35">
      <c r="B522" s="273"/>
      <c r="C522" s="110"/>
      <c r="E522" s="220"/>
      <c r="L522" s="277"/>
      <c r="N522" s="147"/>
      <c r="O522" s="148"/>
      <c r="S522" s="277"/>
      <c r="T522" s="68"/>
      <c r="V522" s="279"/>
      <c r="X522" s="277"/>
      <c r="Y522" s="453"/>
      <c r="Z522" s="280"/>
      <c r="AA522" s="277"/>
      <c r="AB522" s="277"/>
      <c r="AC522" s="277"/>
      <c r="AD522" s="110"/>
      <c r="AE522" s="147"/>
      <c r="AF522" s="147"/>
      <c r="AG522" s="281"/>
      <c r="AH522" s="111"/>
      <c r="AI522" s="111"/>
    </row>
    <row r="523" spans="2:35">
      <c r="B523" s="273"/>
      <c r="C523" s="110"/>
      <c r="E523" s="220"/>
      <c r="L523" s="277"/>
      <c r="N523" s="147"/>
      <c r="O523" s="148"/>
      <c r="S523" s="277"/>
      <c r="T523" s="68"/>
      <c r="V523" s="279"/>
      <c r="X523" s="277"/>
      <c r="Y523" s="453"/>
      <c r="Z523" s="280"/>
      <c r="AA523" s="277"/>
      <c r="AB523" s="277"/>
      <c r="AC523" s="277"/>
      <c r="AD523" s="110"/>
      <c r="AE523" s="147"/>
      <c r="AF523" s="147"/>
      <c r="AG523" s="281"/>
      <c r="AH523" s="111"/>
      <c r="AI523" s="111"/>
    </row>
    <row r="524" spans="2:35">
      <c r="B524" s="273"/>
      <c r="C524" s="110"/>
      <c r="E524" s="220"/>
      <c r="L524" s="277"/>
      <c r="N524" s="147"/>
      <c r="O524" s="148"/>
      <c r="S524" s="277"/>
      <c r="T524" s="68"/>
      <c r="V524" s="279"/>
      <c r="X524" s="277"/>
      <c r="Y524" s="453"/>
      <c r="Z524" s="280"/>
      <c r="AA524" s="277"/>
      <c r="AB524" s="277"/>
      <c r="AC524" s="277"/>
      <c r="AD524" s="110"/>
      <c r="AE524" s="147"/>
      <c r="AF524" s="147"/>
      <c r="AG524" s="281"/>
      <c r="AH524" s="111"/>
      <c r="AI524" s="111"/>
    </row>
    <row r="525" spans="2:35">
      <c r="B525" s="273"/>
      <c r="C525" s="110"/>
      <c r="E525" s="220"/>
      <c r="L525" s="277"/>
      <c r="N525" s="147"/>
      <c r="O525" s="148"/>
      <c r="S525" s="277"/>
      <c r="T525" s="68"/>
      <c r="V525" s="279"/>
      <c r="X525" s="277"/>
      <c r="Y525" s="453"/>
      <c r="Z525" s="280"/>
      <c r="AA525" s="277"/>
      <c r="AB525" s="277"/>
      <c r="AC525" s="277"/>
      <c r="AD525" s="110"/>
      <c r="AE525" s="147"/>
      <c r="AF525" s="147"/>
      <c r="AG525" s="281"/>
      <c r="AH525" s="111"/>
      <c r="AI525" s="111"/>
    </row>
    <row r="526" spans="2:35">
      <c r="B526" s="273"/>
      <c r="C526" s="110"/>
      <c r="E526" s="220"/>
      <c r="L526" s="277"/>
      <c r="N526" s="147"/>
      <c r="O526" s="148"/>
      <c r="S526" s="277"/>
      <c r="T526" s="68"/>
      <c r="V526" s="279"/>
      <c r="X526" s="277"/>
      <c r="Y526" s="453"/>
      <c r="Z526" s="280"/>
      <c r="AA526" s="277"/>
      <c r="AB526" s="277"/>
      <c r="AC526" s="277"/>
      <c r="AD526" s="110"/>
      <c r="AE526" s="147"/>
      <c r="AF526" s="147"/>
      <c r="AG526" s="281"/>
      <c r="AH526" s="111"/>
      <c r="AI526" s="111"/>
    </row>
    <row r="527" spans="2:35">
      <c r="B527" s="273"/>
      <c r="C527" s="110"/>
      <c r="E527" s="220"/>
      <c r="L527" s="277"/>
      <c r="N527" s="147"/>
      <c r="O527" s="148"/>
      <c r="S527" s="277"/>
      <c r="T527" s="68"/>
      <c r="V527" s="279"/>
      <c r="X527" s="277"/>
      <c r="Y527" s="453"/>
      <c r="Z527" s="280"/>
      <c r="AA527" s="277"/>
      <c r="AB527" s="277"/>
      <c r="AC527" s="277"/>
      <c r="AD527" s="110"/>
      <c r="AE527" s="147"/>
      <c r="AF527" s="147"/>
      <c r="AG527" s="281"/>
      <c r="AH527" s="111"/>
      <c r="AI527" s="111"/>
    </row>
    <row r="528" spans="2:35">
      <c r="B528" s="273"/>
      <c r="C528" s="110"/>
      <c r="E528" s="220"/>
      <c r="L528" s="277"/>
      <c r="N528" s="147"/>
      <c r="O528" s="148"/>
      <c r="S528" s="277"/>
      <c r="T528" s="68"/>
      <c r="V528" s="279"/>
      <c r="X528" s="277"/>
      <c r="Y528" s="453"/>
      <c r="Z528" s="280"/>
      <c r="AA528" s="277"/>
      <c r="AB528" s="277"/>
      <c r="AC528" s="277"/>
      <c r="AD528" s="110"/>
      <c r="AE528" s="147"/>
      <c r="AF528" s="147"/>
      <c r="AG528" s="281"/>
      <c r="AH528" s="111"/>
      <c r="AI528" s="111"/>
    </row>
    <row r="529" spans="2:35">
      <c r="B529" s="273"/>
      <c r="C529" s="110"/>
      <c r="E529" s="220"/>
      <c r="L529" s="277"/>
      <c r="N529" s="147"/>
      <c r="O529" s="148"/>
      <c r="S529" s="277"/>
      <c r="T529" s="68"/>
      <c r="V529" s="279"/>
      <c r="X529" s="277"/>
      <c r="Y529" s="453"/>
      <c r="Z529" s="280"/>
      <c r="AA529" s="277"/>
      <c r="AB529" s="277"/>
      <c r="AC529" s="277"/>
      <c r="AD529" s="110"/>
      <c r="AE529" s="147"/>
      <c r="AF529" s="147"/>
      <c r="AG529" s="281"/>
      <c r="AH529" s="111"/>
      <c r="AI529" s="111"/>
    </row>
    <row r="530" spans="2:35">
      <c r="B530" s="273"/>
      <c r="C530" s="110"/>
      <c r="E530" s="220"/>
      <c r="L530" s="277"/>
      <c r="N530" s="147"/>
      <c r="O530" s="148"/>
      <c r="S530" s="277"/>
      <c r="T530" s="68"/>
      <c r="V530" s="279"/>
      <c r="X530" s="277"/>
      <c r="Y530" s="453"/>
      <c r="Z530" s="280"/>
      <c r="AA530" s="277"/>
      <c r="AB530" s="277"/>
      <c r="AC530" s="277"/>
      <c r="AD530" s="110"/>
      <c r="AE530" s="147"/>
      <c r="AF530" s="147"/>
      <c r="AG530" s="281"/>
      <c r="AH530" s="111"/>
      <c r="AI530" s="111"/>
    </row>
    <row r="531" spans="2:35">
      <c r="B531" s="273"/>
      <c r="C531" s="110"/>
      <c r="E531" s="220"/>
      <c r="L531" s="277"/>
      <c r="N531" s="147"/>
      <c r="O531" s="148"/>
      <c r="S531" s="277"/>
      <c r="T531" s="68"/>
      <c r="V531" s="279"/>
      <c r="X531" s="277"/>
      <c r="Y531" s="453"/>
      <c r="Z531" s="280"/>
      <c r="AA531" s="277"/>
      <c r="AB531" s="277"/>
      <c r="AC531" s="277"/>
      <c r="AD531" s="110"/>
      <c r="AE531" s="147"/>
      <c r="AF531" s="147"/>
      <c r="AG531" s="281"/>
      <c r="AH531" s="111"/>
      <c r="AI531" s="111"/>
    </row>
    <row r="532" spans="2:35">
      <c r="B532" s="273"/>
      <c r="C532" s="110"/>
      <c r="E532" s="220"/>
      <c r="L532" s="277"/>
      <c r="N532" s="147"/>
      <c r="O532" s="148"/>
      <c r="S532" s="277"/>
      <c r="T532" s="68"/>
      <c r="V532" s="279"/>
      <c r="X532" s="277"/>
      <c r="Y532" s="453"/>
      <c r="Z532" s="280"/>
      <c r="AA532" s="277"/>
      <c r="AB532" s="277"/>
      <c r="AC532" s="277"/>
      <c r="AD532" s="110"/>
      <c r="AE532" s="147"/>
      <c r="AF532" s="147"/>
      <c r="AG532" s="281"/>
      <c r="AH532" s="111"/>
      <c r="AI532" s="111"/>
    </row>
    <row r="533" spans="2:35">
      <c r="B533" s="273"/>
      <c r="C533" s="110"/>
      <c r="E533" s="220"/>
      <c r="L533" s="277"/>
      <c r="N533" s="147"/>
      <c r="O533" s="148"/>
      <c r="S533" s="277"/>
      <c r="T533" s="68"/>
      <c r="V533" s="279"/>
      <c r="X533" s="277"/>
      <c r="Y533" s="453"/>
      <c r="Z533" s="280"/>
      <c r="AA533" s="277"/>
      <c r="AB533" s="277"/>
      <c r="AC533" s="277"/>
      <c r="AD533" s="110"/>
      <c r="AE533" s="147"/>
      <c r="AF533" s="147"/>
      <c r="AG533" s="281"/>
      <c r="AH533" s="111"/>
      <c r="AI533" s="111"/>
    </row>
    <row r="534" spans="2:35">
      <c r="B534" s="273"/>
      <c r="C534" s="110"/>
      <c r="E534" s="220"/>
      <c r="L534" s="277"/>
      <c r="N534" s="147"/>
      <c r="O534" s="148"/>
      <c r="S534" s="277"/>
      <c r="T534" s="68"/>
      <c r="V534" s="279"/>
      <c r="X534" s="277"/>
      <c r="Y534" s="453"/>
      <c r="Z534" s="280"/>
      <c r="AA534" s="277"/>
      <c r="AB534" s="277"/>
      <c r="AC534" s="277"/>
      <c r="AD534" s="110"/>
      <c r="AE534" s="147"/>
      <c r="AF534" s="147"/>
      <c r="AG534" s="281"/>
      <c r="AH534" s="111"/>
      <c r="AI534" s="111"/>
    </row>
    <row r="535" spans="2:35">
      <c r="B535" s="273"/>
      <c r="C535" s="110"/>
      <c r="E535" s="220"/>
      <c r="L535" s="277"/>
      <c r="N535" s="147"/>
      <c r="O535" s="148"/>
      <c r="S535" s="277"/>
      <c r="T535" s="68"/>
      <c r="V535" s="279"/>
      <c r="X535" s="277"/>
      <c r="Y535" s="453"/>
      <c r="Z535" s="280"/>
      <c r="AA535" s="277"/>
      <c r="AB535" s="277"/>
      <c r="AC535" s="277"/>
      <c r="AD535" s="110"/>
      <c r="AE535" s="147"/>
      <c r="AF535" s="147"/>
      <c r="AG535" s="281"/>
      <c r="AH535" s="111"/>
      <c r="AI535" s="111"/>
    </row>
    <row r="536" spans="2:35">
      <c r="B536" s="273"/>
      <c r="C536" s="110"/>
      <c r="E536" s="220"/>
      <c r="L536" s="277"/>
      <c r="N536" s="147"/>
      <c r="O536" s="148"/>
      <c r="S536" s="277"/>
      <c r="T536" s="68"/>
      <c r="V536" s="279"/>
      <c r="X536" s="277"/>
      <c r="Y536" s="453"/>
      <c r="Z536" s="280"/>
      <c r="AA536" s="277"/>
      <c r="AB536" s="277"/>
      <c r="AC536" s="277"/>
      <c r="AD536" s="110"/>
      <c r="AE536" s="147"/>
      <c r="AF536" s="147"/>
      <c r="AG536" s="281"/>
      <c r="AH536" s="111"/>
      <c r="AI536" s="111"/>
    </row>
    <row r="537" spans="2:35">
      <c r="B537" s="273"/>
      <c r="C537" s="110"/>
      <c r="E537" s="220"/>
      <c r="L537" s="277"/>
      <c r="N537" s="147"/>
      <c r="O537" s="148"/>
      <c r="S537" s="277"/>
      <c r="T537" s="68"/>
      <c r="V537" s="279"/>
      <c r="X537" s="277"/>
      <c r="Y537" s="453"/>
      <c r="Z537" s="280"/>
      <c r="AA537" s="277"/>
      <c r="AB537" s="277"/>
      <c r="AC537" s="277"/>
      <c r="AD537" s="110"/>
      <c r="AE537" s="147"/>
      <c r="AF537" s="147"/>
      <c r="AG537" s="281"/>
      <c r="AH537" s="111"/>
      <c r="AI537" s="111"/>
    </row>
    <row r="538" spans="2:35">
      <c r="B538" s="273"/>
      <c r="C538" s="110"/>
      <c r="E538" s="220"/>
      <c r="L538" s="277"/>
      <c r="N538" s="147"/>
      <c r="O538" s="148"/>
      <c r="S538" s="277"/>
      <c r="T538" s="68"/>
      <c r="V538" s="279"/>
      <c r="X538" s="277"/>
      <c r="Y538" s="453"/>
      <c r="Z538" s="280"/>
      <c r="AA538" s="277"/>
      <c r="AB538" s="277"/>
      <c r="AC538" s="277"/>
      <c r="AD538" s="110"/>
      <c r="AE538" s="147"/>
      <c r="AF538" s="147"/>
      <c r="AG538" s="281"/>
      <c r="AH538" s="111"/>
      <c r="AI538" s="111"/>
    </row>
    <row r="539" spans="2:35">
      <c r="B539" s="273"/>
      <c r="C539" s="110"/>
      <c r="E539" s="220"/>
      <c r="L539" s="277"/>
      <c r="N539" s="147"/>
      <c r="O539" s="148"/>
      <c r="S539" s="277"/>
      <c r="T539" s="68"/>
      <c r="V539" s="279"/>
      <c r="X539" s="277"/>
      <c r="Y539" s="453"/>
      <c r="Z539" s="280"/>
      <c r="AA539" s="277"/>
      <c r="AB539" s="277"/>
      <c r="AC539" s="277"/>
      <c r="AD539" s="110"/>
      <c r="AE539" s="147"/>
      <c r="AF539" s="147"/>
      <c r="AG539" s="281"/>
      <c r="AH539" s="111"/>
      <c r="AI539" s="111"/>
    </row>
    <row r="540" spans="2:35">
      <c r="B540" s="273"/>
      <c r="C540" s="110"/>
      <c r="E540" s="220"/>
      <c r="L540" s="277"/>
      <c r="N540" s="147"/>
      <c r="O540" s="148"/>
      <c r="S540" s="277"/>
      <c r="T540" s="68"/>
      <c r="V540" s="279"/>
      <c r="X540" s="277"/>
      <c r="Y540" s="453"/>
      <c r="Z540" s="280"/>
      <c r="AA540" s="277"/>
      <c r="AB540" s="277"/>
      <c r="AC540" s="277"/>
      <c r="AD540" s="110"/>
      <c r="AE540" s="147"/>
      <c r="AF540" s="147"/>
      <c r="AG540" s="281"/>
      <c r="AH540" s="111"/>
      <c r="AI540" s="111"/>
    </row>
    <row r="541" spans="2:35">
      <c r="B541" s="273"/>
      <c r="C541" s="110"/>
      <c r="E541" s="220"/>
      <c r="L541" s="277"/>
      <c r="N541" s="147"/>
      <c r="O541" s="148"/>
      <c r="S541" s="277"/>
      <c r="T541" s="68"/>
      <c r="V541" s="279"/>
      <c r="X541" s="277"/>
      <c r="Y541" s="453"/>
      <c r="Z541" s="280"/>
      <c r="AA541" s="277"/>
      <c r="AB541" s="277"/>
      <c r="AC541" s="277"/>
      <c r="AD541" s="110"/>
      <c r="AE541" s="147"/>
      <c r="AF541" s="147"/>
      <c r="AG541" s="281"/>
      <c r="AH541" s="111"/>
      <c r="AI541" s="111"/>
    </row>
    <row r="542" spans="2:35">
      <c r="B542" s="273"/>
      <c r="C542" s="110"/>
      <c r="E542" s="220"/>
      <c r="L542" s="277"/>
      <c r="N542" s="147"/>
      <c r="O542" s="148"/>
      <c r="S542" s="277"/>
      <c r="T542" s="68"/>
      <c r="V542" s="279"/>
      <c r="X542" s="277"/>
      <c r="Y542" s="453"/>
      <c r="Z542" s="280"/>
      <c r="AA542" s="277"/>
      <c r="AB542" s="277"/>
      <c r="AC542" s="277"/>
      <c r="AD542" s="110"/>
      <c r="AE542" s="147"/>
      <c r="AF542" s="147"/>
      <c r="AG542" s="281"/>
      <c r="AH542" s="111"/>
      <c r="AI542" s="111"/>
    </row>
    <row r="543" spans="2:35">
      <c r="B543" s="273"/>
      <c r="C543" s="110"/>
      <c r="E543" s="220"/>
      <c r="L543" s="277"/>
      <c r="N543" s="147"/>
      <c r="O543" s="148"/>
      <c r="S543" s="277"/>
      <c r="T543" s="68"/>
      <c r="V543" s="279"/>
      <c r="X543" s="277"/>
      <c r="Y543" s="453"/>
      <c r="Z543" s="280"/>
      <c r="AA543" s="277"/>
      <c r="AB543" s="277"/>
      <c r="AC543" s="277"/>
      <c r="AD543" s="110"/>
      <c r="AE543" s="147"/>
      <c r="AF543" s="147"/>
      <c r="AG543" s="281"/>
      <c r="AH543" s="111"/>
      <c r="AI543" s="111"/>
    </row>
    <row r="544" spans="2:35">
      <c r="B544" s="273"/>
      <c r="C544" s="110"/>
      <c r="E544" s="220"/>
      <c r="L544" s="277"/>
      <c r="N544" s="147"/>
      <c r="O544" s="148"/>
      <c r="S544" s="277"/>
      <c r="T544" s="68"/>
      <c r="V544" s="279"/>
      <c r="X544" s="277"/>
      <c r="Y544" s="453"/>
      <c r="Z544" s="280"/>
      <c r="AA544" s="277"/>
      <c r="AB544" s="277"/>
      <c r="AC544" s="277"/>
      <c r="AD544" s="110"/>
      <c r="AE544" s="147"/>
      <c r="AF544" s="147"/>
      <c r="AG544" s="281"/>
      <c r="AH544" s="111"/>
      <c r="AI544" s="111"/>
    </row>
    <row r="545" spans="2:35">
      <c r="B545" s="273"/>
      <c r="C545" s="110"/>
      <c r="E545" s="220"/>
      <c r="L545" s="277"/>
      <c r="N545" s="147"/>
      <c r="O545" s="148"/>
      <c r="S545" s="277"/>
      <c r="T545" s="68"/>
      <c r="V545" s="279"/>
      <c r="X545" s="277"/>
      <c r="Y545" s="453"/>
      <c r="Z545" s="280"/>
      <c r="AA545" s="277"/>
      <c r="AB545" s="277"/>
      <c r="AC545" s="277"/>
      <c r="AD545" s="110"/>
      <c r="AE545" s="147"/>
      <c r="AF545" s="147"/>
      <c r="AG545" s="281"/>
      <c r="AH545" s="111"/>
      <c r="AI545" s="111"/>
    </row>
    <row r="546" spans="2:35">
      <c r="B546" s="273"/>
      <c r="C546" s="110"/>
      <c r="E546" s="220"/>
      <c r="L546" s="277"/>
      <c r="N546" s="147"/>
      <c r="O546" s="148"/>
      <c r="S546" s="277"/>
      <c r="T546" s="68"/>
      <c r="V546" s="279"/>
      <c r="X546" s="277"/>
      <c r="Y546" s="453"/>
      <c r="Z546" s="280"/>
      <c r="AA546" s="277"/>
      <c r="AB546" s="277"/>
      <c r="AC546" s="277"/>
      <c r="AD546" s="110"/>
      <c r="AE546" s="147"/>
      <c r="AF546" s="147"/>
      <c r="AG546" s="281"/>
      <c r="AH546" s="111"/>
      <c r="AI546" s="111"/>
    </row>
    <row r="547" spans="2:35">
      <c r="B547" s="273"/>
      <c r="C547" s="110"/>
      <c r="E547" s="220"/>
      <c r="L547" s="277"/>
      <c r="N547" s="147"/>
      <c r="O547" s="148"/>
      <c r="S547" s="277"/>
      <c r="T547" s="68"/>
      <c r="V547" s="279"/>
      <c r="X547" s="277"/>
      <c r="Y547" s="453"/>
      <c r="Z547" s="280"/>
      <c r="AA547" s="277"/>
      <c r="AB547" s="277"/>
      <c r="AC547" s="277"/>
      <c r="AD547" s="110"/>
      <c r="AE547" s="147"/>
      <c r="AF547" s="147"/>
      <c r="AG547" s="281"/>
      <c r="AH547" s="111"/>
      <c r="AI547" s="111"/>
    </row>
    <row r="548" spans="2:35">
      <c r="B548" s="273"/>
      <c r="C548" s="110"/>
      <c r="E548" s="220"/>
      <c r="L548" s="277"/>
      <c r="N548" s="147"/>
      <c r="O548" s="148"/>
      <c r="S548" s="277"/>
      <c r="T548" s="68"/>
      <c r="V548" s="279"/>
      <c r="X548" s="277"/>
      <c r="Y548" s="453"/>
      <c r="Z548" s="280"/>
      <c r="AA548" s="277"/>
      <c r="AB548" s="277"/>
      <c r="AC548" s="277"/>
      <c r="AD548" s="110"/>
      <c r="AE548" s="147"/>
      <c r="AF548" s="147"/>
      <c r="AG548" s="281"/>
      <c r="AH548" s="111"/>
      <c r="AI548" s="111"/>
    </row>
    <row r="549" spans="2:35">
      <c r="B549" s="273"/>
      <c r="C549" s="110"/>
      <c r="E549" s="220"/>
      <c r="L549" s="277"/>
      <c r="N549" s="147"/>
      <c r="O549" s="148"/>
      <c r="S549" s="277"/>
      <c r="T549" s="68"/>
      <c r="V549" s="279"/>
      <c r="X549" s="277"/>
      <c r="Y549" s="453"/>
      <c r="Z549" s="280"/>
      <c r="AA549" s="277"/>
      <c r="AB549" s="277"/>
      <c r="AC549" s="277"/>
      <c r="AD549" s="110"/>
      <c r="AE549" s="147"/>
      <c r="AF549" s="147"/>
      <c r="AG549" s="281"/>
      <c r="AH549" s="111"/>
      <c r="AI549" s="111"/>
    </row>
    <row r="550" spans="2:35">
      <c r="B550" s="273"/>
      <c r="C550" s="110"/>
      <c r="E550" s="220"/>
      <c r="L550" s="277"/>
      <c r="N550" s="147"/>
      <c r="O550" s="148"/>
      <c r="S550" s="277"/>
      <c r="T550" s="68"/>
      <c r="V550" s="279"/>
      <c r="X550" s="277"/>
      <c r="Y550" s="453"/>
      <c r="Z550" s="280"/>
      <c r="AA550" s="277"/>
      <c r="AB550" s="277"/>
      <c r="AC550" s="277"/>
      <c r="AD550" s="110"/>
      <c r="AE550" s="147"/>
      <c r="AF550" s="147"/>
      <c r="AG550" s="281"/>
      <c r="AH550" s="111"/>
      <c r="AI550" s="111"/>
    </row>
    <row r="551" spans="2:35">
      <c r="B551" s="273"/>
      <c r="C551" s="110"/>
      <c r="E551" s="220"/>
      <c r="L551" s="277"/>
      <c r="N551" s="147"/>
      <c r="O551" s="148"/>
      <c r="S551" s="277"/>
      <c r="T551" s="68"/>
      <c r="V551" s="279"/>
      <c r="X551" s="277"/>
      <c r="Y551" s="453"/>
      <c r="Z551" s="280"/>
      <c r="AA551" s="277"/>
      <c r="AB551" s="277"/>
      <c r="AC551" s="277"/>
      <c r="AD551" s="110"/>
      <c r="AE551" s="147"/>
      <c r="AF551" s="147"/>
      <c r="AG551" s="281"/>
      <c r="AH551" s="111"/>
      <c r="AI551" s="111"/>
    </row>
    <row r="552" spans="2:35">
      <c r="B552" s="273"/>
      <c r="C552" s="110"/>
      <c r="E552" s="220"/>
      <c r="L552" s="277"/>
      <c r="N552" s="147"/>
      <c r="O552" s="148"/>
      <c r="S552" s="277"/>
      <c r="T552" s="68"/>
      <c r="V552" s="279"/>
      <c r="X552" s="277"/>
      <c r="Y552" s="453"/>
      <c r="Z552" s="280"/>
      <c r="AA552" s="277"/>
      <c r="AB552" s="277"/>
      <c r="AC552" s="277"/>
      <c r="AD552" s="110"/>
      <c r="AE552" s="147"/>
      <c r="AF552" s="147"/>
      <c r="AG552" s="281"/>
      <c r="AH552" s="111"/>
      <c r="AI552" s="111"/>
    </row>
    <row r="553" spans="2:35">
      <c r="B553" s="273"/>
      <c r="C553" s="110"/>
      <c r="E553" s="220"/>
      <c r="L553" s="277"/>
      <c r="N553" s="147"/>
      <c r="O553" s="148"/>
      <c r="S553" s="277"/>
      <c r="T553" s="68"/>
      <c r="V553" s="279"/>
      <c r="X553" s="277"/>
      <c r="Y553" s="453"/>
      <c r="Z553" s="280"/>
      <c r="AA553" s="277"/>
      <c r="AB553" s="277"/>
      <c r="AC553" s="277"/>
      <c r="AD553" s="110"/>
      <c r="AE553" s="147"/>
      <c r="AF553" s="147"/>
      <c r="AG553" s="281"/>
      <c r="AH553" s="111"/>
      <c r="AI553" s="111"/>
    </row>
    <row r="554" spans="2:35">
      <c r="B554" s="273"/>
      <c r="C554" s="110"/>
      <c r="E554" s="220"/>
      <c r="L554" s="277"/>
      <c r="N554" s="147"/>
      <c r="O554" s="148"/>
      <c r="S554" s="277"/>
      <c r="T554" s="68"/>
      <c r="V554" s="279"/>
      <c r="X554" s="277"/>
      <c r="Y554" s="453"/>
      <c r="Z554" s="280"/>
      <c r="AA554" s="277"/>
      <c r="AB554" s="277"/>
      <c r="AC554" s="277"/>
      <c r="AD554" s="110"/>
      <c r="AE554" s="147"/>
      <c r="AF554" s="147"/>
      <c r="AG554" s="281"/>
      <c r="AH554" s="111"/>
      <c r="AI554" s="111"/>
    </row>
    <row r="555" spans="2:35">
      <c r="B555" s="273"/>
      <c r="C555" s="110"/>
      <c r="E555" s="220"/>
      <c r="L555" s="277"/>
      <c r="N555" s="147"/>
      <c r="O555" s="148"/>
      <c r="S555" s="277"/>
      <c r="T555" s="68"/>
      <c r="V555" s="279"/>
      <c r="X555" s="277"/>
      <c r="Y555" s="453"/>
      <c r="Z555" s="280"/>
      <c r="AA555" s="277"/>
      <c r="AB555" s="277"/>
      <c r="AC555" s="277"/>
      <c r="AD555" s="110"/>
      <c r="AE555" s="147"/>
      <c r="AF555" s="147"/>
      <c r="AG555" s="281"/>
      <c r="AH555" s="111"/>
      <c r="AI555" s="111"/>
    </row>
    <row r="556" spans="2:35">
      <c r="B556" s="273"/>
      <c r="C556" s="110"/>
      <c r="E556" s="220"/>
      <c r="L556" s="277"/>
      <c r="N556" s="147"/>
      <c r="O556" s="148"/>
      <c r="S556" s="277"/>
      <c r="T556" s="68"/>
      <c r="V556" s="279"/>
      <c r="X556" s="277"/>
      <c r="Y556" s="453"/>
      <c r="Z556" s="280"/>
      <c r="AA556" s="277"/>
      <c r="AB556" s="277"/>
      <c r="AC556" s="277"/>
      <c r="AD556" s="110"/>
      <c r="AE556" s="147"/>
      <c r="AF556" s="147"/>
      <c r="AG556" s="281"/>
      <c r="AH556" s="111"/>
      <c r="AI556" s="111"/>
    </row>
    <row r="557" spans="2:35">
      <c r="B557" s="273"/>
      <c r="C557" s="110"/>
      <c r="E557" s="220"/>
      <c r="L557" s="277"/>
      <c r="N557" s="147"/>
      <c r="O557" s="148"/>
      <c r="S557" s="277"/>
      <c r="T557" s="68"/>
      <c r="V557" s="279"/>
      <c r="X557" s="277"/>
      <c r="Y557" s="453"/>
      <c r="Z557" s="280"/>
      <c r="AA557" s="277"/>
      <c r="AB557" s="277"/>
      <c r="AC557" s="277"/>
      <c r="AD557" s="110"/>
      <c r="AE557" s="147"/>
      <c r="AF557" s="147"/>
      <c r="AG557" s="281"/>
      <c r="AH557" s="111"/>
      <c r="AI557" s="111"/>
    </row>
    <row r="558" spans="2:35">
      <c r="B558" s="273"/>
      <c r="C558" s="110"/>
      <c r="E558" s="220"/>
      <c r="L558" s="277"/>
      <c r="N558" s="147"/>
      <c r="O558" s="148"/>
      <c r="S558" s="277"/>
      <c r="T558" s="68"/>
      <c r="V558" s="279"/>
      <c r="X558" s="277"/>
      <c r="Y558" s="453"/>
      <c r="Z558" s="280"/>
      <c r="AA558" s="277"/>
      <c r="AB558" s="277"/>
      <c r="AC558" s="277"/>
      <c r="AD558" s="110"/>
      <c r="AE558" s="147"/>
      <c r="AF558" s="147"/>
      <c r="AG558" s="281"/>
      <c r="AH558" s="111"/>
      <c r="AI558" s="111"/>
    </row>
    <row r="559" spans="2:35">
      <c r="B559" s="273"/>
      <c r="C559" s="110"/>
      <c r="E559" s="220"/>
      <c r="L559" s="277"/>
      <c r="N559" s="147"/>
      <c r="O559" s="148"/>
      <c r="S559" s="277"/>
      <c r="T559" s="68"/>
      <c r="V559" s="279"/>
      <c r="X559" s="277"/>
      <c r="Y559" s="453"/>
      <c r="Z559" s="280"/>
      <c r="AA559" s="277"/>
      <c r="AB559" s="277"/>
      <c r="AC559" s="277"/>
      <c r="AD559" s="110"/>
      <c r="AE559" s="147"/>
      <c r="AF559" s="147"/>
      <c r="AG559" s="281"/>
      <c r="AH559" s="111"/>
      <c r="AI559" s="111"/>
    </row>
    <row r="560" spans="2:35">
      <c r="B560" s="273"/>
      <c r="C560" s="110"/>
      <c r="E560" s="220"/>
      <c r="L560" s="277"/>
      <c r="N560" s="147"/>
      <c r="O560" s="148"/>
      <c r="S560" s="277"/>
      <c r="T560" s="68"/>
      <c r="V560" s="279"/>
      <c r="X560" s="277"/>
      <c r="Y560" s="453"/>
      <c r="Z560" s="280"/>
      <c r="AA560" s="277"/>
      <c r="AB560" s="277"/>
      <c r="AC560" s="277"/>
      <c r="AD560" s="110"/>
      <c r="AE560" s="147"/>
      <c r="AF560" s="147"/>
      <c r="AG560" s="281"/>
      <c r="AH560" s="111"/>
      <c r="AI560" s="111"/>
    </row>
    <row r="561" spans="2:35">
      <c r="B561" s="273"/>
      <c r="C561" s="110"/>
      <c r="E561" s="220"/>
      <c r="L561" s="277"/>
      <c r="N561" s="147"/>
      <c r="O561" s="148"/>
      <c r="S561" s="277"/>
      <c r="T561" s="68"/>
      <c r="V561" s="279"/>
      <c r="X561" s="277"/>
      <c r="Y561" s="453"/>
      <c r="Z561" s="280"/>
      <c r="AA561" s="277"/>
      <c r="AB561" s="277"/>
      <c r="AC561" s="277"/>
      <c r="AD561" s="110"/>
      <c r="AE561" s="147"/>
      <c r="AF561" s="147"/>
      <c r="AG561" s="281"/>
      <c r="AH561" s="111"/>
      <c r="AI561" s="111"/>
    </row>
    <row r="562" spans="2:35">
      <c r="B562" s="273"/>
      <c r="C562" s="110"/>
      <c r="E562" s="220"/>
      <c r="L562" s="277"/>
      <c r="N562" s="147"/>
      <c r="O562" s="148"/>
      <c r="S562" s="277"/>
      <c r="T562" s="68"/>
      <c r="V562" s="279"/>
      <c r="X562" s="277"/>
      <c r="Y562" s="453"/>
      <c r="Z562" s="280"/>
      <c r="AA562" s="277"/>
      <c r="AB562" s="277"/>
      <c r="AC562" s="277"/>
      <c r="AD562" s="110"/>
      <c r="AE562" s="147"/>
      <c r="AF562" s="147"/>
      <c r="AG562" s="281"/>
      <c r="AH562" s="111"/>
      <c r="AI562" s="111"/>
    </row>
    <row r="563" spans="2:35">
      <c r="B563" s="273"/>
      <c r="C563" s="110"/>
      <c r="E563" s="220"/>
      <c r="L563" s="277"/>
      <c r="N563" s="147"/>
      <c r="O563" s="148"/>
      <c r="S563" s="277"/>
      <c r="T563" s="68"/>
      <c r="V563" s="279"/>
      <c r="X563" s="277"/>
      <c r="Y563" s="453"/>
      <c r="Z563" s="280"/>
      <c r="AA563" s="277"/>
      <c r="AB563" s="277"/>
      <c r="AC563" s="277"/>
      <c r="AD563" s="110"/>
      <c r="AE563" s="147"/>
      <c r="AF563" s="147"/>
      <c r="AG563" s="281"/>
      <c r="AH563" s="111"/>
      <c r="AI563" s="111"/>
    </row>
    <row r="564" spans="2:35">
      <c r="B564" s="273"/>
      <c r="C564" s="110"/>
      <c r="E564" s="220"/>
      <c r="L564" s="277"/>
      <c r="N564" s="147"/>
      <c r="O564" s="148"/>
      <c r="S564" s="277"/>
      <c r="T564" s="68"/>
      <c r="V564" s="279"/>
      <c r="X564" s="277"/>
      <c r="Y564" s="453"/>
      <c r="Z564" s="280"/>
      <c r="AA564" s="277"/>
      <c r="AB564" s="277"/>
      <c r="AC564" s="277"/>
      <c r="AD564" s="110"/>
      <c r="AE564" s="147"/>
      <c r="AF564" s="147"/>
      <c r="AG564" s="281"/>
      <c r="AH564" s="111"/>
      <c r="AI564" s="111"/>
    </row>
    <row r="565" spans="2:35">
      <c r="B565" s="273"/>
      <c r="C565" s="110"/>
      <c r="E565" s="220"/>
      <c r="L565" s="277"/>
      <c r="N565" s="147"/>
      <c r="O565" s="148"/>
      <c r="S565" s="277"/>
      <c r="T565" s="68"/>
      <c r="V565" s="279"/>
      <c r="X565" s="277"/>
      <c r="Y565" s="453"/>
      <c r="Z565" s="280"/>
      <c r="AA565" s="277"/>
      <c r="AB565" s="277"/>
      <c r="AC565" s="277"/>
      <c r="AD565" s="110"/>
      <c r="AE565" s="147"/>
      <c r="AF565" s="147"/>
      <c r="AG565" s="281"/>
      <c r="AH565" s="111"/>
      <c r="AI565" s="111"/>
    </row>
    <row r="566" spans="2:35">
      <c r="B566" s="273"/>
      <c r="C566" s="110"/>
      <c r="E566" s="220"/>
      <c r="L566" s="277"/>
      <c r="N566" s="147"/>
      <c r="O566" s="148"/>
      <c r="S566" s="277"/>
      <c r="T566" s="68"/>
      <c r="V566" s="279"/>
      <c r="X566" s="277"/>
      <c r="Y566" s="453"/>
      <c r="Z566" s="280"/>
      <c r="AA566" s="277"/>
      <c r="AB566" s="277"/>
      <c r="AC566" s="277"/>
      <c r="AD566" s="110"/>
      <c r="AE566" s="147"/>
      <c r="AF566" s="147"/>
      <c r="AG566" s="281"/>
      <c r="AH566" s="111"/>
      <c r="AI566" s="111"/>
    </row>
    <row r="567" spans="2:35">
      <c r="B567" s="273"/>
      <c r="C567" s="110"/>
      <c r="E567" s="220"/>
      <c r="L567" s="277"/>
      <c r="N567" s="147"/>
      <c r="O567" s="148"/>
      <c r="S567" s="277"/>
      <c r="T567" s="68"/>
      <c r="V567" s="279"/>
      <c r="X567" s="277"/>
      <c r="Y567" s="453"/>
      <c r="Z567" s="280"/>
      <c r="AA567" s="277"/>
      <c r="AB567" s="277"/>
      <c r="AC567" s="277"/>
      <c r="AD567" s="110"/>
      <c r="AE567" s="147"/>
      <c r="AF567" s="147"/>
      <c r="AG567" s="281"/>
      <c r="AH567" s="111"/>
      <c r="AI567" s="111"/>
    </row>
    <row r="568" spans="2:35">
      <c r="B568" s="273"/>
      <c r="C568" s="110"/>
      <c r="E568" s="220"/>
      <c r="L568" s="277"/>
      <c r="N568" s="147"/>
      <c r="O568" s="148"/>
      <c r="S568" s="277"/>
      <c r="T568" s="68"/>
      <c r="V568" s="279"/>
      <c r="X568" s="277"/>
      <c r="Y568" s="453"/>
      <c r="Z568" s="280"/>
      <c r="AA568" s="277"/>
      <c r="AB568" s="277"/>
      <c r="AC568" s="277"/>
      <c r="AD568" s="110"/>
      <c r="AE568" s="147"/>
      <c r="AF568" s="147"/>
      <c r="AG568" s="281"/>
      <c r="AH568" s="111"/>
      <c r="AI568" s="111"/>
    </row>
    <row r="569" spans="2:35">
      <c r="B569" s="273"/>
      <c r="C569" s="110"/>
      <c r="E569" s="220"/>
      <c r="L569" s="277"/>
      <c r="N569" s="147"/>
      <c r="O569" s="148"/>
      <c r="S569" s="277"/>
      <c r="T569" s="68"/>
      <c r="V569" s="279"/>
      <c r="X569" s="277"/>
      <c r="Y569" s="453"/>
      <c r="Z569" s="280"/>
      <c r="AA569" s="277"/>
      <c r="AB569" s="277"/>
      <c r="AC569" s="277"/>
      <c r="AD569" s="110"/>
      <c r="AE569" s="147"/>
      <c r="AF569" s="147"/>
      <c r="AG569" s="281"/>
      <c r="AH569" s="111"/>
      <c r="AI569" s="111"/>
    </row>
    <row r="570" spans="2:35">
      <c r="B570" s="273"/>
      <c r="C570" s="110"/>
      <c r="E570" s="220"/>
      <c r="L570" s="277"/>
      <c r="N570" s="147"/>
      <c r="O570" s="148"/>
      <c r="S570" s="277"/>
      <c r="T570" s="68"/>
      <c r="V570" s="279"/>
      <c r="X570" s="277"/>
      <c r="Y570" s="453"/>
      <c r="Z570" s="280"/>
      <c r="AA570" s="277"/>
      <c r="AB570" s="277"/>
      <c r="AC570" s="277"/>
      <c r="AD570" s="110"/>
      <c r="AE570" s="147"/>
      <c r="AF570" s="147"/>
      <c r="AG570" s="281"/>
      <c r="AH570" s="111"/>
      <c r="AI570" s="111"/>
    </row>
    <row r="571" spans="2:35">
      <c r="B571" s="273"/>
      <c r="C571" s="110"/>
      <c r="E571" s="220"/>
      <c r="L571" s="277"/>
      <c r="N571" s="147"/>
      <c r="O571" s="148"/>
      <c r="S571" s="277"/>
      <c r="T571" s="68"/>
      <c r="V571" s="279"/>
      <c r="X571" s="277"/>
      <c r="Y571" s="453"/>
      <c r="Z571" s="280"/>
      <c r="AA571" s="277"/>
      <c r="AB571" s="277"/>
      <c r="AC571" s="277"/>
      <c r="AD571" s="110"/>
      <c r="AE571" s="147"/>
      <c r="AF571" s="147"/>
      <c r="AG571" s="281"/>
      <c r="AH571" s="111"/>
      <c r="AI571" s="111"/>
    </row>
    <row r="572" spans="2:35">
      <c r="B572" s="273"/>
      <c r="C572" s="110"/>
      <c r="E572" s="220"/>
      <c r="L572" s="277"/>
      <c r="N572" s="147"/>
      <c r="O572" s="148"/>
      <c r="S572" s="277"/>
      <c r="T572" s="68"/>
      <c r="V572" s="279"/>
      <c r="X572" s="277"/>
      <c r="Y572" s="453"/>
      <c r="Z572" s="280"/>
      <c r="AA572" s="277"/>
      <c r="AB572" s="277"/>
      <c r="AC572" s="277"/>
      <c r="AD572" s="110"/>
      <c r="AE572" s="147"/>
      <c r="AF572" s="147"/>
      <c r="AG572" s="281"/>
      <c r="AH572" s="111"/>
      <c r="AI572" s="111"/>
    </row>
    <row r="573" spans="2:35">
      <c r="B573" s="273"/>
      <c r="C573" s="110"/>
      <c r="E573" s="220"/>
      <c r="L573" s="277"/>
      <c r="N573" s="147"/>
      <c r="O573" s="148"/>
      <c r="S573" s="277"/>
      <c r="T573" s="68"/>
      <c r="V573" s="279"/>
      <c r="X573" s="277"/>
      <c r="Y573" s="453"/>
      <c r="Z573" s="280"/>
      <c r="AA573" s="277"/>
      <c r="AB573" s="277"/>
      <c r="AC573" s="277"/>
      <c r="AD573" s="110"/>
      <c r="AE573" s="147"/>
      <c r="AF573" s="147"/>
      <c r="AG573" s="281"/>
      <c r="AH573" s="111"/>
      <c r="AI573" s="111"/>
    </row>
    <row r="574" spans="2:35">
      <c r="B574" s="273"/>
      <c r="C574" s="110"/>
      <c r="E574" s="220"/>
      <c r="L574" s="277"/>
      <c r="N574" s="147"/>
      <c r="O574" s="148"/>
      <c r="S574" s="277"/>
      <c r="T574" s="68"/>
      <c r="V574" s="279"/>
      <c r="X574" s="277"/>
      <c r="Y574" s="453"/>
      <c r="Z574" s="280"/>
      <c r="AA574" s="277"/>
      <c r="AB574" s="277"/>
      <c r="AC574" s="277"/>
      <c r="AD574" s="110"/>
      <c r="AE574" s="147"/>
      <c r="AF574" s="147"/>
      <c r="AG574" s="281"/>
      <c r="AH574" s="111"/>
      <c r="AI574" s="111"/>
    </row>
    <row r="575" spans="2:35">
      <c r="B575" s="273"/>
      <c r="C575" s="110"/>
      <c r="E575" s="220"/>
      <c r="L575" s="277"/>
      <c r="N575" s="147"/>
      <c r="O575" s="148"/>
      <c r="S575" s="277"/>
      <c r="T575" s="68"/>
      <c r="V575" s="279"/>
      <c r="X575" s="277"/>
      <c r="Y575" s="453"/>
      <c r="Z575" s="280"/>
      <c r="AA575" s="277"/>
      <c r="AB575" s="277"/>
      <c r="AC575" s="277"/>
      <c r="AD575" s="110"/>
      <c r="AE575" s="147"/>
      <c r="AF575" s="147"/>
      <c r="AG575" s="281"/>
      <c r="AH575" s="111"/>
      <c r="AI575" s="111"/>
    </row>
    <row r="576" spans="2:35">
      <c r="B576" s="273"/>
      <c r="C576" s="110"/>
      <c r="E576" s="220"/>
      <c r="L576" s="277"/>
      <c r="N576" s="147"/>
      <c r="O576" s="148"/>
      <c r="S576" s="277"/>
      <c r="T576" s="68"/>
      <c r="V576" s="279"/>
      <c r="X576" s="277"/>
      <c r="Y576" s="453"/>
      <c r="Z576" s="280"/>
      <c r="AA576" s="277"/>
      <c r="AB576" s="277"/>
      <c r="AC576" s="277"/>
      <c r="AD576" s="110"/>
      <c r="AE576" s="147"/>
      <c r="AF576" s="147"/>
      <c r="AG576" s="281"/>
      <c r="AH576" s="111"/>
      <c r="AI576" s="111"/>
    </row>
    <row r="577" spans="2:35">
      <c r="B577" s="273"/>
      <c r="C577" s="110"/>
      <c r="E577" s="220"/>
      <c r="L577" s="277"/>
      <c r="N577" s="147"/>
      <c r="O577" s="148"/>
      <c r="S577" s="277"/>
      <c r="T577" s="68"/>
      <c r="V577" s="279"/>
      <c r="X577" s="277"/>
      <c r="Y577" s="453"/>
      <c r="Z577" s="280"/>
      <c r="AA577" s="277"/>
      <c r="AB577" s="277"/>
      <c r="AC577" s="277"/>
      <c r="AD577" s="110"/>
      <c r="AE577" s="147"/>
      <c r="AF577" s="147"/>
      <c r="AG577" s="281"/>
      <c r="AH577" s="111"/>
      <c r="AI577" s="111"/>
    </row>
    <row r="578" spans="2:35">
      <c r="B578" s="273"/>
      <c r="C578" s="110"/>
      <c r="E578" s="220"/>
      <c r="L578" s="277"/>
      <c r="N578" s="147"/>
      <c r="O578" s="148"/>
      <c r="S578" s="277"/>
      <c r="T578" s="68"/>
      <c r="V578" s="279"/>
      <c r="X578" s="277"/>
      <c r="Y578" s="453"/>
      <c r="Z578" s="280"/>
      <c r="AA578" s="277"/>
      <c r="AB578" s="277"/>
      <c r="AC578" s="277"/>
      <c r="AD578" s="110"/>
      <c r="AE578" s="147"/>
      <c r="AF578" s="147"/>
      <c r="AG578" s="281"/>
      <c r="AH578" s="111"/>
      <c r="AI578" s="111"/>
    </row>
    <row r="579" spans="2:35">
      <c r="B579" s="273"/>
      <c r="C579" s="110"/>
      <c r="E579" s="220"/>
      <c r="L579" s="277"/>
      <c r="N579" s="147"/>
      <c r="O579" s="148"/>
      <c r="S579" s="277"/>
      <c r="T579" s="68"/>
      <c r="V579" s="279"/>
      <c r="X579" s="277"/>
      <c r="Y579" s="453"/>
      <c r="Z579" s="280"/>
      <c r="AA579" s="277"/>
      <c r="AB579" s="277"/>
      <c r="AC579" s="277"/>
      <c r="AD579" s="110"/>
      <c r="AE579" s="147"/>
      <c r="AF579" s="147"/>
      <c r="AG579" s="281"/>
      <c r="AH579" s="111"/>
      <c r="AI579" s="111"/>
    </row>
    <row r="580" spans="2:35">
      <c r="B580" s="273"/>
      <c r="C580" s="110"/>
      <c r="E580" s="220"/>
      <c r="L580" s="277"/>
      <c r="N580" s="147"/>
      <c r="O580" s="148"/>
      <c r="S580" s="277"/>
      <c r="T580" s="68"/>
      <c r="V580" s="279"/>
      <c r="X580" s="277"/>
      <c r="Y580" s="453"/>
      <c r="Z580" s="280"/>
      <c r="AA580" s="277"/>
      <c r="AB580" s="277"/>
      <c r="AC580" s="277"/>
      <c r="AD580" s="110"/>
      <c r="AE580" s="147"/>
      <c r="AF580" s="147"/>
      <c r="AG580" s="281"/>
      <c r="AH580" s="111"/>
      <c r="AI580" s="111"/>
    </row>
    <row r="581" spans="2:35">
      <c r="B581" s="273"/>
      <c r="C581" s="110"/>
      <c r="E581" s="220"/>
      <c r="L581" s="277"/>
      <c r="N581" s="147"/>
      <c r="O581" s="148"/>
      <c r="S581" s="277"/>
      <c r="T581" s="68"/>
      <c r="V581" s="279"/>
      <c r="X581" s="277"/>
      <c r="Y581" s="453"/>
      <c r="Z581" s="280"/>
      <c r="AA581" s="277"/>
      <c r="AB581" s="277"/>
      <c r="AC581" s="277"/>
      <c r="AD581" s="110"/>
      <c r="AE581" s="147"/>
      <c r="AF581" s="147"/>
      <c r="AG581" s="281"/>
      <c r="AH581" s="111"/>
      <c r="AI581" s="111"/>
    </row>
    <row r="582" spans="2:35">
      <c r="B582" s="273"/>
      <c r="C582" s="110"/>
      <c r="E582" s="220"/>
      <c r="L582" s="277"/>
      <c r="N582" s="147"/>
      <c r="O582" s="148"/>
      <c r="S582" s="277"/>
      <c r="T582" s="68"/>
      <c r="V582" s="279"/>
      <c r="X582" s="277"/>
      <c r="Y582" s="453"/>
      <c r="Z582" s="280"/>
      <c r="AA582" s="277"/>
      <c r="AB582" s="277"/>
      <c r="AC582" s="277"/>
      <c r="AD582" s="110"/>
      <c r="AE582" s="147"/>
      <c r="AF582" s="147"/>
      <c r="AG582" s="281"/>
      <c r="AH582" s="111"/>
      <c r="AI582" s="111"/>
    </row>
    <row r="583" spans="2:35">
      <c r="B583" s="273"/>
      <c r="C583" s="110"/>
      <c r="E583" s="220"/>
      <c r="L583" s="277"/>
      <c r="N583" s="147"/>
      <c r="O583" s="148"/>
      <c r="S583" s="277"/>
      <c r="T583" s="68"/>
      <c r="V583" s="279"/>
      <c r="X583" s="277"/>
      <c r="Y583" s="453"/>
      <c r="Z583" s="280"/>
      <c r="AA583" s="277"/>
      <c r="AB583" s="277"/>
      <c r="AC583" s="277"/>
      <c r="AD583" s="110"/>
      <c r="AE583" s="147"/>
      <c r="AF583" s="147"/>
      <c r="AG583" s="281"/>
      <c r="AH583" s="111"/>
      <c r="AI583" s="111"/>
    </row>
    <row r="584" spans="2:35">
      <c r="B584" s="273"/>
      <c r="C584" s="110"/>
      <c r="E584" s="220"/>
      <c r="L584" s="277"/>
      <c r="N584" s="147"/>
      <c r="O584" s="148"/>
      <c r="S584" s="277"/>
      <c r="T584" s="68"/>
      <c r="V584" s="279"/>
      <c r="X584" s="277"/>
      <c r="Y584" s="453"/>
      <c r="Z584" s="280"/>
      <c r="AA584" s="277"/>
      <c r="AB584" s="277"/>
      <c r="AC584" s="277"/>
      <c r="AD584" s="110"/>
      <c r="AE584" s="147"/>
      <c r="AF584" s="147"/>
      <c r="AG584" s="281"/>
      <c r="AH584" s="111"/>
      <c r="AI584" s="111"/>
    </row>
    <row r="585" spans="2:35">
      <c r="B585" s="273"/>
      <c r="C585" s="110"/>
      <c r="E585" s="220"/>
      <c r="L585" s="277"/>
      <c r="N585" s="147"/>
      <c r="O585" s="148"/>
      <c r="S585" s="277"/>
      <c r="T585" s="68"/>
      <c r="V585" s="279"/>
      <c r="X585" s="277"/>
      <c r="Y585" s="453"/>
      <c r="Z585" s="280"/>
      <c r="AA585" s="277"/>
      <c r="AB585" s="277"/>
      <c r="AC585" s="277"/>
      <c r="AD585" s="110"/>
      <c r="AE585" s="147"/>
      <c r="AF585" s="147"/>
      <c r="AG585" s="281"/>
      <c r="AH585" s="111"/>
      <c r="AI585" s="111"/>
    </row>
    <row r="586" spans="2:35">
      <c r="B586" s="273"/>
      <c r="C586" s="110"/>
      <c r="E586" s="220"/>
      <c r="L586" s="277"/>
      <c r="N586" s="147"/>
      <c r="O586" s="148"/>
      <c r="S586" s="277"/>
      <c r="T586" s="68"/>
      <c r="V586" s="279"/>
      <c r="X586" s="277"/>
      <c r="Y586" s="453"/>
      <c r="Z586" s="280"/>
      <c r="AA586" s="277"/>
      <c r="AB586" s="277"/>
      <c r="AC586" s="277"/>
      <c r="AD586" s="110"/>
      <c r="AE586" s="147"/>
      <c r="AF586" s="147"/>
      <c r="AG586" s="281"/>
      <c r="AH586" s="111"/>
      <c r="AI586" s="111"/>
    </row>
    <row r="587" spans="2:35">
      <c r="B587" s="273"/>
      <c r="C587" s="110"/>
      <c r="E587" s="220"/>
      <c r="L587" s="277"/>
      <c r="N587" s="147"/>
      <c r="O587" s="148"/>
      <c r="S587" s="277"/>
      <c r="T587" s="68"/>
      <c r="V587" s="279"/>
      <c r="X587" s="277"/>
      <c r="Y587" s="453"/>
      <c r="Z587" s="280"/>
      <c r="AA587" s="277"/>
      <c r="AB587" s="277"/>
      <c r="AC587" s="277"/>
      <c r="AD587" s="110"/>
      <c r="AE587" s="147"/>
      <c r="AF587" s="147"/>
      <c r="AG587" s="281"/>
      <c r="AH587" s="111"/>
      <c r="AI587" s="111"/>
    </row>
    <row r="588" spans="2:35">
      <c r="B588" s="273"/>
      <c r="C588" s="110"/>
      <c r="E588" s="220"/>
      <c r="L588" s="277"/>
      <c r="N588" s="147"/>
      <c r="O588" s="148"/>
      <c r="S588" s="277"/>
      <c r="T588" s="68"/>
      <c r="V588" s="279"/>
      <c r="X588" s="277"/>
      <c r="Y588" s="453"/>
      <c r="Z588" s="280"/>
      <c r="AA588" s="277"/>
      <c r="AB588" s="277"/>
      <c r="AC588" s="277"/>
      <c r="AD588" s="110"/>
      <c r="AE588" s="147"/>
      <c r="AF588" s="147"/>
      <c r="AG588" s="281"/>
      <c r="AH588" s="111"/>
      <c r="AI588" s="111"/>
    </row>
    <row r="589" spans="2:35">
      <c r="B589" s="273"/>
      <c r="C589" s="110"/>
      <c r="E589" s="220"/>
      <c r="L589" s="277"/>
      <c r="N589" s="147"/>
      <c r="O589" s="148"/>
      <c r="S589" s="277"/>
      <c r="T589" s="68"/>
      <c r="V589" s="279"/>
      <c r="X589" s="277"/>
      <c r="Y589" s="453"/>
      <c r="Z589" s="280"/>
      <c r="AA589" s="277"/>
      <c r="AB589" s="277"/>
      <c r="AC589" s="277"/>
      <c r="AD589" s="110"/>
      <c r="AE589" s="147"/>
      <c r="AF589" s="147"/>
      <c r="AG589" s="281"/>
      <c r="AH589" s="111"/>
      <c r="AI589" s="111"/>
    </row>
    <row r="590" spans="2:35">
      <c r="B590" s="273"/>
      <c r="C590" s="110"/>
      <c r="E590" s="220"/>
      <c r="L590" s="277"/>
      <c r="N590" s="147"/>
      <c r="O590" s="148"/>
      <c r="S590" s="277"/>
      <c r="T590" s="68"/>
      <c r="V590" s="279"/>
      <c r="X590" s="277"/>
      <c r="Y590" s="453"/>
      <c r="Z590" s="280"/>
      <c r="AA590" s="277"/>
      <c r="AB590" s="277"/>
      <c r="AC590" s="277"/>
      <c r="AD590" s="110"/>
      <c r="AE590" s="147"/>
      <c r="AF590" s="147"/>
      <c r="AG590" s="281"/>
      <c r="AH590" s="111"/>
      <c r="AI590" s="111"/>
    </row>
    <row r="591" spans="2:35">
      <c r="B591" s="273"/>
      <c r="C591" s="110"/>
      <c r="E591" s="220"/>
      <c r="L591" s="277"/>
      <c r="N591" s="147"/>
      <c r="O591" s="148"/>
      <c r="S591" s="277"/>
      <c r="T591" s="68"/>
      <c r="V591" s="279"/>
      <c r="X591" s="277"/>
      <c r="Y591" s="453"/>
      <c r="Z591" s="280"/>
      <c r="AA591" s="277"/>
      <c r="AB591" s="277"/>
      <c r="AC591" s="277"/>
      <c r="AD591" s="110"/>
      <c r="AE591" s="147"/>
      <c r="AF591" s="147"/>
      <c r="AG591" s="281"/>
      <c r="AH591" s="111"/>
      <c r="AI591" s="111"/>
    </row>
    <row r="592" spans="2:35">
      <c r="B592" s="273"/>
      <c r="C592" s="110"/>
      <c r="E592" s="220"/>
      <c r="L592" s="277"/>
      <c r="N592" s="147"/>
      <c r="O592" s="148"/>
      <c r="S592" s="277"/>
      <c r="T592" s="68"/>
      <c r="V592" s="279"/>
      <c r="X592" s="277"/>
      <c r="Y592" s="453"/>
      <c r="Z592" s="280"/>
      <c r="AA592" s="277"/>
      <c r="AB592" s="277"/>
      <c r="AC592" s="277"/>
      <c r="AD592" s="110"/>
      <c r="AE592" s="147"/>
      <c r="AF592" s="147"/>
      <c r="AG592" s="281"/>
      <c r="AH592" s="111"/>
      <c r="AI592" s="111"/>
    </row>
    <row r="593" spans="2:35">
      <c r="B593" s="273"/>
      <c r="C593" s="110"/>
      <c r="E593" s="220"/>
      <c r="L593" s="277"/>
      <c r="N593" s="147"/>
      <c r="O593" s="148"/>
      <c r="S593" s="277"/>
      <c r="T593" s="68"/>
      <c r="V593" s="279"/>
      <c r="X593" s="277"/>
      <c r="Y593" s="453"/>
      <c r="Z593" s="280"/>
      <c r="AA593" s="277"/>
      <c r="AB593" s="277"/>
      <c r="AC593" s="277"/>
      <c r="AD593" s="110"/>
      <c r="AE593" s="147"/>
      <c r="AF593" s="147"/>
      <c r="AG593" s="281"/>
      <c r="AH593" s="111"/>
      <c r="AI593" s="111"/>
    </row>
    <row r="594" spans="2:35">
      <c r="B594" s="273"/>
      <c r="C594" s="110"/>
      <c r="E594" s="220"/>
      <c r="L594" s="277"/>
      <c r="N594" s="147"/>
      <c r="O594" s="148"/>
      <c r="S594" s="277"/>
      <c r="T594" s="68"/>
      <c r="V594" s="279"/>
      <c r="X594" s="277"/>
      <c r="Y594" s="453"/>
      <c r="Z594" s="280"/>
      <c r="AA594" s="277"/>
      <c r="AB594" s="277"/>
      <c r="AC594" s="277"/>
      <c r="AD594" s="110"/>
      <c r="AE594" s="147"/>
      <c r="AF594" s="147"/>
      <c r="AG594" s="281"/>
      <c r="AH594" s="111"/>
      <c r="AI594" s="111"/>
    </row>
    <row r="595" spans="2:35">
      <c r="B595" s="273"/>
      <c r="C595" s="110"/>
      <c r="E595" s="220"/>
      <c r="L595" s="277"/>
      <c r="N595" s="147"/>
      <c r="O595" s="148"/>
      <c r="S595" s="277"/>
      <c r="T595" s="68"/>
      <c r="V595" s="279"/>
      <c r="X595" s="277"/>
      <c r="Y595" s="453"/>
      <c r="Z595" s="280"/>
      <c r="AA595" s="277"/>
      <c r="AB595" s="277"/>
      <c r="AC595" s="277"/>
      <c r="AD595" s="110"/>
      <c r="AE595" s="147"/>
      <c r="AF595" s="147"/>
      <c r="AG595" s="281"/>
      <c r="AH595" s="111"/>
      <c r="AI595" s="111"/>
    </row>
    <row r="596" spans="2:35">
      <c r="B596" s="273"/>
      <c r="C596" s="110"/>
      <c r="E596" s="220"/>
      <c r="L596" s="277"/>
      <c r="N596" s="147"/>
      <c r="O596" s="148"/>
      <c r="S596" s="277"/>
      <c r="T596" s="68"/>
      <c r="V596" s="279"/>
      <c r="X596" s="277"/>
      <c r="Y596" s="453"/>
      <c r="Z596" s="280"/>
      <c r="AA596" s="277"/>
      <c r="AB596" s="277"/>
      <c r="AC596" s="277"/>
      <c r="AD596" s="110"/>
      <c r="AE596" s="147"/>
      <c r="AF596" s="147"/>
      <c r="AG596" s="281"/>
      <c r="AH596" s="111"/>
      <c r="AI596" s="111"/>
    </row>
    <row r="597" spans="2:35">
      <c r="B597" s="273"/>
      <c r="C597" s="110"/>
      <c r="E597" s="220"/>
      <c r="L597" s="277"/>
      <c r="N597" s="147"/>
      <c r="O597" s="148"/>
      <c r="S597" s="277"/>
      <c r="T597" s="68"/>
      <c r="V597" s="279"/>
      <c r="X597" s="277"/>
      <c r="Y597" s="453"/>
      <c r="Z597" s="280"/>
      <c r="AA597" s="277"/>
      <c r="AB597" s="277"/>
      <c r="AC597" s="277"/>
      <c r="AD597" s="110"/>
      <c r="AE597" s="147"/>
      <c r="AF597" s="147"/>
      <c r="AG597" s="281"/>
      <c r="AH597" s="111"/>
      <c r="AI597" s="111"/>
    </row>
    <row r="598" spans="2:35">
      <c r="B598" s="273"/>
      <c r="C598" s="110"/>
      <c r="E598" s="220"/>
      <c r="L598" s="277"/>
      <c r="N598" s="147"/>
      <c r="O598" s="148"/>
      <c r="S598" s="277"/>
      <c r="T598" s="68"/>
      <c r="V598" s="279"/>
      <c r="X598" s="277"/>
      <c r="Y598" s="453"/>
      <c r="Z598" s="280"/>
      <c r="AA598" s="277"/>
      <c r="AB598" s="277"/>
      <c r="AC598" s="277"/>
      <c r="AD598" s="110"/>
      <c r="AE598" s="147"/>
      <c r="AF598" s="147"/>
      <c r="AG598" s="281"/>
      <c r="AH598" s="111"/>
      <c r="AI598" s="111"/>
    </row>
    <row r="599" spans="2:35">
      <c r="B599" s="273"/>
      <c r="C599" s="110"/>
      <c r="E599" s="220"/>
      <c r="L599" s="277"/>
      <c r="N599" s="147"/>
      <c r="O599" s="148"/>
      <c r="S599" s="277"/>
      <c r="T599" s="68"/>
      <c r="V599" s="279"/>
      <c r="X599" s="277"/>
      <c r="Y599" s="453"/>
      <c r="Z599" s="280"/>
      <c r="AA599" s="277"/>
      <c r="AB599" s="277"/>
      <c r="AC599" s="277"/>
      <c r="AD599" s="110"/>
      <c r="AE599" s="147"/>
      <c r="AF599" s="147"/>
      <c r="AG599" s="281"/>
      <c r="AH599" s="111"/>
      <c r="AI599" s="111"/>
    </row>
    <row r="600" spans="2:35">
      <c r="B600" s="273"/>
      <c r="C600" s="110"/>
      <c r="E600" s="220"/>
      <c r="L600" s="277"/>
      <c r="N600" s="147"/>
      <c r="O600" s="148"/>
      <c r="S600" s="277"/>
      <c r="T600" s="68"/>
      <c r="V600" s="279"/>
      <c r="X600" s="277"/>
      <c r="Y600" s="453"/>
      <c r="Z600" s="280"/>
      <c r="AA600" s="277"/>
      <c r="AB600" s="277"/>
      <c r="AC600" s="277"/>
      <c r="AD600" s="110"/>
      <c r="AE600" s="147"/>
      <c r="AF600" s="147"/>
      <c r="AG600" s="281"/>
      <c r="AH600" s="111"/>
      <c r="AI600" s="111"/>
    </row>
    <row r="601" spans="2:35">
      <c r="B601" s="273"/>
      <c r="C601" s="110"/>
      <c r="E601" s="220"/>
      <c r="L601" s="277"/>
      <c r="N601" s="147"/>
      <c r="O601" s="148"/>
      <c r="S601" s="277"/>
      <c r="T601" s="68"/>
      <c r="V601" s="279"/>
      <c r="X601" s="277"/>
      <c r="Y601" s="453"/>
      <c r="Z601" s="280"/>
      <c r="AA601" s="277"/>
      <c r="AB601" s="277"/>
      <c r="AC601" s="277"/>
      <c r="AD601" s="110"/>
      <c r="AE601" s="147"/>
      <c r="AF601" s="147"/>
      <c r="AG601" s="281"/>
      <c r="AH601" s="111"/>
      <c r="AI601" s="111"/>
    </row>
    <row r="602" spans="2:35">
      <c r="B602" s="273"/>
      <c r="C602" s="110"/>
      <c r="E602" s="220"/>
      <c r="L602" s="277"/>
      <c r="N602" s="147"/>
      <c r="O602" s="148"/>
      <c r="S602" s="277"/>
      <c r="T602" s="68"/>
      <c r="V602" s="279"/>
      <c r="X602" s="277"/>
      <c r="Y602" s="453"/>
      <c r="Z602" s="280"/>
      <c r="AA602" s="277"/>
      <c r="AB602" s="277"/>
      <c r="AC602" s="277"/>
      <c r="AD602" s="110"/>
      <c r="AE602" s="147"/>
      <c r="AF602" s="147"/>
      <c r="AG602" s="281"/>
      <c r="AH602" s="111"/>
      <c r="AI602" s="111"/>
    </row>
    <row r="603" spans="2:35">
      <c r="B603" s="273"/>
      <c r="C603" s="110"/>
      <c r="E603" s="220"/>
      <c r="L603" s="277"/>
      <c r="N603" s="147"/>
      <c r="O603" s="148"/>
      <c r="S603" s="277"/>
      <c r="T603" s="68"/>
      <c r="V603" s="279"/>
      <c r="X603" s="277"/>
      <c r="Y603" s="453"/>
      <c r="Z603" s="280"/>
      <c r="AA603" s="277"/>
      <c r="AB603" s="277"/>
      <c r="AC603" s="277"/>
      <c r="AD603" s="110"/>
      <c r="AE603" s="147"/>
      <c r="AF603" s="147"/>
      <c r="AG603" s="281"/>
      <c r="AH603" s="111"/>
      <c r="AI603" s="111"/>
    </row>
    <row r="604" spans="2:35">
      <c r="B604" s="273"/>
      <c r="C604" s="110"/>
      <c r="E604" s="220"/>
      <c r="L604" s="277"/>
      <c r="N604" s="147"/>
      <c r="O604" s="148"/>
      <c r="S604" s="277"/>
      <c r="T604" s="68"/>
      <c r="V604" s="279"/>
      <c r="X604" s="277"/>
      <c r="Y604" s="453"/>
      <c r="Z604" s="280"/>
      <c r="AA604" s="277"/>
      <c r="AB604" s="277"/>
      <c r="AC604" s="277"/>
      <c r="AD604" s="110"/>
      <c r="AE604" s="147"/>
      <c r="AF604" s="147"/>
      <c r="AG604" s="281"/>
      <c r="AH604" s="111"/>
      <c r="AI604" s="111"/>
    </row>
    <row r="605" spans="2:35">
      <c r="B605" s="273"/>
      <c r="C605" s="110"/>
      <c r="E605" s="220"/>
      <c r="L605" s="277"/>
      <c r="N605" s="147"/>
      <c r="O605" s="148"/>
      <c r="S605" s="277"/>
      <c r="T605" s="68"/>
      <c r="V605" s="279"/>
      <c r="X605" s="277"/>
      <c r="Y605" s="453"/>
      <c r="Z605" s="280"/>
      <c r="AA605" s="277"/>
      <c r="AB605" s="277"/>
      <c r="AC605" s="277"/>
      <c r="AD605" s="110"/>
      <c r="AE605" s="147"/>
      <c r="AF605" s="147"/>
      <c r="AG605" s="281"/>
      <c r="AH605" s="111"/>
      <c r="AI605" s="111"/>
    </row>
    <row r="606" spans="2:35">
      <c r="B606" s="273"/>
      <c r="C606" s="110"/>
      <c r="E606" s="220"/>
      <c r="L606" s="277"/>
      <c r="N606" s="147"/>
      <c r="O606" s="148"/>
      <c r="S606" s="277"/>
      <c r="T606" s="68"/>
      <c r="V606" s="279"/>
      <c r="X606" s="277"/>
      <c r="Y606" s="453"/>
      <c r="Z606" s="280"/>
      <c r="AA606" s="277"/>
      <c r="AB606" s="277"/>
      <c r="AC606" s="277"/>
      <c r="AD606" s="110"/>
      <c r="AE606" s="147"/>
      <c r="AF606" s="147"/>
      <c r="AG606" s="281"/>
      <c r="AH606" s="111"/>
      <c r="AI606" s="111"/>
    </row>
    <row r="607" spans="2:35">
      <c r="B607" s="273"/>
      <c r="C607" s="110"/>
      <c r="E607" s="220"/>
      <c r="L607" s="277"/>
      <c r="N607" s="147"/>
      <c r="O607" s="148"/>
      <c r="S607" s="277"/>
      <c r="T607" s="68"/>
      <c r="V607" s="279"/>
      <c r="X607" s="277"/>
      <c r="Y607" s="453"/>
      <c r="Z607" s="280"/>
      <c r="AA607" s="277"/>
      <c r="AB607" s="277"/>
      <c r="AC607" s="277"/>
      <c r="AD607" s="110"/>
      <c r="AE607" s="147"/>
      <c r="AF607" s="147"/>
      <c r="AG607" s="281"/>
      <c r="AH607" s="111"/>
      <c r="AI607" s="111"/>
    </row>
    <row r="608" spans="2:35">
      <c r="B608" s="273"/>
      <c r="C608" s="110"/>
      <c r="E608" s="220"/>
      <c r="L608" s="277"/>
      <c r="N608" s="147"/>
      <c r="O608" s="148"/>
      <c r="S608" s="277"/>
      <c r="T608" s="68"/>
      <c r="V608" s="279"/>
      <c r="X608" s="277"/>
      <c r="Y608" s="453"/>
      <c r="Z608" s="280"/>
      <c r="AA608" s="277"/>
      <c r="AB608" s="277"/>
      <c r="AC608" s="277"/>
      <c r="AD608" s="110"/>
      <c r="AE608" s="147"/>
      <c r="AF608" s="147"/>
      <c r="AG608" s="281"/>
      <c r="AH608" s="111"/>
      <c r="AI608" s="111"/>
    </row>
    <row r="609" spans="2:35">
      <c r="B609" s="273"/>
      <c r="C609" s="110"/>
      <c r="E609" s="220"/>
      <c r="L609" s="277"/>
      <c r="N609" s="147"/>
      <c r="O609" s="148"/>
      <c r="S609" s="277"/>
      <c r="T609" s="68"/>
      <c r="V609" s="279"/>
      <c r="X609" s="277"/>
      <c r="Y609" s="453"/>
      <c r="Z609" s="280"/>
      <c r="AA609" s="277"/>
      <c r="AB609" s="277"/>
      <c r="AC609" s="277"/>
      <c r="AD609" s="110"/>
      <c r="AE609" s="147"/>
      <c r="AF609" s="147"/>
      <c r="AG609" s="281"/>
      <c r="AH609" s="111"/>
      <c r="AI609" s="111"/>
    </row>
    <row r="610" spans="2:35">
      <c r="B610" s="273"/>
      <c r="C610" s="110"/>
      <c r="E610" s="220"/>
      <c r="L610" s="277"/>
      <c r="N610" s="147"/>
      <c r="O610" s="148"/>
      <c r="S610" s="277"/>
      <c r="T610" s="68"/>
      <c r="V610" s="279"/>
      <c r="X610" s="277"/>
      <c r="Y610" s="453"/>
      <c r="Z610" s="280"/>
      <c r="AA610" s="277"/>
      <c r="AB610" s="277"/>
      <c r="AC610" s="277"/>
      <c r="AD610" s="110"/>
      <c r="AE610" s="147"/>
      <c r="AF610" s="147"/>
      <c r="AG610" s="281"/>
      <c r="AH610" s="111"/>
      <c r="AI610" s="111"/>
    </row>
    <row r="611" spans="2:35">
      <c r="B611" s="273"/>
      <c r="C611" s="110"/>
      <c r="E611" s="220"/>
      <c r="L611" s="277"/>
      <c r="N611" s="147"/>
      <c r="O611" s="148"/>
      <c r="S611" s="277"/>
      <c r="T611" s="68"/>
      <c r="V611" s="279"/>
      <c r="X611" s="277"/>
      <c r="Y611" s="453"/>
      <c r="Z611" s="280"/>
      <c r="AA611" s="277"/>
      <c r="AB611" s="277"/>
      <c r="AC611" s="277"/>
      <c r="AD611" s="110"/>
      <c r="AE611" s="147"/>
      <c r="AF611" s="147"/>
      <c r="AG611" s="281"/>
      <c r="AH611" s="111"/>
      <c r="AI611" s="111"/>
    </row>
    <row r="612" spans="2:35">
      <c r="B612" s="273"/>
      <c r="C612" s="110"/>
      <c r="E612" s="220"/>
      <c r="L612" s="277"/>
      <c r="N612" s="147"/>
      <c r="O612" s="148"/>
      <c r="S612" s="277"/>
      <c r="T612" s="68"/>
      <c r="V612" s="279"/>
      <c r="X612" s="277"/>
      <c r="Y612" s="453"/>
      <c r="Z612" s="280"/>
      <c r="AA612" s="277"/>
      <c r="AB612" s="277"/>
      <c r="AC612" s="277"/>
      <c r="AD612" s="110"/>
      <c r="AE612" s="147"/>
      <c r="AF612" s="147"/>
      <c r="AG612" s="281"/>
      <c r="AH612" s="111"/>
      <c r="AI612" s="111"/>
    </row>
    <row r="613" spans="2:35">
      <c r="B613" s="273"/>
      <c r="C613" s="110"/>
      <c r="E613" s="220"/>
      <c r="L613" s="277"/>
      <c r="N613" s="147"/>
      <c r="O613" s="148"/>
      <c r="S613" s="277"/>
      <c r="T613" s="68"/>
      <c r="V613" s="279"/>
      <c r="X613" s="277"/>
      <c r="Y613" s="453"/>
      <c r="Z613" s="280"/>
      <c r="AA613" s="277"/>
      <c r="AB613" s="277"/>
      <c r="AC613" s="277"/>
      <c r="AD613" s="110"/>
      <c r="AE613" s="147"/>
      <c r="AF613" s="147"/>
      <c r="AG613" s="281"/>
      <c r="AH613" s="111"/>
      <c r="AI613" s="111"/>
    </row>
    <row r="614" spans="2:35">
      <c r="B614" s="273"/>
      <c r="C614" s="110"/>
      <c r="E614" s="220"/>
      <c r="L614" s="277"/>
      <c r="N614" s="147"/>
      <c r="O614" s="148"/>
      <c r="S614" s="277"/>
      <c r="T614" s="68"/>
      <c r="V614" s="279"/>
      <c r="X614" s="277"/>
      <c r="Y614" s="453"/>
      <c r="Z614" s="280"/>
      <c r="AA614" s="277"/>
      <c r="AB614" s="277"/>
      <c r="AC614" s="277"/>
      <c r="AD614" s="110"/>
      <c r="AE614" s="147"/>
      <c r="AF614" s="147"/>
      <c r="AG614" s="281"/>
      <c r="AH614" s="111"/>
      <c r="AI614" s="111"/>
    </row>
    <row r="615" spans="2:35">
      <c r="B615" s="273"/>
      <c r="C615" s="110"/>
      <c r="E615" s="220"/>
      <c r="L615" s="277"/>
      <c r="N615" s="147"/>
      <c r="O615" s="148"/>
      <c r="S615" s="277"/>
      <c r="T615" s="68"/>
      <c r="V615" s="279"/>
      <c r="X615" s="277"/>
      <c r="Y615" s="453"/>
      <c r="Z615" s="280"/>
      <c r="AA615" s="277"/>
      <c r="AB615" s="277"/>
      <c r="AC615" s="277"/>
      <c r="AD615" s="110"/>
      <c r="AE615" s="147"/>
      <c r="AF615" s="147"/>
      <c r="AG615" s="281"/>
      <c r="AH615" s="111"/>
      <c r="AI615" s="111"/>
    </row>
    <row r="616" spans="2:35">
      <c r="B616" s="273"/>
      <c r="C616" s="110"/>
      <c r="E616" s="220"/>
      <c r="L616" s="277"/>
      <c r="N616" s="147"/>
      <c r="O616" s="148"/>
      <c r="S616" s="277"/>
      <c r="T616" s="68"/>
      <c r="V616" s="279"/>
      <c r="X616" s="277"/>
      <c r="Y616" s="453"/>
      <c r="Z616" s="280"/>
      <c r="AA616" s="277"/>
      <c r="AB616" s="277"/>
      <c r="AC616" s="277"/>
      <c r="AD616" s="110"/>
      <c r="AE616" s="147"/>
      <c r="AF616" s="147"/>
      <c r="AG616" s="281"/>
      <c r="AH616" s="111"/>
      <c r="AI616" s="111"/>
    </row>
    <row r="617" spans="2:35">
      <c r="B617" s="273"/>
      <c r="C617" s="110"/>
      <c r="E617" s="220"/>
      <c r="L617" s="277"/>
      <c r="N617" s="147"/>
      <c r="O617" s="148"/>
      <c r="S617" s="277"/>
      <c r="T617" s="68"/>
      <c r="V617" s="279"/>
      <c r="X617" s="277"/>
      <c r="Y617" s="453"/>
      <c r="Z617" s="280"/>
      <c r="AA617" s="277"/>
      <c r="AB617" s="277"/>
      <c r="AC617" s="277"/>
      <c r="AD617" s="110"/>
      <c r="AE617" s="147"/>
      <c r="AF617" s="147"/>
      <c r="AG617" s="281"/>
      <c r="AH617" s="111"/>
      <c r="AI617" s="111"/>
    </row>
    <row r="618" spans="2:35">
      <c r="B618" s="273"/>
      <c r="C618" s="110"/>
      <c r="E618" s="220"/>
      <c r="L618" s="277"/>
      <c r="N618" s="147"/>
      <c r="O618" s="148"/>
      <c r="S618" s="277"/>
      <c r="T618" s="68"/>
      <c r="V618" s="279"/>
      <c r="X618" s="277"/>
      <c r="Y618" s="453"/>
      <c r="Z618" s="280"/>
      <c r="AA618" s="277"/>
      <c r="AB618" s="277"/>
      <c r="AC618" s="277"/>
      <c r="AD618" s="110"/>
      <c r="AE618" s="147"/>
      <c r="AF618" s="147"/>
      <c r="AG618" s="281"/>
      <c r="AH618" s="111"/>
      <c r="AI618" s="111"/>
    </row>
    <row r="619" spans="2:35">
      <c r="B619" s="273"/>
      <c r="C619" s="110"/>
      <c r="E619" s="220"/>
      <c r="L619" s="277"/>
      <c r="N619" s="147"/>
      <c r="O619" s="148"/>
      <c r="S619" s="277"/>
      <c r="T619" s="68"/>
      <c r="V619" s="279"/>
      <c r="X619" s="277"/>
      <c r="Y619" s="453"/>
      <c r="Z619" s="280"/>
      <c r="AA619" s="277"/>
      <c r="AB619" s="277"/>
      <c r="AC619" s="277"/>
      <c r="AD619" s="110"/>
      <c r="AE619" s="147"/>
      <c r="AF619" s="147"/>
      <c r="AG619" s="281"/>
      <c r="AH619" s="111"/>
      <c r="AI619" s="111"/>
    </row>
    <row r="620" spans="2:35">
      <c r="B620" s="273"/>
      <c r="C620" s="110"/>
      <c r="E620" s="220"/>
      <c r="L620" s="277"/>
      <c r="N620" s="147"/>
      <c r="O620" s="148"/>
      <c r="S620" s="277"/>
      <c r="T620" s="68"/>
      <c r="V620" s="279"/>
      <c r="X620" s="277"/>
      <c r="Y620" s="453"/>
      <c r="Z620" s="280"/>
      <c r="AA620" s="277"/>
      <c r="AB620" s="277"/>
      <c r="AC620" s="277"/>
      <c r="AD620" s="110"/>
      <c r="AE620" s="147"/>
      <c r="AF620" s="147"/>
      <c r="AG620" s="281"/>
      <c r="AH620" s="111"/>
      <c r="AI620" s="111"/>
    </row>
    <row r="621" spans="2:35">
      <c r="B621" s="273"/>
      <c r="C621" s="110"/>
      <c r="E621" s="220"/>
      <c r="L621" s="277"/>
      <c r="N621" s="147"/>
      <c r="O621" s="148"/>
      <c r="S621" s="277"/>
      <c r="T621" s="68"/>
      <c r="V621" s="279"/>
      <c r="X621" s="277"/>
      <c r="Y621" s="453"/>
      <c r="Z621" s="280"/>
      <c r="AA621" s="277"/>
      <c r="AB621" s="277"/>
      <c r="AC621" s="277"/>
      <c r="AD621" s="110"/>
      <c r="AE621" s="147"/>
      <c r="AF621" s="147"/>
      <c r="AG621" s="281"/>
      <c r="AH621" s="111"/>
      <c r="AI621" s="111"/>
    </row>
    <row r="622" spans="2:35">
      <c r="B622" s="273"/>
      <c r="C622" s="110"/>
      <c r="E622" s="220"/>
      <c r="L622" s="277"/>
      <c r="N622" s="147"/>
      <c r="O622" s="148"/>
      <c r="S622" s="277"/>
      <c r="T622" s="68"/>
      <c r="V622" s="279"/>
      <c r="X622" s="277"/>
      <c r="Y622" s="453"/>
      <c r="Z622" s="280"/>
      <c r="AA622" s="277"/>
      <c r="AB622" s="277"/>
      <c r="AC622" s="277"/>
      <c r="AD622" s="110"/>
      <c r="AE622" s="147"/>
      <c r="AF622" s="147"/>
      <c r="AG622" s="281"/>
      <c r="AH622" s="111"/>
      <c r="AI622" s="111"/>
    </row>
    <row r="623" spans="2:35">
      <c r="B623" s="273"/>
      <c r="C623" s="110"/>
      <c r="E623" s="220"/>
      <c r="L623" s="277"/>
      <c r="N623" s="147"/>
      <c r="O623" s="148"/>
      <c r="S623" s="277"/>
      <c r="T623" s="68"/>
      <c r="V623" s="279"/>
      <c r="X623" s="277"/>
      <c r="Y623" s="453"/>
      <c r="Z623" s="280"/>
      <c r="AA623" s="277"/>
      <c r="AB623" s="277"/>
      <c r="AC623" s="277"/>
      <c r="AD623" s="110"/>
      <c r="AE623" s="147"/>
      <c r="AF623" s="147"/>
      <c r="AG623" s="281"/>
      <c r="AH623" s="111"/>
      <c r="AI623" s="111"/>
    </row>
    <row r="624" spans="2:35">
      <c r="B624" s="273"/>
      <c r="C624" s="110"/>
      <c r="E624" s="220"/>
      <c r="L624" s="277"/>
      <c r="N624" s="147"/>
      <c r="O624" s="148"/>
      <c r="S624" s="277"/>
      <c r="T624" s="68"/>
      <c r="V624" s="279"/>
      <c r="X624" s="277"/>
      <c r="Y624" s="453"/>
      <c r="Z624" s="280"/>
      <c r="AA624" s="277"/>
      <c r="AB624" s="277"/>
      <c r="AC624" s="277"/>
      <c r="AD624" s="110"/>
      <c r="AE624" s="147"/>
      <c r="AF624" s="147"/>
      <c r="AG624" s="281"/>
      <c r="AH624" s="111"/>
      <c r="AI624" s="111"/>
    </row>
    <row r="625" spans="2:35">
      <c r="B625" s="273"/>
      <c r="C625" s="110"/>
      <c r="E625" s="220"/>
      <c r="L625" s="277"/>
      <c r="N625" s="147"/>
      <c r="O625" s="148"/>
      <c r="S625" s="277"/>
      <c r="T625" s="68"/>
      <c r="V625" s="279"/>
      <c r="X625" s="277"/>
      <c r="Y625" s="453"/>
      <c r="Z625" s="280"/>
      <c r="AA625" s="277"/>
      <c r="AB625" s="277"/>
      <c r="AC625" s="277"/>
      <c r="AD625" s="110"/>
      <c r="AE625" s="147"/>
      <c r="AF625" s="147"/>
      <c r="AG625" s="281"/>
      <c r="AH625" s="111"/>
      <c r="AI625" s="111"/>
    </row>
    <row r="626" spans="2:35">
      <c r="B626" s="273"/>
      <c r="C626" s="110"/>
      <c r="E626" s="220"/>
      <c r="L626" s="277"/>
      <c r="N626" s="147"/>
      <c r="O626" s="148"/>
      <c r="S626" s="277"/>
      <c r="T626" s="68"/>
      <c r="V626" s="279"/>
      <c r="X626" s="277"/>
      <c r="Y626" s="453"/>
      <c r="Z626" s="280"/>
      <c r="AA626" s="277"/>
      <c r="AB626" s="277"/>
      <c r="AC626" s="277"/>
      <c r="AD626" s="110"/>
      <c r="AE626" s="147"/>
      <c r="AF626" s="147"/>
      <c r="AG626" s="281"/>
      <c r="AH626" s="111"/>
      <c r="AI626" s="111"/>
    </row>
    <row r="627" spans="2:35">
      <c r="B627" s="273"/>
      <c r="C627" s="110"/>
      <c r="E627" s="220"/>
      <c r="L627" s="277"/>
      <c r="N627" s="147"/>
      <c r="O627" s="148"/>
      <c r="S627" s="277"/>
      <c r="T627" s="68"/>
      <c r="V627" s="279"/>
      <c r="X627" s="277"/>
      <c r="Y627" s="453"/>
      <c r="Z627" s="280"/>
      <c r="AA627" s="277"/>
      <c r="AB627" s="277"/>
      <c r="AC627" s="277"/>
      <c r="AD627" s="110"/>
      <c r="AE627" s="147"/>
      <c r="AF627" s="147"/>
      <c r="AG627" s="281"/>
      <c r="AH627" s="111"/>
      <c r="AI627" s="111"/>
    </row>
    <row r="628" spans="2:35">
      <c r="B628" s="273"/>
      <c r="C628" s="110"/>
      <c r="E628" s="220"/>
      <c r="L628" s="277"/>
      <c r="N628" s="147"/>
      <c r="O628" s="148"/>
      <c r="S628" s="277"/>
      <c r="T628" s="68"/>
      <c r="V628" s="279"/>
      <c r="X628" s="277"/>
      <c r="Y628" s="453"/>
      <c r="Z628" s="280"/>
      <c r="AA628" s="277"/>
      <c r="AB628" s="277"/>
      <c r="AC628" s="277"/>
      <c r="AD628" s="110"/>
      <c r="AE628" s="147"/>
      <c r="AF628" s="147"/>
      <c r="AG628" s="281"/>
      <c r="AH628" s="111"/>
      <c r="AI628" s="111"/>
    </row>
    <row r="629" spans="2:35">
      <c r="B629" s="273"/>
      <c r="C629" s="110"/>
      <c r="E629" s="220"/>
      <c r="L629" s="277"/>
      <c r="N629" s="147"/>
      <c r="O629" s="148"/>
      <c r="S629" s="277"/>
      <c r="T629" s="68"/>
      <c r="V629" s="279"/>
      <c r="X629" s="277"/>
      <c r="Y629" s="453"/>
      <c r="Z629" s="280"/>
      <c r="AA629" s="277"/>
      <c r="AB629" s="277"/>
      <c r="AC629" s="277"/>
      <c r="AD629" s="110"/>
      <c r="AE629" s="147"/>
      <c r="AF629" s="147"/>
      <c r="AG629" s="281"/>
      <c r="AH629" s="111"/>
      <c r="AI629" s="111"/>
    </row>
    <row r="630" spans="2:35">
      <c r="B630" s="273"/>
      <c r="C630" s="110"/>
      <c r="E630" s="220"/>
      <c r="L630" s="277"/>
      <c r="N630" s="147"/>
      <c r="O630" s="148"/>
      <c r="S630" s="277"/>
      <c r="T630" s="68"/>
      <c r="V630" s="279"/>
      <c r="X630" s="277"/>
      <c r="Y630" s="453"/>
      <c r="Z630" s="280"/>
      <c r="AA630" s="277"/>
      <c r="AB630" s="277"/>
      <c r="AC630" s="277"/>
      <c r="AD630" s="110"/>
      <c r="AE630" s="147"/>
      <c r="AF630" s="147"/>
      <c r="AG630" s="281"/>
      <c r="AH630" s="111"/>
      <c r="AI630" s="111"/>
    </row>
    <row r="631" spans="2:35">
      <c r="B631" s="273"/>
      <c r="C631" s="110"/>
      <c r="E631" s="220"/>
      <c r="L631" s="277"/>
      <c r="N631" s="147"/>
      <c r="O631" s="148"/>
      <c r="S631" s="277"/>
      <c r="T631" s="68"/>
      <c r="V631" s="279"/>
      <c r="X631" s="277"/>
      <c r="Y631" s="453"/>
      <c r="Z631" s="280"/>
      <c r="AA631" s="277"/>
      <c r="AB631" s="277"/>
      <c r="AC631" s="277"/>
      <c r="AD631" s="110"/>
      <c r="AE631" s="147"/>
      <c r="AF631" s="147"/>
      <c r="AG631" s="281"/>
      <c r="AH631" s="111"/>
      <c r="AI631" s="111"/>
    </row>
    <row r="632" spans="2:35">
      <c r="B632" s="273"/>
      <c r="C632" s="110"/>
      <c r="E632" s="220"/>
      <c r="L632" s="277"/>
      <c r="N632" s="147"/>
      <c r="O632" s="148"/>
      <c r="S632" s="277"/>
      <c r="T632" s="68"/>
      <c r="V632" s="279"/>
      <c r="X632" s="277"/>
      <c r="Y632" s="453"/>
      <c r="Z632" s="280"/>
      <c r="AA632" s="277"/>
      <c r="AB632" s="277"/>
      <c r="AC632" s="277"/>
      <c r="AD632" s="110"/>
      <c r="AE632" s="147"/>
      <c r="AF632" s="147"/>
      <c r="AG632" s="281"/>
      <c r="AH632" s="111"/>
      <c r="AI632" s="111"/>
    </row>
    <row r="633" spans="2:35">
      <c r="B633" s="273"/>
      <c r="C633" s="110"/>
      <c r="E633" s="220"/>
      <c r="L633" s="277"/>
      <c r="N633" s="147"/>
      <c r="O633" s="148"/>
      <c r="S633" s="277"/>
      <c r="T633" s="68"/>
      <c r="V633" s="279"/>
      <c r="X633" s="277"/>
      <c r="Y633" s="453"/>
      <c r="Z633" s="280"/>
      <c r="AA633" s="277"/>
      <c r="AB633" s="277"/>
      <c r="AC633" s="277"/>
      <c r="AD633" s="110"/>
      <c r="AE633" s="147"/>
      <c r="AF633" s="147"/>
      <c r="AG633" s="281"/>
      <c r="AH633" s="111"/>
      <c r="AI633" s="111"/>
    </row>
    <row r="634" spans="2:35">
      <c r="B634" s="273"/>
      <c r="C634" s="110"/>
      <c r="E634" s="220"/>
      <c r="L634" s="277"/>
      <c r="N634" s="147"/>
      <c r="O634" s="148"/>
      <c r="S634" s="277"/>
      <c r="T634" s="68"/>
      <c r="V634" s="279"/>
      <c r="X634" s="277"/>
      <c r="Y634" s="453"/>
      <c r="Z634" s="280"/>
      <c r="AA634" s="277"/>
      <c r="AB634" s="277"/>
      <c r="AC634" s="277"/>
      <c r="AD634" s="110"/>
      <c r="AE634" s="147"/>
      <c r="AF634" s="147"/>
      <c r="AG634" s="281"/>
      <c r="AH634" s="111"/>
      <c r="AI634" s="111"/>
    </row>
    <row r="635" spans="2:35">
      <c r="B635" s="273"/>
      <c r="C635" s="110"/>
      <c r="E635" s="220"/>
      <c r="L635" s="277"/>
      <c r="N635" s="147"/>
      <c r="O635" s="148"/>
      <c r="S635" s="277"/>
      <c r="T635" s="68"/>
      <c r="V635" s="279"/>
      <c r="X635" s="277"/>
      <c r="Y635" s="453"/>
      <c r="Z635" s="280"/>
      <c r="AA635" s="277"/>
      <c r="AB635" s="277"/>
      <c r="AC635" s="277"/>
      <c r="AD635" s="110"/>
      <c r="AE635" s="147"/>
      <c r="AF635" s="147"/>
      <c r="AG635" s="281"/>
      <c r="AH635" s="111"/>
      <c r="AI635" s="111"/>
    </row>
    <row r="636" spans="2:35">
      <c r="B636" s="273"/>
      <c r="C636" s="110"/>
      <c r="E636" s="220"/>
      <c r="L636" s="277"/>
      <c r="N636" s="147"/>
      <c r="O636" s="148"/>
      <c r="S636" s="277"/>
      <c r="T636" s="68"/>
      <c r="V636" s="279"/>
      <c r="X636" s="277"/>
      <c r="Y636" s="453"/>
      <c r="Z636" s="280"/>
      <c r="AA636" s="277"/>
      <c r="AB636" s="277"/>
      <c r="AC636" s="277"/>
      <c r="AD636" s="110"/>
      <c r="AE636" s="147"/>
      <c r="AF636" s="147"/>
      <c r="AG636" s="281"/>
      <c r="AH636" s="111"/>
      <c r="AI636" s="111"/>
    </row>
    <row r="637" spans="2:35">
      <c r="B637" s="273"/>
      <c r="C637" s="110"/>
      <c r="E637" s="220"/>
      <c r="L637" s="277"/>
      <c r="N637" s="147"/>
      <c r="O637" s="148"/>
      <c r="S637" s="277"/>
      <c r="T637" s="68"/>
      <c r="V637" s="279"/>
      <c r="X637" s="277"/>
      <c r="Y637" s="453"/>
      <c r="Z637" s="280"/>
      <c r="AA637" s="277"/>
      <c r="AB637" s="277"/>
      <c r="AC637" s="277"/>
      <c r="AD637" s="110"/>
      <c r="AE637" s="147"/>
      <c r="AF637" s="147"/>
      <c r="AG637" s="281"/>
      <c r="AH637" s="111"/>
      <c r="AI637" s="111"/>
    </row>
    <row r="638" spans="2:35">
      <c r="B638" s="273"/>
      <c r="C638" s="110"/>
      <c r="E638" s="220"/>
      <c r="L638" s="277"/>
      <c r="N638" s="147"/>
      <c r="O638" s="148"/>
      <c r="S638" s="277"/>
      <c r="T638" s="68"/>
      <c r="V638" s="279"/>
      <c r="X638" s="277"/>
      <c r="Y638" s="453"/>
      <c r="Z638" s="280"/>
      <c r="AA638" s="277"/>
      <c r="AB638" s="277"/>
      <c r="AC638" s="277"/>
      <c r="AD638" s="110"/>
      <c r="AE638" s="147"/>
      <c r="AF638" s="147"/>
      <c r="AG638" s="281"/>
      <c r="AH638" s="111"/>
      <c r="AI638" s="111"/>
    </row>
    <row r="639" spans="2:35">
      <c r="B639" s="273"/>
      <c r="C639" s="110"/>
      <c r="E639" s="220"/>
      <c r="L639" s="277"/>
      <c r="N639" s="147"/>
      <c r="O639" s="148"/>
      <c r="S639" s="277"/>
      <c r="T639" s="68"/>
      <c r="V639" s="279"/>
      <c r="X639" s="277"/>
      <c r="Y639" s="453"/>
      <c r="Z639" s="280"/>
      <c r="AA639" s="277"/>
      <c r="AB639" s="277"/>
      <c r="AC639" s="277"/>
      <c r="AD639" s="110"/>
      <c r="AE639" s="147"/>
      <c r="AF639" s="147"/>
      <c r="AG639" s="281"/>
      <c r="AH639" s="111"/>
      <c r="AI639" s="111"/>
    </row>
    <row r="640" spans="2:35">
      <c r="B640" s="273"/>
      <c r="C640" s="110"/>
      <c r="E640" s="220"/>
      <c r="L640" s="277"/>
      <c r="N640" s="147"/>
      <c r="O640" s="148"/>
      <c r="S640" s="277"/>
      <c r="T640" s="68"/>
      <c r="V640" s="279"/>
      <c r="X640" s="277"/>
      <c r="Y640" s="453"/>
      <c r="Z640" s="280"/>
      <c r="AA640" s="277"/>
      <c r="AB640" s="277"/>
      <c r="AC640" s="277"/>
      <c r="AD640" s="110"/>
      <c r="AE640" s="147"/>
      <c r="AF640" s="147"/>
      <c r="AG640" s="281"/>
      <c r="AH640" s="111"/>
      <c r="AI640" s="111"/>
    </row>
    <row r="641" spans="2:35">
      <c r="B641" s="273"/>
      <c r="C641" s="110"/>
      <c r="E641" s="220"/>
      <c r="L641" s="277"/>
      <c r="N641" s="147"/>
      <c r="O641" s="148"/>
      <c r="S641" s="277"/>
      <c r="T641" s="68"/>
      <c r="V641" s="279"/>
      <c r="X641" s="277"/>
      <c r="Y641" s="453"/>
      <c r="Z641" s="280"/>
      <c r="AA641" s="277"/>
      <c r="AB641" s="277"/>
      <c r="AC641" s="277"/>
      <c r="AD641" s="110"/>
      <c r="AE641" s="147"/>
      <c r="AF641" s="147"/>
      <c r="AG641" s="281"/>
      <c r="AH641" s="111"/>
      <c r="AI641" s="111"/>
    </row>
    <row r="642" spans="2:35">
      <c r="B642" s="273"/>
      <c r="C642" s="110"/>
      <c r="E642" s="220"/>
      <c r="L642" s="277"/>
      <c r="N642" s="147"/>
      <c r="O642" s="148"/>
      <c r="S642" s="277"/>
      <c r="T642" s="68"/>
      <c r="V642" s="279"/>
      <c r="X642" s="277"/>
      <c r="Y642" s="453"/>
      <c r="Z642" s="280"/>
      <c r="AA642" s="277"/>
      <c r="AB642" s="277"/>
      <c r="AC642" s="277"/>
      <c r="AD642" s="110"/>
      <c r="AE642" s="147"/>
      <c r="AF642" s="147"/>
      <c r="AG642" s="281"/>
      <c r="AH642" s="111"/>
      <c r="AI642" s="111"/>
    </row>
    <row r="643" spans="2:35">
      <c r="B643" s="273"/>
      <c r="C643" s="110"/>
      <c r="E643" s="220"/>
      <c r="L643" s="277"/>
      <c r="N643" s="147"/>
      <c r="O643" s="148"/>
      <c r="S643" s="277"/>
      <c r="T643" s="68"/>
      <c r="V643" s="279"/>
      <c r="X643" s="277"/>
      <c r="Y643" s="453"/>
      <c r="Z643" s="280"/>
      <c r="AA643" s="277"/>
      <c r="AB643" s="277"/>
      <c r="AC643" s="277"/>
      <c r="AD643" s="110"/>
      <c r="AE643" s="147"/>
      <c r="AF643" s="147"/>
      <c r="AG643" s="281"/>
      <c r="AH643" s="111"/>
      <c r="AI643" s="111"/>
    </row>
    <row r="644" spans="2:35">
      <c r="B644" s="273"/>
      <c r="C644" s="110"/>
      <c r="E644" s="220"/>
      <c r="L644" s="277"/>
      <c r="N644" s="147"/>
      <c r="O644" s="148"/>
      <c r="S644" s="277"/>
      <c r="T644" s="68"/>
      <c r="V644" s="279"/>
      <c r="X644" s="277"/>
      <c r="Y644" s="453"/>
      <c r="Z644" s="280"/>
      <c r="AA644" s="277"/>
      <c r="AB644" s="277"/>
      <c r="AC644" s="277"/>
      <c r="AD644" s="110"/>
      <c r="AE644" s="147"/>
      <c r="AF644" s="147"/>
      <c r="AG644" s="281"/>
      <c r="AH644" s="111"/>
      <c r="AI644" s="111"/>
    </row>
    <row r="645" spans="2:35">
      <c r="B645" s="273"/>
      <c r="C645" s="110"/>
      <c r="E645" s="220"/>
      <c r="L645" s="277"/>
      <c r="N645" s="147"/>
      <c r="O645" s="148"/>
      <c r="S645" s="277"/>
      <c r="T645" s="68"/>
      <c r="V645" s="279"/>
      <c r="X645" s="277"/>
      <c r="Y645" s="453"/>
      <c r="Z645" s="280"/>
      <c r="AA645" s="277"/>
      <c r="AB645" s="277"/>
      <c r="AC645" s="277"/>
      <c r="AD645" s="110"/>
      <c r="AE645" s="147"/>
      <c r="AF645" s="147"/>
      <c r="AG645" s="281"/>
      <c r="AH645" s="111"/>
      <c r="AI645" s="111"/>
    </row>
    <row r="646" spans="2:35">
      <c r="B646" s="273"/>
      <c r="C646" s="110"/>
      <c r="E646" s="220"/>
      <c r="L646" s="277"/>
      <c r="N646" s="147"/>
      <c r="O646" s="148"/>
      <c r="S646" s="277"/>
      <c r="T646" s="68"/>
      <c r="V646" s="279"/>
      <c r="X646" s="277"/>
      <c r="Y646" s="453"/>
      <c r="Z646" s="280"/>
      <c r="AA646" s="277"/>
      <c r="AB646" s="277"/>
      <c r="AC646" s="277"/>
      <c r="AD646" s="110"/>
      <c r="AE646" s="147"/>
      <c r="AF646" s="147"/>
      <c r="AG646" s="281"/>
      <c r="AH646" s="111"/>
      <c r="AI646" s="111"/>
    </row>
    <row r="647" spans="2:35">
      <c r="B647" s="273"/>
      <c r="C647" s="110"/>
      <c r="E647" s="220"/>
      <c r="L647" s="277"/>
      <c r="N647" s="147"/>
      <c r="O647" s="148"/>
      <c r="S647" s="277"/>
      <c r="T647" s="68"/>
      <c r="V647" s="279"/>
      <c r="X647" s="277"/>
      <c r="Y647" s="453"/>
      <c r="Z647" s="280"/>
      <c r="AA647" s="277"/>
      <c r="AB647" s="277"/>
      <c r="AC647" s="277"/>
      <c r="AD647" s="110"/>
      <c r="AE647" s="147"/>
      <c r="AF647" s="147"/>
      <c r="AG647" s="281"/>
      <c r="AH647" s="111"/>
      <c r="AI647" s="111"/>
    </row>
    <row r="648" spans="2:35">
      <c r="B648" s="273"/>
      <c r="C648" s="110"/>
      <c r="E648" s="220"/>
      <c r="L648" s="277"/>
      <c r="N648" s="147"/>
      <c r="O648" s="148"/>
      <c r="S648" s="277"/>
      <c r="T648" s="68"/>
      <c r="V648" s="279"/>
      <c r="X648" s="277"/>
      <c r="Y648" s="453"/>
      <c r="Z648" s="280"/>
      <c r="AA648" s="277"/>
      <c r="AB648" s="277"/>
      <c r="AC648" s="277"/>
      <c r="AD648" s="110"/>
      <c r="AE648" s="147"/>
      <c r="AF648" s="147"/>
      <c r="AG648" s="281"/>
      <c r="AH648" s="111"/>
      <c r="AI648" s="111"/>
    </row>
    <row r="649" spans="2:35">
      <c r="B649" s="273"/>
      <c r="C649" s="110"/>
      <c r="E649" s="220"/>
      <c r="L649" s="277"/>
      <c r="N649" s="147"/>
      <c r="O649" s="148"/>
      <c r="S649" s="277"/>
      <c r="T649" s="68"/>
      <c r="V649" s="279"/>
      <c r="X649" s="277"/>
      <c r="Y649" s="453"/>
      <c r="Z649" s="280"/>
      <c r="AA649" s="277"/>
      <c r="AB649" s="277"/>
      <c r="AC649" s="277"/>
      <c r="AD649" s="110"/>
      <c r="AE649" s="147"/>
      <c r="AF649" s="147"/>
      <c r="AG649" s="281"/>
      <c r="AH649" s="111"/>
      <c r="AI649" s="111"/>
    </row>
    <row r="650" spans="2:35">
      <c r="B650" s="273"/>
      <c r="C650" s="110"/>
      <c r="E650" s="220"/>
      <c r="L650" s="277"/>
      <c r="N650" s="147"/>
      <c r="O650" s="148"/>
      <c r="S650" s="277"/>
      <c r="T650" s="68"/>
      <c r="V650" s="279"/>
      <c r="X650" s="277"/>
      <c r="Y650" s="453"/>
      <c r="Z650" s="280"/>
      <c r="AA650" s="277"/>
      <c r="AB650" s="277"/>
      <c r="AC650" s="277"/>
      <c r="AD650" s="110"/>
      <c r="AE650" s="147"/>
      <c r="AF650" s="147"/>
      <c r="AG650" s="281"/>
      <c r="AH650" s="111"/>
      <c r="AI650" s="111"/>
    </row>
    <row r="651" spans="2:35">
      <c r="B651" s="273"/>
      <c r="C651" s="110"/>
      <c r="E651" s="220"/>
      <c r="L651" s="277"/>
      <c r="N651" s="147"/>
      <c r="O651" s="148"/>
      <c r="S651" s="277"/>
      <c r="T651" s="68"/>
      <c r="V651" s="279"/>
      <c r="X651" s="277"/>
      <c r="Y651" s="453"/>
      <c r="Z651" s="280"/>
      <c r="AA651" s="277"/>
      <c r="AB651" s="277"/>
      <c r="AC651" s="277"/>
      <c r="AD651" s="110"/>
      <c r="AE651" s="147"/>
      <c r="AF651" s="147"/>
      <c r="AG651" s="281"/>
      <c r="AH651" s="111"/>
      <c r="AI651" s="111"/>
    </row>
    <row r="652" spans="2:35">
      <c r="B652" s="273"/>
      <c r="C652" s="110"/>
      <c r="E652" s="220"/>
      <c r="L652" s="277"/>
      <c r="N652" s="147"/>
      <c r="O652" s="148"/>
      <c r="S652" s="277"/>
      <c r="T652" s="68"/>
      <c r="V652" s="279"/>
      <c r="X652" s="277"/>
      <c r="Y652" s="453"/>
      <c r="Z652" s="280"/>
      <c r="AA652" s="277"/>
      <c r="AB652" s="277"/>
      <c r="AC652" s="277"/>
      <c r="AD652" s="110"/>
      <c r="AE652" s="147"/>
      <c r="AF652" s="147"/>
      <c r="AG652" s="281"/>
      <c r="AH652" s="111"/>
      <c r="AI652" s="111"/>
    </row>
    <row r="653" spans="2:35">
      <c r="B653" s="273"/>
      <c r="C653" s="110"/>
      <c r="E653" s="220"/>
      <c r="L653" s="277"/>
      <c r="N653" s="147"/>
      <c r="O653" s="148"/>
      <c r="S653" s="277"/>
      <c r="T653" s="68"/>
      <c r="V653" s="279"/>
      <c r="X653" s="277"/>
      <c r="Y653" s="453"/>
      <c r="Z653" s="280"/>
      <c r="AA653" s="277"/>
      <c r="AB653" s="277"/>
      <c r="AC653" s="277"/>
      <c r="AD653" s="110"/>
      <c r="AE653" s="147"/>
      <c r="AF653" s="147"/>
      <c r="AG653" s="281"/>
      <c r="AH653" s="111"/>
      <c r="AI653" s="111"/>
    </row>
    <row r="654" spans="2:35">
      <c r="B654" s="273"/>
      <c r="C654" s="110"/>
      <c r="E654" s="220"/>
      <c r="L654" s="277"/>
      <c r="N654" s="147"/>
      <c r="O654" s="148"/>
      <c r="S654" s="277"/>
      <c r="T654" s="68"/>
      <c r="V654" s="279"/>
      <c r="X654" s="277"/>
      <c r="Y654" s="453"/>
      <c r="Z654" s="280"/>
      <c r="AA654" s="277"/>
      <c r="AB654" s="277"/>
      <c r="AC654" s="277"/>
      <c r="AD654" s="110"/>
      <c r="AE654" s="147"/>
      <c r="AF654" s="147"/>
      <c r="AG654" s="281"/>
      <c r="AH654" s="111"/>
      <c r="AI654" s="111"/>
    </row>
    <row r="655" spans="2:35">
      <c r="B655" s="273"/>
      <c r="C655" s="110"/>
      <c r="E655" s="220"/>
      <c r="L655" s="277"/>
      <c r="N655" s="147"/>
      <c r="O655" s="148"/>
      <c r="S655" s="277"/>
      <c r="T655" s="68"/>
      <c r="V655" s="279"/>
      <c r="X655" s="277"/>
      <c r="Y655" s="453"/>
      <c r="Z655" s="280"/>
      <c r="AA655" s="277"/>
      <c r="AB655" s="277"/>
      <c r="AC655" s="277"/>
      <c r="AD655" s="110"/>
      <c r="AE655" s="147"/>
      <c r="AF655" s="147"/>
      <c r="AG655" s="281"/>
      <c r="AH655" s="111"/>
      <c r="AI655" s="111"/>
    </row>
    <row r="656" spans="2:35">
      <c r="B656" s="273"/>
      <c r="C656" s="110"/>
      <c r="E656" s="220"/>
      <c r="L656" s="277"/>
      <c r="N656" s="147"/>
      <c r="O656" s="148"/>
      <c r="S656" s="277"/>
      <c r="T656" s="68"/>
      <c r="V656" s="279"/>
      <c r="X656" s="277"/>
      <c r="Y656" s="453"/>
      <c r="Z656" s="280"/>
      <c r="AA656" s="277"/>
      <c r="AB656" s="277"/>
      <c r="AC656" s="277"/>
      <c r="AD656" s="110"/>
      <c r="AE656" s="147"/>
      <c r="AF656" s="147"/>
      <c r="AG656" s="281"/>
      <c r="AH656" s="111"/>
      <c r="AI656" s="111"/>
    </row>
    <row r="657" spans="2:35">
      <c r="B657" s="273"/>
      <c r="C657" s="110"/>
      <c r="E657" s="220"/>
      <c r="L657" s="277"/>
      <c r="N657" s="147"/>
      <c r="O657" s="148"/>
      <c r="S657" s="277"/>
      <c r="T657" s="68"/>
      <c r="V657" s="279"/>
      <c r="X657" s="277"/>
      <c r="Y657" s="453"/>
      <c r="Z657" s="280"/>
      <c r="AA657" s="277"/>
      <c r="AB657" s="277"/>
      <c r="AC657" s="277"/>
      <c r="AD657" s="110"/>
      <c r="AE657" s="147"/>
      <c r="AF657" s="147"/>
      <c r="AG657" s="281"/>
      <c r="AH657" s="111"/>
      <c r="AI657" s="111"/>
    </row>
    <row r="658" spans="2:35">
      <c r="B658" s="273"/>
      <c r="C658" s="110"/>
      <c r="E658" s="220"/>
      <c r="L658" s="277"/>
      <c r="N658" s="147"/>
      <c r="O658" s="148"/>
      <c r="S658" s="277"/>
      <c r="T658" s="68"/>
      <c r="V658" s="279"/>
      <c r="X658" s="277"/>
      <c r="Y658" s="453"/>
      <c r="Z658" s="280"/>
      <c r="AA658" s="277"/>
      <c r="AB658" s="277"/>
      <c r="AC658" s="277"/>
      <c r="AD658" s="110"/>
      <c r="AE658" s="147"/>
      <c r="AF658" s="147"/>
      <c r="AG658" s="281"/>
      <c r="AH658" s="111"/>
      <c r="AI658" s="111"/>
    </row>
    <row r="659" spans="2:35">
      <c r="B659" s="273"/>
      <c r="C659" s="110"/>
      <c r="E659" s="220"/>
      <c r="L659" s="277"/>
      <c r="N659" s="147"/>
      <c r="O659" s="148"/>
      <c r="S659" s="277"/>
      <c r="T659" s="68"/>
      <c r="V659" s="279"/>
      <c r="X659" s="277"/>
      <c r="Y659" s="453"/>
      <c r="Z659" s="280"/>
      <c r="AA659" s="277"/>
      <c r="AB659" s="277"/>
      <c r="AC659" s="277"/>
      <c r="AD659" s="110"/>
      <c r="AE659" s="147"/>
      <c r="AF659" s="147"/>
      <c r="AG659" s="281"/>
      <c r="AH659" s="111"/>
      <c r="AI659" s="111"/>
    </row>
    <row r="660" spans="2:35">
      <c r="B660" s="273"/>
      <c r="C660" s="110"/>
      <c r="E660" s="220"/>
      <c r="L660" s="277"/>
      <c r="N660" s="147"/>
      <c r="O660" s="148"/>
      <c r="S660" s="277"/>
      <c r="T660" s="68"/>
      <c r="V660" s="279"/>
      <c r="X660" s="277"/>
      <c r="Y660" s="453"/>
      <c r="Z660" s="280"/>
      <c r="AA660" s="277"/>
      <c r="AB660" s="277"/>
      <c r="AC660" s="277"/>
      <c r="AD660" s="110"/>
      <c r="AE660" s="147"/>
      <c r="AF660" s="147"/>
      <c r="AG660" s="281"/>
      <c r="AH660" s="111"/>
      <c r="AI660" s="111"/>
    </row>
    <row r="661" spans="2:35">
      <c r="B661" s="273"/>
      <c r="C661" s="110"/>
      <c r="E661" s="220"/>
      <c r="L661" s="277"/>
      <c r="N661" s="147"/>
      <c r="O661" s="148"/>
      <c r="S661" s="277"/>
      <c r="T661" s="68"/>
      <c r="V661" s="279"/>
      <c r="X661" s="277"/>
      <c r="Y661" s="453"/>
      <c r="Z661" s="280"/>
      <c r="AA661" s="277"/>
      <c r="AB661" s="277"/>
      <c r="AC661" s="277"/>
      <c r="AD661" s="110"/>
      <c r="AE661" s="147"/>
      <c r="AF661" s="147"/>
      <c r="AG661" s="281"/>
      <c r="AH661" s="111"/>
      <c r="AI661" s="111"/>
    </row>
    <row r="662" spans="2:35">
      <c r="B662" s="273"/>
      <c r="C662" s="110"/>
      <c r="E662" s="220"/>
      <c r="L662" s="277"/>
      <c r="N662" s="147"/>
      <c r="O662" s="148"/>
      <c r="S662" s="277"/>
      <c r="T662" s="68"/>
      <c r="V662" s="279"/>
      <c r="X662" s="277"/>
      <c r="Y662" s="453"/>
      <c r="Z662" s="280"/>
      <c r="AA662" s="277"/>
      <c r="AB662" s="277"/>
      <c r="AC662" s="277"/>
      <c r="AD662" s="110"/>
      <c r="AE662" s="147"/>
      <c r="AF662" s="147"/>
      <c r="AG662" s="281"/>
      <c r="AH662" s="111"/>
      <c r="AI662" s="111"/>
    </row>
    <row r="663" spans="2:35">
      <c r="B663" s="273"/>
      <c r="C663" s="110"/>
      <c r="E663" s="220"/>
      <c r="L663" s="277"/>
      <c r="N663" s="147"/>
      <c r="O663" s="148"/>
      <c r="S663" s="277"/>
      <c r="T663" s="68"/>
      <c r="V663" s="279"/>
      <c r="X663" s="277"/>
      <c r="Y663" s="453"/>
      <c r="Z663" s="280"/>
      <c r="AA663" s="277"/>
      <c r="AB663" s="277"/>
      <c r="AC663" s="277"/>
      <c r="AD663" s="110"/>
      <c r="AE663" s="147"/>
      <c r="AF663" s="147"/>
      <c r="AG663" s="281"/>
      <c r="AH663" s="111"/>
      <c r="AI663" s="111"/>
    </row>
    <row r="664" spans="2:35">
      <c r="B664" s="273"/>
      <c r="C664" s="110"/>
      <c r="E664" s="220"/>
      <c r="L664" s="277"/>
      <c r="N664" s="147"/>
      <c r="O664" s="148"/>
      <c r="S664" s="277"/>
      <c r="T664" s="68"/>
      <c r="V664" s="279"/>
      <c r="X664" s="277"/>
      <c r="Y664" s="453"/>
      <c r="Z664" s="280"/>
      <c r="AA664" s="277"/>
      <c r="AB664" s="277"/>
      <c r="AC664" s="277"/>
      <c r="AD664" s="110"/>
      <c r="AE664" s="147"/>
      <c r="AF664" s="147"/>
      <c r="AG664" s="281"/>
      <c r="AH664" s="111"/>
      <c r="AI664" s="111"/>
    </row>
    <row r="665" spans="2:35">
      <c r="B665" s="273"/>
      <c r="C665" s="110"/>
      <c r="E665" s="220"/>
      <c r="L665" s="277"/>
      <c r="N665" s="147"/>
      <c r="O665" s="148"/>
      <c r="S665" s="277"/>
      <c r="T665" s="68"/>
      <c r="V665" s="279"/>
      <c r="X665" s="277"/>
      <c r="Y665" s="453"/>
      <c r="Z665" s="280"/>
      <c r="AA665" s="277"/>
      <c r="AB665" s="277"/>
      <c r="AC665" s="277"/>
      <c r="AD665" s="110"/>
      <c r="AE665" s="147"/>
      <c r="AF665" s="147"/>
      <c r="AG665" s="281"/>
      <c r="AH665" s="111"/>
      <c r="AI665" s="111"/>
    </row>
    <row r="666" spans="2:35">
      <c r="B666" s="273"/>
      <c r="C666" s="110"/>
      <c r="E666" s="220"/>
      <c r="L666" s="277"/>
      <c r="N666" s="147"/>
      <c r="O666" s="148"/>
      <c r="S666" s="277"/>
      <c r="T666" s="68"/>
      <c r="V666" s="279"/>
      <c r="X666" s="277"/>
      <c r="Y666" s="453"/>
      <c r="Z666" s="280"/>
      <c r="AA666" s="277"/>
      <c r="AB666" s="277"/>
      <c r="AC666" s="277"/>
      <c r="AD666" s="110"/>
      <c r="AE666" s="147"/>
      <c r="AF666" s="147"/>
      <c r="AG666" s="281"/>
      <c r="AH666" s="111"/>
      <c r="AI666" s="111"/>
    </row>
    <row r="667" spans="2:35">
      <c r="B667" s="273"/>
      <c r="C667" s="110"/>
      <c r="E667" s="220"/>
      <c r="L667" s="277"/>
      <c r="N667" s="147"/>
      <c r="O667" s="148"/>
      <c r="S667" s="277"/>
      <c r="T667" s="68"/>
      <c r="V667" s="279"/>
      <c r="X667" s="277"/>
      <c r="Y667" s="453"/>
      <c r="Z667" s="280"/>
      <c r="AA667" s="277"/>
      <c r="AB667" s="277"/>
      <c r="AC667" s="277"/>
      <c r="AD667" s="110"/>
      <c r="AE667" s="147"/>
      <c r="AF667" s="147"/>
      <c r="AG667" s="281"/>
      <c r="AH667" s="111"/>
      <c r="AI667" s="111"/>
    </row>
    <row r="668" spans="2:35">
      <c r="B668" s="273"/>
      <c r="C668" s="110"/>
      <c r="E668" s="220"/>
      <c r="L668" s="277"/>
      <c r="N668" s="147"/>
      <c r="O668" s="148"/>
      <c r="S668" s="277"/>
      <c r="T668" s="68"/>
      <c r="V668" s="279"/>
      <c r="X668" s="277"/>
      <c r="Y668" s="453"/>
      <c r="Z668" s="280"/>
      <c r="AA668" s="277"/>
      <c r="AB668" s="277"/>
      <c r="AC668" s="277"/>
      <c r="AD668" s="110"/>
      <c r="AE668" s="147"/>
      <c r="AF668" s="147"/>
      <c r="AG668" s="281"/>
      <c r="AH668" s="111"/>
      <c r="AI668" s="111"/>
    </row>
    <row r="669" spans="2:35">
      <c r="B669" s="273"/>
      <c r="C669" s="110"/>
      <c r="E669" s="220"/>
      <c r="L669" s="277"/>
      <c r="N669" s="147"/>
      <c r="O669" s="148"/>
      <c r="S669" s="277"/>
      <c r="T669" s="68"/>
      <c r="V669" s="279"/>
      <c r="X669" s="277"/>
      <c r="Y669" s="453"/>
      <c r="Z669" s="280"/>
      <c r="AA669" s="277"/>
      <c r="AB669" s="277"/>
      <c r="AC669" s="277"/>
      <c r="AD669" s="110"/>
      <c r="AE669" s="147"/>
      <c r="AF669" s="147"/>
      <c r="AG669" s="281"/>
      <c r="AH669" s="111"/>
      <c r="AI669" s="111"/>
    </row>
    <row r="670" spans="2:35">
      <c r="B670" s="273"/>
      <c r="C670" s="110"/>
      <c r="E670" s="220"/>
      <c r="L670" s="277"/>
      <c r="N670" s="147"/>
      <c r="O670" s="148"/>
      <c r="S670" s="277"/>
      <c r="T670" s="68"/>
      <c r="V670" s="279"/>
      <c r="X670" s="277"/>
      <c r="Y670" s="453"/>
      <c r="Z670" s="280"/>
      <c r="AA670" s="277"/>
      <c r="AB670" s="277"/>
      <c r="AC670" s="277"/>
      <c r="AD670" s="110"/>
      <c r="AE670" s="147"/>
      <c r="AF670" s="147"/>
      <c r="AG670" s="281"/>
      <c r="AH670" s="111"/>
      <c r="AI670" s="111"/>
    </row>
    <row r="671" spans="2:35">
      <c r="B671" s="273"/>
      <c r="C671" s="110"/>
      <c r="E671" s="220"/>
      <c r="L671" s="277"/>
      <c r="N671" s="147"/>
      <c r="O671" s="148"/>
      <c r="S671" s="277"/>
      <c r="T671" s="68"/>
      <c r="V671" s="279"/>
      <c r="X671" s="277"/>
      <c r="Y671" s="453"/>
      <c r="Z671" s="280"/>
      <c r="AA671" s="277"/>
      <c r="AB671" s="277"/>
      <c r="AC671" s="277"/>
      <c r="AD671" s="110"/>
      <c r="AE671" s="147"/>
      <c r="AF671" s="147"/>
      <c r="AG671" s="281"/>
      <c r="AH671" s="111"/>
      <c r="AI671" s="111"/>
    </row>
    <row r="672" spans="2:35">
      <c r="B672" s="273"/>
      <c r="C672" s="110"/>
      <c r="E672" s="220"/>
      <c r="L672" s="277"/>
      <c r="N672" s="147"/>
      <c r="O672" s="148"/>
      <c r="S672" s="277"/>
      <c r="T672" s="68"/>
      <c r="V672" s="279"/>
      <c r="X672" s="277"/>
      <c r="Y672" s="453"/>
      <c r="Z672" s="280"/>
      <c r="AA672" s="277"/>
      <c r="AB672" s="277"/>
      <c r="AC672" s="277"/>
      <c r="AD672" s="110"/>
      <c r="AE672" s="147"/>
      <c r="AF672" s="147"/>
      <c r="AG672" s="281"/>
      <c r="AH672" s="111"/>
      <c r="AI672" s="111"/>
    </row>
    <row r="673" spans="2:35">
      <c r="B673" s="273"/>
      <c r="C673" s="110"/>
      <c r="E673" s="220"/>
      <c r="L673" s="277"/>
      <c r="N673" s="147"/>
      <c r="O673" s="148"/>
      <c r="S673" s="277"/>
      <c r="T673" s="68"/>
      <c r="V673" s="279"/>
      <c r="X673" s="277"/>
      <c r="Y673" s="453"/>
      <c r="Z673" s="280"/>
      <c r="AA673" s="277"/>
      <c r="AB673" s="277"/>
      <c r="AC673" s="277"/>
      <c r="AD673" s="110"/>
      <c r="AE673" s="147"/>
      <c r="AF673" s="147"/>
      <c r="AG673" s="281"/>
      <c r="AH673" s="111"/>
      <c r="AI673" s="111"/>
    </row>
    <row r="674" spans="2:35">
      <c r="B674" s="273"/>
      <c r="C674" s="110"/>
      <c r="E674" s="220"/>
      <c r="L674" s="277"/>
      <c r="N674" s="147"/>
      <c r="O674" s="148"/>
      <c r="S674" s="277"/>
      <c r="T674" s="68"/>
      <c r="V674" s="279"/>
      <c r="X674" s="277"/>
      <c r="Y674" s="453"/>
      <c r="Z674" s="280"/>
      <c r="AA674" s="277"/>
      <c r="AB674" s="277"/>
      <c r="AC674" s="277"/>
      <c r="AD674" s="110"/>
      <c r="AE674" s="147"/>
      <c r="AF674" s="147"/>
      <c r="AG674" s="281"/>
      <c r="AH674" s="111"/>
      <c r="AI674" s="111"/>
    </row>
    <row r="675" spans="2:35">
      <c r="B675" s="273"/>
      <c r="C675" s="110"/>
      <c r="E675" s="220"/>
      <c r="L675" s="277"/>
      <c r="N675" s="147"/>
      <c r="O675" s="148"/>
      <c r="S675" s="277"/>
      <c r="T675" s="68"/>
      <c r="V675" s="279"/>
      <c r="X675" s="277"/>
      <c r="Y675" s="453"/>
      <c r="Z675" s="280"/>
      <c r="AA675" s="277"/>
      <c r="AB675" s="277"/>
      <c r="AC675" s="277"/>
      <c r="AD675" s="110"/>
      <c r="AE675" s="147"/>
      <c r="AF675" s="147"/>
      <c r="AG675" s="281"/>
      <c r="AH675" s="111"/>
      <c r="AI675" s="111"/>
    </row>
    <row r="676" spans="2:35">
      <c r="B676" s="273"/>
      <c r="C676" s="110"/>
      <c r="E676" s="220"/>
      <c r="L676" s="277"/>
      <c r="N676" s="147"/>
      <c r="O676" s="148"/>
      <c r="S676" s="277"/>
      <c r="T676" s="68"/>
      <c r="V676" s="279"/>
      <c r="X676" s="277"/>
      <c r="Y676" s="453"/>
      <c r="Z676" s="280"/>
      <c r="AA676" s="277"/>
      <c r="AB676" s="277"/>
      <c r="AC676" s="277"/>
      <c r="AD676" s="110"/>
      <c r="AE676" s="147"/>
      <c r="AF676" s="147"/>
      <c r="AG676" s="281"/>
      <c r="AH676" s="111"/>
      <c r="AI676" s="111"/>
    </row>
    <row r="677" spans="2:35">
      <c r="B677" s="273"/>
      <c r="C677" s="110"/>
      <c r="E677" s="220"/>
      <c r="L677" s="277"/>
      <c r="N677" s="147"/>
      <c r="O677" s="148"/>
      <c r="S677" s="277"/>
      <c r="T677" s="68"/>
      <c r="V677" s="279"/>
      <c r="X677" s="277"/>
      <c r="Y677" s="453"/>
      <c r="Z677" s="280"/>
      <c r="AA677" s="277"/>
      <c r="AB677" s="277"/>
      <c r="AC677" s="277"/>
      <c r="AD677" s="110"/>
      <c r="AE677" s="147"/>
      <c r="AF677" s="147"/>
      <c r="AG677" s="281"/>
      <c r="AH677" s="111"/>
      <c r="AI677" s="111"/>
    </row>
    <row r="678" spans="2:35">
      <c r="B678" s="273"/>
      <c r="C678" s="110"/>
      <c r="E678" s="220"/>
      <c r="L678" s="277"/>
      <c r="N678" s="147"/>
      <c r="O678" s="148"/>
      <c r="S678" s="277"/>
      <c r="T678" s="68"/>
      <c r="V678" s="279"/>
      <c r="X678" s="277"/>
      <c r="Y678" s="453"/>
      <c r="Z678" s="280"/>
      <c r="AA678" s="277"/>
      <c r="AB678" s="277"/>
      <c r="AC678" s="277"/>
      <c r="AD678" s="110"/>
      <c r="AE678" s="147"/>
      <c r="AF678" s="147"/>
      <c r="AG678" s="281"/>
      <c r="AH678" s="111"/>
      <c r="AI678" s="111"/>
    </row>
    <row r="679" spans="2:35">
      <c r="B679" s="273"/>
      <c r="C679" s="110"/>
      <c r="E679" s="220"/>
      <c r="L679" s="277"/>
      <c r="N679" s="147"/>
      <c r="O679" s="148"/>
      <c r="S679" s="277"/>
      <c r="T679" s="68"/>
      <c r="V679" s="279"/>
      <c r="X679" s="277"/>
      <c r="Y679" s="453"/>
      <c r="Z679" s="280"/>
      <c r="AA679" s="277"/>
      <c r="AB679" s="277"/>
      <c r="AC679" s="277"/>
      <c r="AD679" s="110"/>
      <c r="AE679" s="147"/>
      <c r="AF679" s="147"/>
      <c r="AG679" s="281"/>
      <c r="AH679" s="111"/>
      <c r="AI679" s="111"/>
    </row>
    <row r="680" spans="2:35">
      <c r="B680" s="273"/>
      <c r="C680" s="110"/>
      <c r="E680" s="220"/>
      <c r="L680" s="277"/>
      <c r="N680" s="147"/>
      <c r="O680" s="148"/>
      <c r="S680" s="277"/>
      <c r="T680" s="68"/>
      <c r="V680" s="279"/>
      <c r="X680" s="277"/>
      <c r="Y680" s="453"/>
      <c r="Z680" s="280"/>
      <c r="AA680" s="277"/>
      <c r="AB680" s="277"/>
      <c r="AC680" s="277"/>
      <c r="AD680" s="110"/>
      <c r="AE680" s="147"/>
      <c r="AF680" s="147"/>
      <c r="AG680" s="281"/>
      <c r="AH680" s="111"/>
      <c r="AI680" s="111"/>
    </row>
    <row r="681" spans="2:35">
      <c r="B681" s="273"/>
      <c r="C681" s="110"/>
      <c r="E681" s="220"/>
      <c r="L681" s="277"/>
      <c r="N681" s="147"/>
      <c r="O681" s="148"/>
      <c r="S681" s="277"/>
      <c r="T681" s="68"/>
      <c r="V681" s="279"/>
      <c r="X681" s="277"/>
      <c r="Y681" s="453"/>
      <c r="Z681" s="280"/>
      <c r="AA681" s="277"/>
      <c r="AB681" s="277"/>
      <c r="AC681" s="277"/>
      <c r="AD681" s="110"/>
      <c r="AE681" s="147"/>
      <c r="AF681" s="147"/>
      <c r="AG681" s="281"/>
      <c r="AH681" s="111"/>
      <c r="AI681" s="111"/>
    </row>
    <row r="682" spans="2:35">
      <c r="B682" s="273"/>
      <c r="C682" s="110"/>
      <c r="E682" s="220"/>
      <c r="L682" s="277"/>
      <c r="N682" s="147"/>
      <c r="O682" s="148"/>
      <c r="S682" s="277"/>
      <c r="T682" s="68"/>
      <c r="V682" s="279"/>
      <c r="X682" s="277"/>
      <c r="Y682" s="453"/>
      <c r="Z682" s="280"/>
      <c r="AA682" s="277"/>
      <c r="AB682" s="277"/>
      <c r="AC682" s="277"/>
      <c r="AD682" s="110"/>
      <c r="AE682" s="147"/>
      <c r="AF682" s="147"/>
      <c r="AG682" s="281"/>
      <c r="AH682" s="111"/>
      <c r="AI682" s="111"/>
    </row>
    <row r="683" spans="2:35">
      <c r="B683" s="273"/>
      <c r="C683" s="110"/>
      <c r="E683" s="220"/>
      <c r="L683" s="277"/>
      <c r="N683" s="147"/>
      <c r="O683" s="148"/>
      <c r="S683" s="277"/>
      <c r="T683" s="68"/>
      <c r="V683" s="279"/>
      <c r="X683" s="277"/>
      <c r="Y683" s="453"/>
      <c r="Z683" s="280"/>
      <c r="AA683" s="277"/>
      <c r="AB683" s="277"/>
      <c r="AC683" s="277"/>
      <c r="AD683" s="110"/>
      <c r="AE683" s="147"/>
      <c r="AF683" s="147"/>
      <c r="AG683" s="281"/>
      <c r="AH683" s="111"/>
      <c r="AI683" s="111"/>
    </row>
    <row r="684" spans="2:35">
      <c r="B684" s="273"/>
      <c r="C684" s="110"/>
      <c r="E684" s="220"/>
      <c r="L684" s="277"/>
      <c r="N684" s="147"/>
      <c r="O684" s="148"/>
      <c r="S684" s="277"/>
      <c r="T684" s="68"/>
      <c r="V684" s="279"/>
      <c r="X684" s="277"/>
      <c r="Y684" s="453"/>
      <c r="Z684" s="280"/>
      <c r="AA684" s="277"/>
      <c r="AB684" s="277"/>
      <c r="AC684" s="277"/>
      <c r="AD684" s="110"/>
      <c r="AE684" s="147"/>
      <c r="AF684" s="147"/>
      <c r="AG684" s="281"/>
      <c r="AH684" s="111"/>
      <c r="AI684" s="111"/>
    </row>
    <row r="685" spans="2:35">
      <c r="B685" s="273"/>
      <c r="C685" s="110"/>
      <c r="E685" s="220"/>
      <c r="L685" s="277"/>
      <c r="N685" s="147"/>
      <c r="O685" s="148"/>
      <c r="S685" s="277"/>
      <c r="T685" s="68"/>
      <c r="V685" s="279"/>
      <c r="X685" s="277"/>
      <c r="Y685" s="453"/>
      <c r="Z685" s="280"/>
      <c r="AA685" s="277"/>
      <c r="AB685" s="277"/>
      <c r="AC685" s="277"/>
      <c r="AD685" s="110"/>
      <c r="AE685" s="147"/>
      <c r="AF685" s="147"/>
      <c r="AG685" s="281"/>
      <c r="AH685" s="111"/>
      <c r="AI685" s="111"/>
    </row>
    <row r="686" spans="2:35">
      <c r="B686" s="273"/>
      <c r="C686" s="110"/>
      <c r="E686" s="220"/>
      <c r="L686" s="277"/>
      <c r="N686" s="147"/>
      <c r="O686" s="148"/>
      <c r="S686" s="277"/>
      <c r="T686" s="68"/>
      <c r="V686" s="279"/>
      <c r="X686" s="277"/>
      <c r="Y686" s="453"/>
      <c r="Z686" s="280"/>
      <c r="AA686" s="277"/>
      <c r="AB686" s="277"/>
      <c r="AC686" s="277"/>
      <c r="AD686" s="110"/>
      <c r="AE686" s="147"/>
      <c r="AF686" s="147"/>
      <c r="AG686" s="281"/>
      <c r="AH686" s="111"/>
      <c r="AI686" s="111"/>
    </row>
    <row r="687" spans="2:35">
      <c r="B687" s="273"/>
      <c r="C687" s="110"/>
      <c r="E687" s="220"/>
      <c r="L687" s="277"/>
      <c r="N687" s="147"/>
      <c r="O687" s="148"/>
      <c r="S687" s="277"/>
      <c r="T687" s="68"/>
      <c r="V687" s="279"/>
      <c r="X687" s="277"/>
      <c r="Y687" s="453"/>
      <c r="Z687" s="280"/>
      <c r="AA687" s="277"/>
      <c r="AB687" s="277"/>
      <c r="AC687" s="277"/>
      <c r="AD687" s="110"/>
      <c r="AE687" s="147"/>
      <c r="AF687" s="147"/>
      <c r="AG687" s="281"/>
      <c r="AH687" s="111"/>
      <c r="AI687" s="111"/>
    </row>
    <row r="688" spans="2:35">
      <c r="B688" s="273"/>
      <c r="C688" s="110"/>
      <c r="E688" s="220"/>
      <c r="L688" s="277"/>
      <c r="N688" s="147"/>
      <c r="O688" s="148"/>
      <c r="S688" s="277"/>
      <c r="T688" s="68"/>
      <c r="V688" s="279"/>
      <c r="X688" s="277"/>
      <c r="Y688" s="453"/>
      <c r="Z688" s="280"/>
      <c r="AA688" s="277"/>
      <c r="AB688" s="277"/>
      <c r="AC688" s="277"/>
      <c r="AD688" s="110"/>
      <c r="AE688" s="147"/>
      <c r="AF688" s="147"/>
      <c r="AG688" s="281"/>
      <c r="AH688" s="111"/>
      <c r="AI688" s="111"/>
    </row>
    <row r="689" spans="2:35">
      <c r="B689" s="273"/>
      <c r="C689" s="110"/>
      <c r="E689" s="220"/>
      <c r="L689" s="277"/>
      <c r="N689" s="147"/>
      <c r="O689" s="148"/>
      <c r="S689" s="277"/>
      <c r="T689" s="68"/>
      <c r="V689" s="279"/>
      <c r="X689" s="277"/>
      <c r="Y689" s="453"/>
      <c r="Z689" s="280"/>
      <c r="AA689" s="277"/>
      <c r="AB689" s="277"/>
      <c r="AC689" s="277"/>
      <c r="AD689" s="110"/>
      <c r="AE689" s="147"/>
      <c r="AF689" s="147"/>
      <c r="AG689" s="281"/>
      <c r="AH689" s="111"/>
      <c r="AI689" s="111"/>
    </row>
    <row r="690" spans="2:35">
      <c r="B690" s="273"/>
      <c r="C690" s="110"/>
      <c r="E690" s="220"/>
      <c r="L690" s="277"/>
      <c r="N690" s="147"/>
      <c r="O690" s="148"/>
      <c r="S690" s="277"/>
      <c r="T690" s="68"/>
      <c r="V690" s="279"/>
      <c r="X690" s="277"/>
      <c r="Y690" s="453"/>
      <c r="Z690" s="280"/>
      <c r="AA690" s="277"/>
      <c r="AB690" s="277"/>
      <c r="AC690" s="277"/>
      <c r="AD690" s="110"/>
      <c r="AE690" s="147"/>
      <c r="AF690" s="147"/>
      <c r="AG690" s="281"/>
      <c r="AH690" s="111"/>
      <c r="AI690" s="111"/>
    </row>
    <row r="691" spans="2:35">
      <c r="B691" s="273"/>
      <c r="C691" s="110"/>
      <c r="E691" s="220"/>
      <c r="L691" s="277"/>
      <c r="N691" s="147"/>
      <c r="O691" s="148"/>
      <c r="S691" s="277"/>
      <c r="T691" s="68"/>
      <c r="V691" s="279"/>
      <c r="X691" s="277"/>
      <c r="Y691" s="453"/>
      <c r="Z691" s="280"/>
      <c r="AA691" s="277"/>
      <c r="AB691" s="277"/>
      <c r="AC691" s="277"/>
      <c r="AD691" s="110"/>
      <c r="AE691" s="147"/>
      <c r="AF691" s="147"/>
      <c r="AG691" s="281"/>
      <c r="AH691" s="111"/>
      <c r="AI691" s="111"/>
    </row>
    <row r="692" spans="2:35">
      <c r="B692" s="273"/>
      <c r="C692" s="110"/>
      <c r="E692" s="220"/>
      <c r="L692" s="277"/>
      <c r="N692" s="147"/>
      <c r="O692" s="148"/>
      <c r="S692" s="277"/>
      <c r="T692" s="68"/>
      <c r="V692" s="279"/>
      <c r="X692" s="277"/>
      <c r="Y692" s="453"/>
      <c r="Z692" s="280"/>
      <c r="AA692" s="277"/>
      <c r="AB692" s="277"/>
      <c r="AC692" s="277"/>
      <c r="AD692" s="110"/>
      <c r="AE692" s="147"/>
      <c r="AF692" s="147"/>
      <c r="AG692" s="281"/>
      <c r="AH692" s="111"/>
      <c r="AI692" s="111"/>
    </row>
    <row r="693" spans="2:35">
      <c r="B693" s="273"/>
      <c r="C693" s="110"/>
      <c r="E693" s="220"/>
      <c r="L693" s="277"/>
      <c r="N693" s="147"/>
      <c r="O693" s="148"/>
      <c r="S693" s="277"/>
      <c r="T693" s="68"/>
      <c r="V693" s="279"/>
      <c r="X693" s="277"/>
      <c r="Y693" s="453"/>
      <c r="Z693" s="280"/>
      <c r="AA693" s="277"/>
      <c r="AB693" s="277"/>
      <c r="AC693" s="277"/>
      <c r="AD693" s="110"/>
      <c r="AE693" s="147"/>
      <c r="AF693" s="147"/>
      <c r="AG693" s="281"/>
      <c r="AH693" s="111"/>
      <c r="AI693" s="111"/>
    </row>
    <row r="694" spans="2:35">
      <c r="B694" s="273"/>
      <c r="C694" s="110"/>
      <c r="E694" s="220"/>
      <c r="L694" s="277"/>
      <c r="N694" s="147"/>
      <c r="O694" s="148"/>
      <c r="S694" s="277"/>
      <c r="T694" s="68"/>
      <c r="V694" s="279"/>
      <c r="X694" s="277"/>
      <c r="Y694" s="453"/>
      <c r="Z694" s="280"/>
      <c r="AA694" s="277"/>
      <c r="AB694" s="277"/>
      <c r="AC694" s="277"/>
      <c r="AD694" s="110"/>
      <c r="AE694" s="147"/>
      <c r="AF694" s="147"/>
      <c r="AG694" s="281"/>
      <c r="AH694" s="111"/>
      <c r="AI694" s="111"/>
    </row>
    <row r="695" spans="2:35">
      <c r="B695" s="273"/>
      <c r="C695" s="110"/>
      <c r="E695" s="220"/>
      <c r="L695" s="277"/>
      <c r="N695" s="147"/>
      <c r="O695" s="148"/>
      <c r="S695" s="277"/>
      <c r="T695" s="68"/>
      <c r="V695" s="279"/>
      <c r="X695" s="277"/>
      <c r="Y695" s="453"/>
      <c r="Z695" s="280"/>
      <c r="AA695" s="277"/>
      <c r="AB695" s="277"/>
      <c r="AC695" s="277"/>
      <c r="AD695" s="110"/>
      <c r="AE695" s="147"/>
      <c r="AF695" s="147"/>
      <c r="AG695" s="281"/>
      <c r="AH695" s="111"/>
      <c r="AI695" s="111"/>
    </row>
    <row r="696" spans="2:35">
      <c r="B696" s="273"/>
      <c r="C696" s="110"/>
      <c r="E696" s="220"/>
      <c r="L696" s="277"/>
      <c r="N696" s="147"/>
      <c r="O696" s="148"/>
      <c r="S696" s="277"/>
      <c r="T696" s="68"/>
      <c r="V696" s="279"/>
      <c r="X696" s="277"/>
      <c r="Y696" s="453"/>
      <c r="Z696" s="280"/>
      <c r="AA696" s="277"/>
      <c r="AB696" s="277"/>
      <c r="AC696" s="277"/>
      <c r="AD696" s="110"/>
      <c r="AE696" s="147"/>
      <c r="AF696" s="147"/>
      <c r="AG696" s="281"/>
      <c r="AH696" s="111"/>
      <c r="AI696" s="111"/>
    </row>
    <row r="697" spans="2:35">
      <c r="B697" s="273"/>
      <c r="C697" s="110"/>
      <c r="E697" s="220"/>
      <c r="L697" s="277"/>
      <c r="N697" s="147"/>
      <c r="O697" s="148"/>
      <c r="S697" s="277"/>
      <c r="T697" s="68"/>
      <c r="V697" s="279"/>
      <c r="X697" s="277"/>
      <c r="Y697" s="453"/>
      <c r="Z697" s="280"/>
      <c r="AA697" s="277"/>
      <c r="AB697" s="277"/>
      <c r="AC697" s="277"/>
      <c r="AD697" s="110"/>
      <c r="AE697" s="147"/>
      <c r="AF697" s="147"/>
      <c r="AG697" s="281"/>
      <c r="AH697" s="111"/>
      <c r="AI697" s="111"/>
    </row>
    <row r="698" spans="2:35">
      <c r="B698" s="273"/>
      <c r="C698" s="110"/>
      <c r="E698" s="220"/>
      <c r="L698" s="277"/>
      <c r="N698" s="147"/>
      <c r="O698" s="148"/>
      <c r="S698" s="277"/>
      <c r="T698" s="68"/>
      <c r="V698" s="279"/>
      <c r="X698" s="277"/>
      <c r="Y698" s="453"/>
      <c r="Z698" s="280"/>
      <c r="AA698" s="277"/>
      <c r="AB698" s="277"/>
      <c r="AC698" s="277"/>
      <c r="AD698" s="110"/>
      <c r="AE698" s="147"/>
      <c r="AF698" s="147"/>
      <c r="AG698" s="281"/>
      <c r="AH698" s="111"/>
      <c r="AI698" s="111"/>
    </row>
    <row r="699" spans="2:35">
      <c r="B699" s="273"/>
      <c r="C699" s="110"/>
      <c r="E699" s="220"/>
      <c r="L699" s="277"/>
      <c r="N699" s="147"/>
      <c r="O699" s="148"/>
      <c r="S699" s="277"/>
      <c r="T699" s="68"/>
      <c r="V699" s="279"/>
      <c r="X699" s="277"/>
      <c r="Y699" s="453"/>
      <c r="Z699" s="280"/>
      <c r="AA699" s="277"/>
      <c r="AB699" s="277"/>
      <c r="AC699" s="277"/>
      <c r="AD699" s="110"/>
      <c r="AE699" s="147"/>
      <c r="AF699" s="147"/>
      <c r="AG699" s="281"/>
      <c r="AH699" s="111"/>
      <c r="AI699" s="111"/>
    </row>
    <row r="700" spans="2:35">
      <c r="B700" s="273"/>
      <c r="C700" s="110"/>
      <c r="E700" s="220"/>
      <c r="L700" s="277"/>
      <c r="N700" s="147"/>
      <c r="O700" s="148"/>
      <c r="S700" s="277"/>
      <c r="T700" s="68"/>
      <c r="V700" s="279"/>
      <c r="X700" s="277"/>
      <c r="Y700" s="453"/>
      <c r="Z700" s="280"/>
      <c r="AA700" s="277"/>
      <c r="AB700" s="277"/>
      <c r="AC700" s="277"/>
      <c r="AD700" s="110"/>
      <c r="AE700" s="147"/>
      <c r="AF700" s="147"/>
      <c r="AG700" s="281"/>
      <c r="AH700" s="111"/>
      <c r="AI700" s="111"/>
    </row>
    <row r="701" spans="2:35">
      <c r="B701" s="273"/>
      <c r="C701" s="110"/>
      <c r="E701" s="220"/>
      <c r="L701" s="277"/>
      <c r="N701" s="147"/>
      <c r="O701" s="148"/>
      <c r="S701" s="277"/>
      <c r="T701" s="68"/>
      <c r="V701" s="279"/>
      <c r="X701" s="277"/>
      <c r="Y701" s="453"/>
      <c r="Z701" s="280"/>
      <c r="AA701" s="277"/>
      <c r="AB701" s="277"/>
      <c r="AC701" s="277"/>
      <c r="AD701" s="110"/>
      <c r="AE701" s="147"/>
      <c r="AF701" s="147"/>
      <c r="AG701" s="281"/>
      <c r="AH701" s="111"/>
      <c r="AI701" s="111"/>
    </row>
    <row r="702" spans="2:35">
      <c r="B702" s="273"/>
      <c r="C702" s="110"/>
      <c r="E702" s="220"/>
      <c r="L702" s="277"/>
      <c r="N702" s="147"/>
      <c r="O702" s="148"/>
      <c r="S702" s="277"/>
      <c r="T702" s="68"/>
      <c r="V702" s="279"/>
      <c r="X702" s="277"/>
      <c r="Y702" s="453"/>
      <c r="Z702" s="280"/>
      <c r="AA702" s="277"/>
      <c r="AB702" s="277"/>
      <c r="AC702" s="277"/>
      <c r="AD702" s="110"/>
      <c r="AE702" s="147"/>
      <c r="AF702" s="147"/>
      <c r="AG702" s="281"/>
      <c r="AH702" s="111"/>
      <c r="AI702" s="111"/>
    </row>
    <row r="703" spans="2:35">
      <c r="B703" s="273"/>
      <c r="C703" s="110"/>
      <c r="E703" s="220"/>
      <c r="L703" s="277"/>
      <c r="N703" s="147"/>
      <c r="O703" s="148"/>
      <c r="S703" s="277"/>
      <c r="T703" s="68"/>
      <c r="V703" s="279"/>
      <c r="X703" s="277"/>
      <c r="Y703" s="453"/>
      <c r="Z703" s="280"/>
      <c r="AA703" s="277"/>
      <c r="AB703" s="277"/>
      <c r="AC703" s="277"/>
      <c r="AD703" s="110"/>
      <c r="AE703" s="147"/>
      <c r="AF703" s="147"/>
      <c r="AG703" s="281"/>
      <c r="AH703" s="111"/>
      <c r="AI703" s="111"/>
    </row>
    <row r="704" spans="2:35">
      <c r="B704" s="273"/>
      <c r="C704" s="110"/>
      <c r="E704" s="220"/>
      <c r="L704" s="277"/>
      <c r="N704" s="147"/>
      <c r="O704" s="148"/>
      <c r="S704" s="277"/>
      <c r="T704" s="68"/>
      <c r="V704" s="279"/>
      <c r="X704" s="277"/>
      <c r="Y704" s="453"/>
      <c r="Z704" s="280"/>
      <c r="AA704" s="277"/>
      <c r="AB704" s="277"/>
      <c r="AC704" s="277"/>
      <c r="AD704" s="110"/>
      <c r="AE704" s="147"/>
      <c r="AF704" s="147"/>
      <c r="AG704" s="281"/>
      <c r="AH704" s="111"/>
      <c r="AI704" s="111"/>
    </row>
    <row r="705" spans="2:35">
      <c r="B705" s="273"/>
      <c r="C705" s="110"/>
      <c r="E705" s="220"/>
      <c r="L705" s="277"/>
      <c r="N705" s="147"/>
      <c r="O705" s="148"/>
      <c r="S705" s="277"/>
      <c r="T705" s="68"/>
      <c r="V705" s="279"/>
      <c r="X705" s="277"/>
      <c r="Y705" s="453"/>
      <c r="Z705" s="280"/>
      <c r="AA705" s="277"/>
      <c r="AB705" s="277"/>
      <c r="AC705" s="277"/>
      <c r="AD705" s="110"/>
      <c r="AE705" s="147"/>
      <c r="AF705" s="147"/>
      <c r="AG705" s="281"/>
      <c r="AH705" s="111"/>
      <c r="AI705" s="111"/>
    </row>
    <row r="706" spans="2:35">
      <c r="B706" s="273"/>
      <c r="C706" s="110"/>
      <c r="E706" s="220"/>
      <c r="L706" s="277"/>
      <c r="N706" s="147"/>
      <c r="O706" s="148"/>
      <c r="S706" s="277"/>
      <c r="T706" s="68"/>
      <c r="V706" s="279"/>
      <c r="X706" s="277"/>
      <c r="Y706" s="453"/>
      <c r="Z706" s="280"/>
      <c r="AA706" s="277"/>
      <c r="AB706" s="277"/>
      <c r="AC706" s="277"/>
      <c r="AD706" s="110"/>
      <c r="AE706" s="147"/>
      <c r="AF706" s="147"/>
      <c r="AG706" s="281"/>
      <c r="AH706" s="111"/>
      <c r="AI706" s="111"/>
    </row>
    <row r="707" spans="2:35">
      <c r="B707" s="273"/>
      <c r="C707" s="110"/>
      <c r="E707" s="220"/>
      <c r="L707" s="277"/>
      <c r="N707" s="147"/>
      <c r="O707" s="148"/>
      <c r="S707" s="277"/>
      <c r="T707" s="68"/>
      <c r="V707" s="279"/>
      <c r="X707" s="277"/>
      <c r="Y707" s="453"/>
      <c r="Z707" s="280"/>
      <c r="AA707" s="277"/>
      <c r="AB707" s="277"/>
      <c r="AC707" s="277"/>
      <c r="AD707" s="110"/>
      <c r="AE707" s="147"/>
      <c r="AF707" s="147"/>
      <c r="AG707" s="281"/>
      <c r="AH707" s="111"/>
      <c r="AI707" s="111"/>
    </row>
    <row r="708" spans="2:35">
      <c r="B708" s="273"/>
      <c r="C708" s="110"/>
      <c r="E708" s="220"/>
      <c r="L708" s="277"/>
      <c r="N708" s="147"/>
      <c r="O708" s="148"/>
      <c r="S708" s="277"/>
      <c r="T708" s="68"/>
      <c r="V708" s="279"/>
      <c r="X708" s="277"/>
      <c r="Y708" s="453"/>
      <c r="Z708" s="280"/>
      <c r="AA708" s="277"/>
      <c r="AB708" s="277"/>
      <c r="AC708" s="277"/>
      <c r="AD708" s="110"/>
      <c r="AE708" s="147"/>
      <c r="AF708" s="147"/>
      <c r="AG708" s="281"/>
      <c r="AH708" s="111"/>
      <c r="AI708" s="111"/>
    </row>
    <row r="709" spans="2:35">
      <c r="B709" s="273"/>
      <c r="C709" s="110"/>
      <c r="E709" s="220"/>
      <c r="L709" s="277"/>
      <c r="N709" s="147"/>
      <c r="O709" s="148"/>
      <c r="S709" s="277"/>
      <c r="T709" s="68"/>
      <c r="V709" s="279"/>
      <c r="X709" s="277"/>
      <c r="Y709" s="453"/>
      <c r="Z709" s="280"/>
      <c r="AA709" s="277"/>
      <c r="AB709" s="277"/>
      <c r="AC709" s="277"/>
      <c r="AD709" s="110"/>
      <c r="AE709" s="147"/>
      <c r="AF709" s="147"/>
      <c r="AG709" s="281"/>
      <c r="AH709" s="111"/>
      <c r="AI709" s="111"/>
    </row>
    <row r="710" spans="2:35">
      <c r="B710" s="273"/>
      <c r="C710" s="110"/>
      <c r="E710" s="220"/>
      <c r="L710" s="277"/>
      <c r="N710" s="147"/>
      <c r="O710" s="148"/>
      <c r="S710" s="277"/>
      <c r="T710" s="68"/>
      <c r="V710" s="279"/>
      <c r="X710" s="277"/>
      <c r="Y710" s="453"/>
      <c r="Z710" s="280"/>
      <c r="AA710" s="277"/>
      <c r="AB710" s="277"/>
      <c r="AC710" s="277"/>
      <c r="AD710" s="110"/>
      <c r="AE710" s="147"/>
      <c r="AF710" s="147"/>
      <c r="AG710" s="281"/>
      <c r="AH710" s="111"/>
      <c r="AI710" s="111"/>
    </row>
    <row r="711" spans="2:35">
      <c r="B711" s="273"/>
      <c r="C711" s="110"/>
      <c r="E711" s="220"/>
      <c r="L711" s="277"/>
      <c r="N711" s="147"/>
      <c r="O711" s="148"/>
      <c r="S711" s="277"/>
      <c r="T711" s="68"/>
      <c r="V711" s="279"/>
      <c r="X711" s="277"/>
      <c r="Y711" s="453"/>
      <c r="Z711" s="280"/>
      <c r="AA711" s="277"/>
      <c r="AB711" s="277"/>
      <c r="AC711" s="277"/>
      <c r="AD711" s="110"/>
      <c r="AE711" s="147"/>
      <c r="AF711" s="147"/>
      <c r="AG711" s="281"/>
      <c r="AH711" s="111"/>
      <c r="AI711" s="111"/>
    </row>
    <row r="712" spans="2:35">
      <c r="B712" s="273"/>
      <c r="C712" s="110"/>
      <c r="E712" s="220"/>
      <c r="L712" s="277"/>
      <c r="N712" s="147"/>
      <c r="O712" s="148"/>
      <c r="S712" s="277"/>
      <c r="T712" s="68"/>
      <c r="V712" s="279"/>
      <c r="X712" s="277"/>
      <c r="Y712" s="453"/>
      <c r="Z712" s="280"/>
      <c r="AA712" s="277"/>
      <c r="AB712" s="277"/>
      <c r="AC712" s="277"/>
      <c r="AD712" s="110"/>
      <c r="AE712" s="147"/>
      <c r="AF712" s="147"/>
      <c r="AG712" s="281"/>
      <c r="AH712" s="111"/>
      <c r="AI712" s="111"/>
    </row>
    <row r="713" spans="2:35">
      <c r="B713" s="273"/>
      <c r="C713" s="110"/>
      <c r="E713" s="220"/>
      <c r="L713" s="277"/>
      <c r="N713" s="147"/>
      <c r="O713" s="148"/>
      <c r="S713" s="277"/>
      <c r="T713" s="68"/>
      <c r="V713" s="279"/>
      <c r="X713" s="277"/>
      <c r="Y713" s="453"/>
      <c r="Z713" s="280"/>
      <c r="AA713" s="277"/>
      <c r="AB713" s="277"/>
      <c r="AC713" s="277"/>
      <c r="AD713" s="110"/>
      <c r="AE713" s="147"/>
      <c r="AF713" s="147"/>
      <c r="AG713" s="281"/>
      <c r="AH713" s="111"/>
      <c r="AI713" s="111"/>
    </row>
    <row r="714" spans="2:35">
      <c r="B714" s="273"/>
      <c r="C714" s="110"/>
      <c r="E714" s="220"/>
      <c r="L714" s="277"/>
      <c r="N714" s="147"/>
      <c r="O714" s="148"/>
      <c r="S714" s="277"/>
      <c r="T714" s="68"/>
      <c r="V714" s="279"/>
      <c r="X714" s="277"/>
      <c r="Y714" s="453"/>
      <c r="Z714" s="280"/>
      <c r="AA714" s="277"/>
      <c r="AB714" s="277"/>
      <c r="AC714" s="277"/>
      <c r="AD714" s="110"/>
      <c r="AE714" s="147"/>
      <c r="AF714" s="147"/>
      <c r="AG714" s="281"/>
      <c r="AH714" s="111"/>
      <c r="AI714" s="111"/>
    </row>
    <row r="715" spans="2:35">
      <c r="B715" s="273"/>
      <c r="C715" s="110"/>
      <c r="E715" s="220"/>
      <c r="L715" s="277"/>
      <c r="N715" s="147"/>
      <c r="O715" s="148"/>
      <c r="S715" s="277"/>
      <c r="T715" s="68"/>
      <c r="V715" s="279"/>
      <c r="X715" s="277"/>
      <c r="Y715" s="453"/>
      <c r="Z715" s="280"/>
      <c r="AA715" s="277"/>
      <c r="AB715" s="277"/>
      <c r="AC715" s="277"/>
      <c r="AD715" s="110"/>
      <c r="AE715" s="147"/>
      <c r="AF715" s="147"/>
      <c r="AG715" s="281"/>
      <c r="AH715" s="111"/>
      <c r="AI715" s="111"/>
    </row>
    <row r="716" spans="2:35">
      <c r="B716" s="273"/>
      <c r="C716" s="110"/>
      <c r="E716" s="220"/>
      <c r="L716" s="277"/>
      <c r="N716" s="147"/>
      <c r="O716" s="148"/>
      <c r="S716" s="277"/>
      <c r="T716" s="68"/>
      <c r="V716" s="279"/>
      <c r="X716" s="277"/>
      <c r="Y716" s="453"/>
      <c r="Z716" s="280"/>
      <c r="AA716" s="277"/>
      <c r="AB716" s="277"/>
      <c r="AC716" s="277"/>
      <c r="AD716" s="110"/>
      <c r="AE716" s="147"/>
      <c r="AF716" s="147"/>
      <c r="AG716" s="281"/>
      <c r="AH716" s="111"/>
      <c r="AI716" s="111"/>
    </row>
    <row r="717" spans="2:35">
      <c r="B717" s="273"/>
      <c r="C717" s="110"/>
      <c r="E717" s="220"/>
      <c r="L717" s="277"/>
      <c r="N717" s="147"/>
      <c r="O717" s="148"/>
      <c r="S717" s="277"/>
      <c r="T717" s="68"/>
      <c r="V717" s="279"/>
      <c r="X717" s="277"/>
      <c r="Y717" s="453"/>
      <c r="Z717" s="280"/>
      <c r="AA717" s="277"/>
      <c r="AB717" s="277"/>
      <c r="AC717" s="277"/>
      <c r="AD717" s="110"/>
      <c r="AE717" s="147"/>
      <c r="AF717" s="147"/>
      <c r="AG717" s="281"/>
      <c r="AH717" s="111"/>
      <c r="AI717" s="111"/>
    </row>
    <row r="718" spans="2:35">
      <c r="B718" s="273"/>
      <c r="C718" s="110"/>
      <c r="E718" s="220"/>
      <c r="L718" s="277"/>
      <c r="N718" s="147"/>
      <c r="O718" s="148"/>
      <c r="S718" s="277"/>
      <c r="T718" s="68"/>
      <c r="V718" s="279"/>
      <c r="X718" s="277"/>
      <c r="Y718" s="453"/>
      <c r="Z718" s="280"/>
      <c r="AA718" s="277"/>
      <c r="AB718" s="277"/>
      <c r="AC718" s="277"/>
      <c r="AD718" s="110"/>
      <c r="AE718" s="147"/>
      <c r="AF718" s="147"/>
      <c r="AG718" s="281"/>
      <c r="AH718" s="111"/>
      <c r="AI718" s="111"/>
    </row>
    <row r="719" spans="2:35">
      <c r="B719" s="273"/>
      <c r="C719" s="110"/>
      <c r="E719" s="220"/>
      <c r="L719" s="277"/>
      <c r="N719" s="147"/>
      <c r="O719" s="148"/>
      <c r="S719" s="277"/>
      <c r="T719" s="68"/>
      <c r="V719" s="279"/>
      <c r="X719" s="277"/>
      <c r="Y719" s="453"/>
      <c r="Z719" s="280"/>
      <c r="AA719" s="277"/>
      <c r="AB719" s="277"/>
      <c r="AC719" s="277"/>
      <c r="AD719" s="110"/>
      <c r="AE719" s="147"/>
      <c r="AF719" s="147"/>
      <c r="AG719" s="281"/>
      <c r="AH719" s="111"/>
      <c r="AI719" s="111"/>
    </row>
    <row r="720" spans="2:35">
      <c r="B720" s="273"/>
      <c r="C720" s="110"/>
      <c r="E720" s="220"/>
      <c r="L720" s="277"/>
      <c r="N720" s="147"/>
      <c r="O720" s="148"/>
      <c r="S720" s="277"/>
      <c r="T720" s="68"/>
      <c r="V720" s="279"/>
      <c r="X720" s="277"/>
      <c r="Y720" s="453"/>
      <c r="Z720" s="280"/>
      <c r="AA720" s="277"/>
      <c r="AB720" s="277"/>
      <c r="AC720" s="277"/>
      <c r="AD720" s="110"/>
      <c r="AE720" s="147"/>
      <c r="AF720" s="147"/>
      <c r="AG720" s="281"/>
      <c r="AH720" s="111"/>
      <c r="AI720" s="111"/>
    </row>
    <row r="721" spans="2:35">
      <c r="B721" s="273"/>
      <c r="C721" s="110"/>
      <c r="E721" s="220"/>
      <c r="L721" s="277"/>
      <c r="N721" s="147"/>
      <c r="O721" s="148"/>
      <c r="S721" s="277"/>
      <c r="T721" s="68"/>
      <c r="V721" s="279"/>
      <c r="X721" s="277"/>
      <c r="Y721" s="453"/>
      <c r="Z721" s="280"/>
      <c r="AA721" s="277"/>
      <c r="AB721" s="277"/>
      <c r="AC721" s="277"/>
      <c r="AD721" s="110"/>
      <c r="AE721" s="147"/>
      <c r="AF721" s="147"/>
      <c r="AG721" s="281"/>
      <c r="AH721" s="111"/>
      <c r="AI721" s="111"/>
    </row>
    <row r="722" spans="2:35">
      <c r="B722" s="273"/>
      <c r="C722" s="110"/>
      <c r="E722" s="220"/>
      <c r="L722" s="277"/>
      <c r="N722" s="147"/>
      <c r="O722" s="148"/>
      <c r="S722" s="277"/>
      <c r="T722" s="68"/>
      <c r="V722" s="279"/>
      <c r="X722" s="277"/>
      <c r="Y722" s="453"/>
      <c r="Z722" s="280"/>
      <c r="AA722" s="277"/>
      <c r="AB722" s="277"/>
      <c r="AC722" s="277"/>
      <c r="AD722" s="110"/>
      <c r="AE722" s="147"/>
      <c r="AF722" s="147"/>
      <c r="AG722" s="281"/>
      <c r="AH722" s="111"/>
      <c r="AI722" s="111"/>
    </row>
    <row r="723" spans="2:35">
      <c r="B723" s="273"/>
      <c r="C723" s="110"/>
      <c r="E723" s="220"/>
      <c r="L723" s="277"/>
      <c r="N723" s="147"/>
      <c r="O723" s="148"/>
      <c r="S723" s="277"/>
      <c r="T723" s="68"/>
      <c r="V723" s="279"/>
      <c r="X723" s="277"/>
      <c r="Y723" s="453"/>
      <c r="Z723" s="280"/>
      <c r="AA723" s="277"/>
      <c r="AB723" s="277"/>
      <c r="AC723" s="277"/>
      <c r="AD723" s="110"/>
      <c r="AE723" s="147"/>
      <c r="AF723" s="147"/>
      <c r="AG723" s="281"/>
      <c r="AH723" s="111"/>
      <c r="AI723" s="111"/>
    </row>
    <row r="724" spans="2:35">
      <c r="B724" s="273"/>
      <c r="C724" s="110"/>
      <c r="E724" s="220"/>
      <c r="L724" s="277"/>
      <c r="N724" s="147"/>
      <c r="O724" s="148"/>
      <c r="S724" s="277"/>
      <c r="T724" s="68"/>
      <c r="V724" s="279"/>
      <c r="X724" s="277"/>
      <c r="Y724" s="453"/>
      <c r="Z724" s="280"/>
      <c r="AA724" s="277"/>
      <c r="AB724" s="277"/>
      <c r="AC724" s="277"/>
      <c r="AD724" s="110"/>
      <c r="AE724" s="147"/>
      <c r="AF724" s="147"/>
      <c r="AG724" s="281"/>
      <c r="AH724" s="111"/>
      <c r="AI724" s="111"/>
    </row>
    <row r="725" spans="2:35">
      <c r="B725" s="273"/>
      <c r="C725" s="110"/>
      <c r="E725" s="220"/>
      <c r="L725" s="277"/>
      <c r="N725" s="147"/>
      <c r="O725" s="148"/>
      <c r="S725" s="277"/>
      <c r="T725" s="68"/>
      <c r="V725" s="279"/>
      <c r="X725" s="277"/>
      <c r="Y725" s="453"/>
      <c r="Z725" s="280"/>
      <c r="AA725" s="277"/>
      <c r="AB725" s="277"/>
      <c r="AC725" s="277"/>
      <c r="AD725" s="110"/>
      <c r="AE725" s="147"/>
      <c r="AF725" s="147"/>
      <c r="AG725" s="281"/>
      <c r="AH725" s="111"/>
      <c r="AI725" s="111"/>
    </row>
    <row r="726" spans="2:35">
      <c r="B726" s="273"/>
      <c r="C726" s="110"/>
      <c r="E726" s="220"/>
      <c r="L726" s="277"/>
      <c r="N726" s="147"/>
      <c r="O726" s="148"/>
      <c r="S726" s="277"/>
      <c r="T726" s="68"/>
      <c r="V726" s="279"/>
      <c r="X726" s="277"/>
      <c r="Y726" s="453"/>
      <c r="Z726" s="280"/>
      <c r="AA726" s="277"/>
      <c r="AB726" s="277"/>
      <c r="AC726" s="277"/>
      <c r="AD726" s="110"/>
      <c r="AE726" s="147"/>
      <c r="AF726" s="147"/>
      <c r="AG726" s="281"/>
      <c r="AH726" s="111"/>
      <c r="AI726" s="111"/>
    </row>
    <row r="727" spans="2:35">
      <c r="B727" s="273"/>
      <c r="C727" s="110"/>
      <c r="E727" s="220"/>
      <c r="L727" s="277"/>
      <c r="N727" s="147"/>
      <c r="O727" s="148"/>
      <c r="S727" s="277"/>
      <c r="T727" s="68"/>
      <c r="V727" s="279"/>
      <c r="X727" s="277"/>
      <c r="Y727" s="453"/>
      <c r="Z727" s="280"/>
      <c r="AA727" s="277"/>
      <c r="AB727" s="277"/>
      <c r="AC727" s="277"/>
      <c r="AD727" s="110"/>
      <c r="AE727" s="147"/>
      <c r="AF727" s="147"/>
      <c r="AG727" s="281"/>
      <c r="AH727" s="111"/>
      <c r="AI727" s="111"/>
    </row>
    <row r="728" spans="2:35">
      <c r="B728" s="273"/>
      <c r="C728" s="110"/>
      <c r="E728" s="220"/>
      <c r="L728" s="277"/>
      <c r="N728" s="147"/>
      <c r="O728" s="148"/>
      <c r="S728" s="277"/>
      <c r="T728" s="68"/>
      <c r="V728" s="279"/>
      <c r="X728" s="277"/>
      <c r="Y728" s="453"/>
      <c r="Z728" s="280"/>
      <c r="AA728" s="277"/>
      <c r="AB728" s="277"/>
      <c r="AC728" s="277"/>
      <c r="AD728" s="110"/>
      <c r="AE728" s="147"/>
      <c r="AF728" s="147"/>
      <c r="AG728" s="281"/>
      <c r="AH728" s="111"/>
      <c r="AI728" s="111"/>
    </row>
    <row r="729" spans="2:35">
      <c r="B729" s="273"/>
      <c r="C729" s="110"/>
      <c r="E729" s="220"/>
      <c r="L729" s="277"/>
      <c r="N729" s="147"/>
      <c r="O729" s="148"/>
      <c r="S729" s="277"/>
      <c r="T729" s="68"/>
      <c r="V729" s="279"/>
      <c r="X729" s="277"/>
      <c r="Y729" s="453"/>
      <c r="Z729" s="280"/>
      <c r="AA729" s="277"/>
      <c r="AB729" s="277"/>
      <c r="AC729" s="277"/>
      <c r="AD729" s="110"/>
      <c r="AE729" s="147"/>
      <c r="AF729" s="147"/>
      <c r="AG729" s="281"/>
      <c r="AH729" s="111"/>
      <c r="AI729" s="111"/>
    </row>
    <row r="730" spans="2:35">
      <c r="B730" s="273"/>
      <c r="C730" s="110"/>
      <c r="E730" s="220"/>
      <c r="L730" s="277"/>
      <c r="N730" s="147"/>
      <c r="O730" s="148"/>
      <c r="S730" s="277"/>
      <c r="T730" s="68"/>
      <c r="V730" s="279"/>
      <c r="X730" s="277"/>
      <c r="Y730" s="453"/>
      <c r="Z730" s="280"/>
      <c r="AA730" s="277"/>
      <c r="AB730" s="277"/>
      <c r="AC730" s="277"/>
      <c r="AD730" s="110"/>
      <c r="AE730" s="147"/>
      <c r="AF730" s="147"/>
      <c r="AG730" s="281"/>
      <c r="AH730" s="111"/>
      <c r="AI730" s="111"/>
    </row>
    <row r="731" spans="2:35">
      <c r="B731" s="273"/>
      <c r="C731" s="110"/>
      <c r="E731" s="220"/>
      <c r="L731" s="277"/>
      <c r="N731" s="147"/>
      <c r="O731" s="148"/>
      <c r="S731" s="277"/>
      <c r="T731" s="68"/>
      <c r="V731" s="279"/>
      <c r="X731" s="277"/>
      <c r="Y731" s="453"/>
      <c r="Z731" s="280"/>
      <c r="AA731" s="277"/>
      <c r="AB731" s="277"/>
      <c r="AC731" s="277"/>
      <c r="AD731" s="110"/>
      <c r="AE731" s="147"/>
      <c r="AF731" s="147"/>
      <c r="AG731" s="281"/>
      <c r="AH731" s="111"/>
      <c r="AI731" s="111"/>
    </row>
    <row r="732" spans="2:35">
      <c r="B732" s="273"/>
      <c r="C732" s="110"/>
      <c r="E732" s="220"/>
      <c r="L732" s="277"/>
      <c r="N732" s="147"/>
      <c r="O732" s="148"/>
      <c r="S732" s="277"/>
      <c r="T732" s="68"/>
      <c r="V732" s="279"/>
      <c r="X732" s="277"/>
      <c r="Y732" s="453"/>
      <c r="Z732" s="280"/>
      <c r="AA732" s="277"/>
      <c r="AB732" s="277"/>
      <c r="AC732" s="277"/>
      <c r="AD732" s="110"/>
      <c r="AE732" s="147"/>
      <c r="AF732" s="147"/>
      <c r="AG732" s="281"/>
      <c r="AH732" s="111"/>
      <c r="AI732" s="111"/>
    </row>
    <row r="733" spans="2:35">
      <c r="B733" s="273"/>
      <c r="C733" s="110"/>
      <c r="E733" s="220"/>
      <c r="L733" s="277"/>
      <c r="N733" s="147"/>
      <c r="O733" s="148"/>
      <c r="S733" s="277"/>
      <c r="T733" s="68"/>
      <c r="V733" s="279"/>
      <c r="X733" s="277"/>
      <c r="Y733" s="453"/>
      <c r="Z733" s="280"/>
      <c r="AA733" s="277"/>
      <c r="AB733" s="277"/>
      <c r="AC733" s="277"/>
      <c r="AD733" s="110"/>
      <c r="AE733" s="147"/>
      <c r="AF733" s="147"/>
      <c r="AG733" s="281"/>
      <c r="AH733" s="111"/>
      <c r="AI733" s="111"/>
    </row>
    <row r="734" spans="2:35">
      <c r="B734" s="273"/>
      <c r="C734" s="110"/>
      <c r="E734" s="220"/>
      <c r="L734" s="277"/>
      <c r="N734" s="147"/>
      <c r="O734" s="148"/>
      <c r="S734" s="277"/>
      <c r="T734" s="68"/>
      <c r="V734" s="279"/>
      <c r="X734" s="277"/>
      <c r="Y734" s="453"/>
      <c r="Z734" s="280"/>
      <c r="AA734" s="277"/>
      <c r="AB734" s="277"/>
      <c r="AC734" s="277"/>
      <c r="AD734" s="110"/>
      <c r="AE734" s="147"/>
      <c r="AF734" s="147"/>
      <c r="AG734" s="281"/>
      <c r="AH734" s="111"/>
      <c r="AI734" s="111"/>
    </row>
    <row r="735" spans="2:35">
      <c r="B735" s="273"/>
      <c r="C735" s="110"/>
      <c r="E735" s="220"/>
      <c r="L735" s="277"/>
      <c r="N735" s="147"/>
      <c r="O735" s="148"/>
      <c r="S735" s="277"/>
      <c r="T735" s="68"/>
      <c r="V735" s="279"/>
      <c r="X735" s="277"/>
      <c r="Y735" s="453"/>
      <c r="Z735" s="280"/>
      <c r="AA735" s="277"/>
      <c r="AB735" s="277"/>
      <c r="AC735" s="277"/>
      <c r="AD735" s="110"/>
      <c r="AE735" s="147"/>
      <c r="AF735" s="147"/>
      <c r="AG735" s="281"/>
      <c r="AH735" s="111"/>
      <c r="AI735" s="111"/>
    </row>
    <row r="736" spans="2:35">
      <c r="B736" s="273"/>
      <c r="C736" s="110"/>
      <c r="E736" s="220"/>
      <c r="L736" s="277"/>
      <c r="N736" s="147"/>
      <c r="O736" s="148"/>
      <c r="S736" s="277"/>
      <c r="T736" s="68"/>
      <c r="V736" s="279"/>
      <c r="X736" s="277"/>
      <c r="Y736" s="453"/>
      <c r="Z736" s="280"/>
      <c r="AA736" s="277"/>
      <c r="AB736" s="277"/>
      <c r="AC736" s="277"/>
      <c r="AD736" s="110"/>
      <c r="AE736" s="147"/>
      <c r="AF736" s="147"/>
      <c r="AG736" s="281"/>
      <c r="AH736" s="111"/>
      <c r="AI736" s="111"/>
    </row>
    <row r="737" spans="2:35">
      <c r="B737" s="273"/>
      <c r="C737" s="110"/>
      <c r="E737" s="220"/>
      <c r="L737" s="277"/>
      <c r="N737" s="147"/>
      <c r="O737" s="148"/>
      <c r="S737" s="277"/>
      <c r="T737" s="68"/>
      <c r="V737" s="279"/>
      <c r="X737" s="277"/>
      <c r="Y737" s="453"/>
      <c r="Z737" s="280"/>
      <c r="AA737" s="277"/>
      <c r="AB737" s="277"/>
      <c r="AC737" s="277"/>
      <c r="AD737" s="110"/>
      <c r="AE737" s="147"/>
      <c r="AF737" s="147"/>
      <c r="AG737" s="281"/>
      <c r="AH737" s="111"/>
      <c r="AI737" s="111"/>
    </row>
    <row r="738" spans="2:35">
      <c r="B738" s="273"/>
      <c r="C738" s="110"/>
      <c r="E738" s="220"/>
      <c r="L738" s="277"/>
      <c r="N738" s="147"/>
      <c r="O738" s="148"/>
      <c r="S738" s="277"/>
      <c r="T738" s="68"/>
      <c r="V738" s="279"/>
      <c r="X738" s="277"/>
      <c r="Y738" s="453"/>
      <c r="Z738" s="280"/>
      <c r="AA738" s="277"/>
      <c r="AB738" s="277"/>
      <c r="AC738" s="277"/>
      <c r="AD738" s="110"/>
      <c r="AE738" s="147"/>
      <c r="AF738" s="147"/>
      <c r="AG738" s="281"/>
      <c r="AH738" s="111"/>
      <c r="AI738" s="111"/>
    </row>
    <row r="739" spans="2:35">
      <c r="B739" s="273"/>
      <c r="C739" s="110"/>
      <c r="E739" s="220"/>
      <c r="L739" s="277"/>
      <c r="N739" s="147"/>
      <c r="O739" s="148"/>
      <c r="S739" s="277"/>
      <c r="T739" s="68"/>
      <c r="V739" s="279"/>
      <c r="X739" s="277"/>
      <c r="Y739" s="453"/>
      <c r="Z739" s="280"/>
      <c r="AA739" s="277"/>
      <c r="AB739" s="277"/>
      <c r="AC739" s="277"/>
      <c r="AD739" s="110"/>
      <c r="AE739" s="147"/>
      <c r="AF739" s="147"/>
      <c r="AG739" s="281"/>
      <c r="AH739" s="111"/>
      <c r="AI739" s="111"/>
    </row>
    <row r="740" spans="2:35">
      <c r="B740" s="273"/>
      <c r="C740" s="110"/>
      <c r="E740" s="220"/>
      <c r="L740" s="277"/>
      <c r="N740" s="147"/>
      <c r="O740" s="148"/>
      <c r="S740" s="277"/>
      <c r="T740" s="68"/>
      <c r="V740" s="279"/>
      <c r="X740" s="277"/>
      <c r="Y740" s="453"/>
      <c r="Z740" s="280"/>
      <c r="AA740" s="277"/>
      <c r="AB740" s="277"/>
      <c r="AC740" s="277"/>
      <c r="AD740" s="110"/>
      <c r="AE740" s="147"/>
      <c r="AF740" s="147"/>
      <c r="AG740" s="281"/>
      <c r="AH740" s="111"/>
      <c r="AI740" s="111"/>
    </row>
    <row r="741" spans="2:35">
      <c r="B741" s="273"/>
      <c r="C741" s="110"/>
      <c r="E741" s="220"/>
      <c r="L741" s="277"/>
      <c r="N741" s="147"/>
      <c r="O741" s="148"/>
      <c r="S741" s="277"/>
      <c r="T741" s="68"/>
      <c r="V741" s="279"/>
      <c r="X741" s="277"/>
      <c r="Y741" s="453"/>
      <c r="Z741" s="280"/>
      <c r="AA741" s="277"/>
      <c r="AB741" s="277"/>
      <c r="AC741" s="277"/>
      <c r="AD741" s="110"/>
      <c r="AE741" s="147"/>
      <c r="AF741" s="147"/>
      <c r="AG741" s="281"/>
      <c r="AH741" s="111"/>
      <c r="AI741" s="111"/>
    </row>
    <row r="742" spans="2:35">
      <c r="B742" s="273"/>
      <c r="C742" s="110"/>
      <c r="E742" s="220"/>
      <c r="L742" s="277"/>
      <c r="N742" s="147"/>
      <c r="O742" s="148"/>
      <c r="S742" s="277"/>
      <c r="T742" s="68"/>
      <c r="V742" s="279"/>
      <c r="X742" s="277"/>
      <c r="Y742" s="453"/>
      <c r="Z742" s="280"/>
      <c r="AA742" s="277"/>
      <c r="AB742" s="277"/>
      <c r="AC742" s="277"/>
      <c r="AD742" s="110"/>
      <c r="AE742" s="147"/>
      <c r="AF742" s="147"/>
      <c r="AG742" s="281"/>
      <c r="AH742" s="111"/>
      <c r="AI742" s="111"/>
    </row>
    <row r="743" spans="2:35">
      <c r="B743" s="273"/>
      <c r="C743" s="110"/>
      <c r="E743" s="220"/>
      <c r="L743" s="277"/>
      <c r="N743" s="147"/>
      <c r="O743" s="148"/>
      <c r="S743" s="277"/>
      <c r="T743" s="68"/>
      <c r="V743" s="279"/>
      <c r="X743" s="277"/>
      <c r="Y743" s="453"/>
      <c r="Z743" s="280"/>
      <c r="AA743" s="277"/>
      <c r="AB743" s="277"/>
      <c r="AC743" s="277"/>
      <c r="AD743" s="110"/>
      <c r="AE743" s="147"/>
      <c r="AF743" s="147"/>
      <c r="AG743" s="281"/>
      <c r="AH743" s="111"/>
      <c r="AI743" s="111"/>
    </row>
    <row r="744" spans="2:35">
      <c r="B744" s="273"/>
      <c r="C744" s="110"/>
      <c r="E744" s="220"/>
      <c r="L744" s="277"/>
      <c r="N744" s="147"/>
      <c r="O744" s="148"/>
      <c r="S744" s="277"/>
      <c r="T744" s="68"/>
      <c r="V744" s="279"/>
      <c r="X744" s="277"/>
      <c r="Y744" s="453"/>
      <c r="Z744" s="280"/>
      <c r="AA744" s="277"/>
      <c r="AB744" s="277"/>
      <c r="AC744" s="277"/>
      <c r="AD744" s="110"/>
      <c r="AE744" s="147"/>
      <c r="AF744" s="147"/>
      <c r="AG744" s="281"/>
      <c r="AH744" s="111"/>
      <c r="AI744" s="111"/>
    </row>
    <row r="745" spans="2:35">
      <c r="B745" s="273"/>
      <c r="C745" s="110"/>
      <c r="E745" s="220"/>
      <c r="L745" s="277"/>
      <c r="N745" s="147"/>
      <c r="O745" s="148"/>
      <c r="S745" s="277"/>
      <c r="T745" s="68"/>
      <c r="V745" s="279"/>
      <c r="X745" s="277"/>
      <c r="Y745" s="453"/>
      <c r="Z745" s="280"/>
      <c r="AA745" s="277"/>
      <c r="AB745" s="277"/>
      <c r="AC745" s="277"/>
      <c r="AD745" s="110"/>
      <c r="AE745" s="147"/>
      <c r="AF745" s="147"/>
      <c r="AG745" s="281"/>
      <c r="AH745" s="111"/>
      <c r="AI745" s="111"/>
    </row>
    <row r="746" spans="2:35">
      <c r="B746" s="273"/>
      <c r="C746" s="110"/>
      <c r="E746" s="220"/>
      <c r="L746" s="277"/>
      <c r="N746" s="147"/>
      <c r="O746" s="148"/>
      <c r="S746" s="277"/>
      <c r="T746" s="68"/>
      <c r="V746" s="279"/>
      <c r="X746" s="277"/>
      <c r="Y746" s="453"/>
      <c r="Z746" s="280"/>
      <c r="AA746" s="277"/>
      <c r="AB746" s="277"/>
      <c r="AC746" s="277"/>
      <c r="AD746" s="110"/>
      <c r="AE746" s="147"/>
      <c r="AF746" s="147"/>
      <c r="AG746" s="281"/>
      <c r="AH746" s="111"/>
      <c r="AI746" s="111"/>
    </row>
    <row r="747" spans="2:35">
      <c r="B747" s="273"/>
      <c r="C747" s="110"/>
      <c r="E747" s="220"/>
      <c r="L747" s="277"/>
      <c r="N747" s="147"/>
      <c r="O747" s="148"/>
      <c r="S747" s="277"/>
      <c r="T747" s="68"/>
      <c r="V747" s="279"/>
      <c r="X747" s="277"/>
      <c r="Y747" s="453"/>
      <c r="Z747" s="280"/>
      <c r="AA747" s="277"/>
      <c r="AB747" s="277"/>
      <c r="AC747" s="277"/>
      <c r="AD747" s="110"/>
      <c r="AE747" s="147"/>
      <c r="AF747" s="147"/>
      <c r="AG747" s="281"/>
      <c r="AH747" s="111"/>
      <c r="AI747" s="111"/>
    </row>
    <row r="748" spans="2:35">
      <c r="B748" s="273"/>
      <c r="C748" s="110"/>
      <c r="E748" s="220"/>
      <c r="L748" s="277"/>
      <c r="N748" s="147"/>
      <c r="O748" s="148"/>
      <c r="S748" s="277"/>
      <c r="T748" s="68"/>
      <c r="V748" s="279"/>
      <c r="X748" s="277"/>
      <c r="Y748" s="453"/>
      <c r="Z748" s="280"/>
      <c r="AA748" s="277"/>
      <c r="AB748" s="277"/>
      <c r="AC748" s="277"/>
      <c r="AD748" s="110"/>
      <c r="AE748" s="147"/>
      <c r="AF748" s="147"/>
      <c r="AG748" s="281"/>
      <c r="AH748" s="111"/>
      <c r="AI748" s="111"/>
    </row>
    <row r="749" spans="2:35">
      <c r="B749" s="273"/>
      <c r="C749" s="110"/>
      <c r="E749" s="220"/>
      <c r="L749" s="277"/>
      <c r="N749" s="147"/>
      <c r="O749" s="148"/>
      <c r="S749" s="277"/>
      <c r="T749" s="68"/>
      <c r="V749" s="279"/>
      <c r="X749" s="277"/>
      <c r="Y749" s="453"/>
      <c r="Z749" s="280"/>
      <c r="AA749" s="277"/>
      <c r="AB749" s="277"/>
      <c r="AC749" s="277"/>
      <c r="AD749" s="110"/>
      <c r="AE749" s="147"/>
      <c r="AF749" s="147"/>
      <c r="AG749" s="281"/>
      <c r="AH749" s="111"/>
      <c r="AI749" s="111"/>
    </row>
    <row r="750" spans="2:35">
      <c r="B750" s="273"/>
      <c r="C750" s="110"/>
      <c r="E750" s="220"/>
      <c r="L750" s="277"/>
      <c r="N750" s="147"/>
      <c r="O750" s="148"/>
      <c r="S750" s="277"/>
      <c r="T750" s="68"/>
      <c r="V750" s="279"/>
      <c r="X750" s="277"/>
      <c r="Y750" s="453"/>
      <c r="Z750" s="280"/>
      <c r="AA750" s="277"/>
      <c r="AB750" s="277"/>
      <c r="AC750" s="277"/>
      <c r="AD750" s="110"/>
      <c r="AE750" s="147"/>
      <c r="AF750" s="147"/>
      <c r="AG750" s="281"/>
      <c r="AH750" s="111"/>
      <c r="AI750" s="111"/>
    </row>
    <row r="751" spans="2:35">
      <c r="B751" s="273"/>
      <c r="C751" s="110"/>
      <c r="E751" s="220"/>
      <c r="L751" s="277"/>
      <c r="N751" s="147"/>
      <c r="O751" s="148"/>
      <c r="S751" s="277"/>
      <c r="T751" s="68"/>
      <c r="V751" s="279"/>
      <c r="X751" s="277"/>
      <c r="Y751" s="453"/>
      <c r="Z751" s="280"/>
      <c r="AA751" s="277"/>
      <c r="AB751" s="277"/>
      <c r="AC751" s="277"/>
      <c r="AD751" s="110"/>
      <c r="AE751" s="147"/>
      <c r="AF751" s="147"/>
      <c r="AG751" s="281"/>
      <c r="AH751" s="111"/>
      <c r="AI751" s="111"/>
    </row>
    <row r="752" spans="2:35">
      <c r="B752" s="273"/>
      <c r="C752" s="110"/>
      <c r="E752" s="220"/>
      <c r="L752" s="277"/>
      <c r="N752" s="147"/>
      <c r="O752" s="148"/>
      <c r="S752" s="277"/>
      <c r="T752" s="68"/>
      <c r="V752" s="279"/>
      <c r="X752" s="277"/>
      <c r="Y752" s="453"/>
      <c r="Z752" s="280"/>
      <c r="AA752" s="277"/>
      <c r="AB752" s="277"/>
      <c r="AC752" s="277"/>
      <c r="AD752" s="110"/>
      <c r="AE752" s="147"/>
      <c r="AF752" s="147"/>
      <c r="AG752" s="281"/>
      <c r="AH752" s="111"/>
      <c r="AI752" s="111"/>
    </row>
    <row r="753" spans="2:35">
      <c r="B753" s="273"/>
      <c r="C753" s="110"/>
      <c r="E753" s="220"/>
      <c r="L753" s="277"/>
      <c r="N753" s="147"/>
      <c r="O753" s="148"/>
      <c r="S753" s="277"/>
      <c r="T753" s="68"/>
      <c r="V753" s="279"/>
      <c r="X753" s="277"/>
      <c r="Y753" s="453"/>
      <c r="Z753" s="280"/>
      <c r="AA753" s="277"/>
      <c r="AB753" s="277"/>
      <c r="AC753" s="277"/>
      <c r="AD753" s="110"/>
      <c r="AE753" s="147"/>
      <c r="AF753" s="147"/>
      <c r="AG753" s="281"/>
      <c r="AH753" s="111"/>
      <c r="AI753" s="111"/>
    </row>
    <row r="754" spans="2:35">
      <c r="B754" s="273"/>
      <c r="C754" s="110"/>
      <c r="E754" s="220"/>
      <c r="L754" s="277"/>
      <c r="N754" s="147"/>
      <c r="O754" s="148"/>
      <c r="S754" s="277"/>
      <c r="T754" s="68"/>
      <c r="V754" s="279"/>
      <c r="X754" s="277"/>
      <c r="Y754" s="453"/>
      <c r="Z754" s="280"/>
      <c r="AA754" s="277"/>
      <c r="AB754" s="277"/>
      <c r="AC754" s="277"/>
      <c r="AD754" s="110"/>
      <c r="AE754" s="147"/>
      <c r="AF754" s="147"/>
      <c r="AG754" s="281"/>
      <c r="AH754" s="111"/>
      <c r="AI754" s="111"/>
    </row>
    <row r="755" spans="2:35">
      <c r="B755" s="273"/>
      <c r="C755" s="110"/>
      <c r="E755" s="220"/>
      <c r="L755" s="277"/>
      <c r="N755" s="147"/>
      <c r="O755" s="148"/>
      <c r="S755" s="277"/>
      <c r="T755" s="68"/>
      <c r="V755" s="279"/>
      <c r="X755" s="277"/>
      <c r="Y755" s="453"/>
      <c r="Z755" s="280"/>
      <c r="AA755" s="277"/>
      <c r="AB755" s="277"/>
      <c r="AC755" s="277"/>
      <c r="AD755" s="110"/>
      <c r="AE755" s="147"/>
      <c r="AF755" s="147"/>
      <c r="AG755" s="281"/>
      <c r="AH755" s="111"/>
      <c r="AI755" s="111"/>
    </row>
    <row r="756" spans="2:35">
      <c r="B756" s="273"/>
      <c r="C756" s="110"/>
      <c r="E756" s="220"/>
      <c r="L756" s="277"/>
      <c r="N756" s="147"/>
      <c r="O756" s="148"/>
      <c r="S756" s="277"/>
      <c r="T756" s="68"/>
      <c r="V756" s="279"/>
      <c r="X756" s="277"/>
      <c r="Y756" s="453"/>
      <c r="Z756" s="280"/>
      <c r="AA756" s="277"/>
      <c r="AB756" s="277"/>
      <c r="AC756" s="277"/>
      <c r="AD756" s="110"/>
      <c r="AE756" s="147"/>
      <c r="AF756" s="147"/>
      <c r="AG756" s="281"/>
      <c r="AH756" s="111"/>
      <c r="AI756" s="111"/>
    </row>
    <row r="757" spans="2:35">
      <c r="B757" s="273"/>
      <c r="C757" s="110"/>
      <c r="E757" s="220"/>
      <c r="L757" s="277"/>
      <c r="N757" s="147"/>
      <c r="O757" s="148"/>
      <c r="S757" s="277"/>
      <c r="T757" s="68"/>
      <c r="V757" s="279"/>
      <c r="X757" s="277"/>
      <c r="Y757" s="453"/>
      <c r="Z757" s="280"/>
      <c r="AA757" s="277"/>
      <c r="AB757" s="277"/>
      <c r="AC757" s="277"/>
      <c r="AD757" s="110"/>
      <c r="AE757" s="147"/>
      <c r="AF757" s="147"/>
      <c r="AG757" s="281"/>
      <c r="AH757" s="111"/>
      <c r="AI757" s="111"/>
    </row>
    <row r="758" spans="2:35">
      <c r="B758" s="273"/>
      <c r="C758" s="110"/>
      <c r="E758" s="220"/>
      <c r="L758" s="277"/>
      <c r="N758" s="147"/>
      <c r="O758" s="148"/>
      <c r="S758" s="277"/>
      <c r="T758" s="68"/>
      <c r="V758" s="279"/>
      <c r="X758" s="277"/>
      <c r="Y758" s="453"/>
      <c r="Z758" s="280"/>
      <c r="AA758" s="277"/>
      <c r="AB758" s="277"/>
      <c r="AC758" s="277"/>
      <c r="AD758" s="110"/>
      <c r="AE758" s="147"/>
      <c r="AF758" s="147"/>
      <c r="AG758" s="281"/>
      <c r="AH758" s="111"/>
      <c r="AI758" s="111"/>
    </row>
    <row r="759" spans="2:35">
      <c r="B759" s="273"/>
      <c r="C759" s="110"/>
      <c r="E759" s="220"/>
      <c r="L759" s="277"/>
      <c r="N759" s="147"/>
      <c r="O759" s="148"/>
      <c r="S759" s="277"/>
      <c r="T759" s="68"/>
      <c r="V759" s="279"/>
      <c r="X759" s="277"/>
      <c r="Y759" s="453"/>
      <c r="Z759" s="280"/>
      <c r="AA759" s="277"/>
      <c r="AB759" s="277"/>
      <c r="AC759" s="277"/>
      <c r="AD759" s="110"/>
      <c r="AE759" s="147"/>
      <c r="AF759" s="147"/>
      <c r="AG759" s="281"/>
      <c r="AH759" s="111"/>
      <c r="AI759" s="111"/>
    </row>
    <row r="760" spans="2:35">
      <c r="B760" s="273"/>
      <c r="C760" s="110"/>
      <c r="E760" s="220"/>
      <c r="L760" s="277"/>
      <c r="N760" s="147"/>
      <c r="O760" s="148"/>
      <c r="S760" s="277"/>
      <c r="T760" s="68"/>
      <c r="V760" s="279"/>
      <c r="X760" s="277"/>
      <c r="Y760" s="453"/>
      <c r="Z760" s="280"/>
      <c r="AA760" s="277"/>
      <c r="AB760" s="277"/>
      <c r="AC760" s="277"/>
      <c r="AD760" s="110"/>
      <c r="AE760" s="147"/>
      <c r="AF760" s="147"/>
      <c r="AG760" s="281"/>
      <c r="AH760" s="111"/>
      <c r="AI760" s="111"/>
    </row>
    <row r="761" spans="2:35">
      <c r="B761" s="273"/>
      <c r="C761" s="110"/>
      <c r="E761" s="220"/>
      <c r="L761" s="277"/>
      <c r="N761" s="147"/>
      <c r="O761" s="148"/>
      <c r="S761" s="277"/>
      <c r="T761" s="68"/>
      <c r="V761" s="279"/>
      <c r="X761" s="277"/>
      <c r="Y761" s="453"/>
      <c r="Z761" s="280"/>
      <c r="AA761" s="277"/>
      <c r="AB761" s="277"/>
      <c r="AC761" s="277"/>
      <c r="AD761" s="110"/>
      <c r="AE761" s="147"/>
      <c r="AF761" s="147"/>
      <c r="AG761" s="281"/>
      <c r="AH761" s="111"/>
      <c r="AI761" s="111"/>
    </row>
    <row r="762" spans="2:35">
      <c r="B762" s="273"/>
      <c r="C762" s="110"/>
      <c r="E762" s="220"/>
      <c r="L762" s="277"/>
      <c r="N762" s="147"/>
      <c r="O762" s="148"/>
      <c r="S762" s="277"/>
      <c r="T762" s="68"/>
      <c r="V762" s="279"/>
      <c r="X762" s="277"/>
      <c r="Y762" s="453"/>
      <c r="Z762" s="280"/>
      <c r="AA762" s="277"/>
      <c r="AB762" s="277"/>
      <c r="AC762" s="277"/>
      <c r="AD762" s="110"/>
      <c r="AE762" s="147"/>
      <c r="AF762" s="147"/>
      <c r="AG762" s="281"/>
      <c r="AH762" s="111"/>
      <c r="AI762" s="111"/>
    </row>
    <row r="763" spans="2:35">
      <c r="B763" s="273"/>
      <c r="C763" s="110"/>
      <c r="E763" s="220"/>
      <c r="L763" s="277"/>
      <c r="N763" s="147"/>
      <c r="O763" s="148"/>
      <c r="S763" s="277"/>
      <c r="T763" s="68"/>
      <c r="V763" s="279"/>
      <c r="X763" s="277"/>
      <c r="Y763" s="453"/>
      <c r="Z763" s="280"/>
      <c r="AA763" s="277"/>
      <c r="AB763" s="277"/>
      <c r="AC763" s="277"/>
      <c r="AD763" s="110"/>
      <c r="AE763" s="147"/>
      <c r="AF763" s="147"/>
      <c r="AG763" s="281"/>
      <c r="AH763" s="111"/>
      <c r="AI763" s="111"/>
    </row>
    <row r="764" spans="2:35">
      <c r="B764" s="273"/>
      <c r="C764" s="110"/>
      <c r="E764" s="220"/>
      <c r="L764" s="277"/>
      <c r="N764" s="147"/>
      <c r="O764" s="148"/>
      <c r="S764" s="277"/>
      <c r="T764" s="68"/>
      <c r="V764" s="279"/>
      <c r="X764" s="277"/>
      <c r="Y764" s="453"/>
      <c r="Z764" s="280"/>
      <c r="AA764" s="277"/>
      <c r="AB764" s="277"/>
      <c r="AC764" s="277"/>
      <c r="AD764" s="110"/>
      <c r="AE764" s="147"/>
      <c r="AF764" s="147"/>
      <c r="AG764" s="281"/>
      <c r="AH764" s="111"/>
      <c r="AI764" s="111"/>
    </row>
    <row r="765" spans="2:35">
      <c r="B765" s="273"/>
      <c r="C765" s="110"/>
      <c r="E765" s="220"/>
      <c r="L765" s="277"/>
      <c r="N765" s="147"/>
      <c r="O765" s="148"/>
      <c r="S765" s="277"/>
      <c r="T765" s="68"/>
      <c r="V765" s="279"/>
      <c r="X765" s="277"/>
      <c r="Y765" s="453"/>
      <c r="Z765" s="280"/>
      <c r="AA765" s="277"/>
      <c r="AB765" s="277"/>
      <c r="AC765" s="277"/>
      <c r="AD765" s="110"/>
      <c r="AE765" s="147"/>
      <c r="AF765" s="147"/>
      <c r="AG765" s="281"/>
      <c r="AH765" s="111"/>
      <c r="AI765" s="111"/>
    </row>
    <row r="766" spans="2:35">
      <c r="B766" s="273"/>
      <c r="C766" s="110"/>
      <c r="E766" s="220"/>
      <c r="L766" s="277"/>
      <c r="N766" s="147"/>
      <c r="O766" s="148"/>
      <c r="S766" s="277"/>
      <c r="T766" s="68"/>
      <c r="V766" s="279"/>
      <c r="X766" s="277"/>
      <c r="Y766" s="453"/>
      <c r="Z766" s="280"/>
      <c r="AA766" s="277"/>
      <c r="AB766" s="277"/>
      <c r="AC766" s="277"/>
      <c r="AD766" s="110"/>
      <c r="AE766" s="147"/>
      <c r="AF766" s="147"/>
      <c r="AG766" s="281"/>
      <c r="AH766" s="111"/>
      <c r="AI766" s="111"/>
    </row>
    <row r="767" spans="2:35">
      <c r="B767" s="273"/>
      <c r="C767" s="110"/>
      <c r="E767" s="220"/>
      <c r="L767" s="277"/>
      <c r="N767" s="147"/>
      <c r="O767" s="148"/>
      <c r="S767" s="277"/>
      <c r="T767" s="68"/>
      <c r="V767" s="279"/>
      <c r="X767" s="277"/>
      <c r="Y767" s="453"/>
      <c r="Z767" s="280"/>
      <c r="AA767" s="277"/>
      <c r="AB767" s="277"/>
      <c r="AC767" s="277"/>
      <c r="AD767" s="110"/>
      <c r="AE767" s="147"/>
      <c r="AF767" s="147"/>
      <c r="AG767" s="281"/>
      <c r="AH767" s="111"/>
      <c r="AI767" s="111"/>
    </row>
    <row r="768" spans="2:35">
      <c r="B768" s="273"/>
      <c r="C768" s="110"/>
      <c r="E768" s="220"/>
      <c r="L768" s="277"/>
      <c r="N768" s="147"/>
      <c r="O768" s="148"/>
      <c r="S768" s="277"/>
      <c r="T768" s="68"/>
      <c r="V768" s="279"/>
      <c r="X768" s="277"/>
      <c r="Y768" s="453"/>
      <c r="Z768" s="280"/>
      <c r="AA768" s="277"/>
      <c r="AB768" s="277"/>
      <c r="AC768" s="277"/>
      <c r="AD768" s="110"/>
      <c r="AE768" s="147"/>
      <c r="AF768" s="147"/>
      <c r="AG768" s="281"/>
      <c r="AH768" s="111"/>
      <c r="AI768" s="111"/>
    </row>
    <row r="769" spans="2:35">
      <c r="B769" s="273"/>
      <c r="C769" s="110"/>
      <c r="E769" s="220"/>
      <c r="L769" s="277"/>
      <c r="N769" s="147"/>
      <c r="O769" s="148"/>
      <c r="S769" s="277"/>
      <c r="T769" s="68"/>
      <c r="V769" s="279"/>
      <c r="X769" s="277"/>
      <c r="Y769" s="453"/>
      <c r="Z769" s="280"/>
      <c r="AA769" s="277"/>
      <c r="AB769" s="277"/>
      <c r="AC769" s="277"/>
      <c r="AD769" s="110"/>
      <c r="AE769" s="147"/>
      <c r="AF769" s="147"/>
      <c r="AG769" s="281"/>
      <c r="AH769" s="111"/>
      <c r="AI769" s="111"/>
    </row>
    <row r="770" spans="2:35">
      <c r="B770" s="273"/>
      <c r="C770" s="110"/>
      <c r="E770" s="220"/>
      <c r="L770" s="277"/>
      <c r="N770" s="147"/>
      <c r="O770" s="148"/>
      <c r="S770" s="277"/>
      <c r="T770" s="68"/>
      <c r="V770" s="279"/>
      <c r="X770" s="277"/>
      <c r="Y770" s="453"/>
      <c r="Z770" s="280"/>
      <c r="AA770" s="277"/>
      <c r="AB770" s="277"/>
      <c r="AC770" s="277"/>
      <c r="AD770" s="110"/>
      <c r="AE770" s="147"/>
      <c r="AF770" s="147"/>
      <c r="AG770" s="281"/>
      <c r="AH770" s="111"/>
      <c r="AI770" s="111"/>
    </row>
    <row r="771" spans="2:35">
      <c r="B771" s="273"/>
      <c r="C771" s="110"/>
      <c r="E771" s="220"/>
      <c r="L771" s="277"/>
      <c r="N771" s="147"/>
      <c r="O771" s="148"/>
      <c r="S771" s="277"/>
      <c r="T771" s="68"/>
      <c r="V771" s="279"/>
      <c r="X771" s="277"/>
      <c r="Y771" s="453"/>
      <c r="Z771" s="280"/>
      <c r="AA771" s="277"/>
      <c r="AB771" s="277"/>
      <c r="AC771" s="277"/>
      <c r="AD771" s="110"/>
      <c r="AE771" s="147"/>
      <c r="AF771" s="147"/>
      <c r="AG771" s="281"/>
      <c r="AH771" s="111"/>
      <c r="AI771" s="111"/>
    </row>
    <row r="772" spans="2:35">
      <c r="B772" s="273"/>
      <c r="C772" s="110"/>
      <c r="E772" s="220"/>
      <c r="L772" s="277"/>
      <c r="N772" s="147"/>
      <c r="O772" s="148"/>
      <c r="S772" s="277"/>
      <c r="T772" s="68"/>
      <c r="V772" s="279"/>
      <c r="X772" s="277"/>
      <c r="Y772" s="453"/>
      <c r="Z772" s="280"/>
      <c r="AA772" s="277"/>
      <c r="AB772" s="277"/>
      <c r="AC772" s="277"/>
      <c r="AD772" s="110"/>
      <c r="AE772" s="147"/>
      <c r="AF772" s="147"/>
      <c r="AG772" s="281"/>
      <c r="AH772" s="111"/>
      <c r="AI772" s="111"/>
    </row>
    <row r="773" spans="2:35">
      <c r="B773" s="273"/>
      <c r="C773" s="110"/>
      <c r="E773" s="220"/>
      <c r="L773" s="277"/>
      <c r="N773" s="147"/>
      <c r="O773" s="148"/>
      <c r="S773" s="277"/>
      <c r="T773" s="68"/>
      <c r="V773" s="279"/>
      <c r="X773" s="277"/>
      <c r="Y773" s="453"/>
      <c r="Z773" s="280"/>
      <c r="AA773" s="277"/>
      <c r="AB773" s="277"/>
      <c r="AC773" s="277"/>
      <c r="AD773" s="110"/>
      <c r="AE773" s="147"/>
      <c r="AF773" s="147"/>
      <c r="AG773" s="281"/>
      <c r="AH773" s="111"/>
      <c r="AI773" s="111"/>
    </row>
    <row r="774" spans="2:35">
      <c r="B774" s="273"/>
      <c r="C774" s="110"/>
      <c r="E774" s="220"/>
      <c r="L774" s="277"/>
      <c r="N774" s="147"/>
      <c r="O774" s="148"/>
      <c r="S774" s="277"/>
      <c r="T774" s="68"/>
      <c r="V774" s="279"/>
      <c r="X774" s="277"/>
      <c r="Y774" s="453"/>
      <c r="Z774" s="280"/>
      <c r="AA774" s="277"/>
      <c r="AB774" s="277"/>
      <c r="AC774" s="277"/>
      <c r="AD774" s="110"/>
      <c r="AE774" s="147"/>
      <c r="AF774" s="147"/>
      <c r="AG774" s="281"/>
      <c r="AH774" s="111"/>
      <c r="AI774" s="111"/>
    </row>
    <row r="775" spans="2:35">
      <c r="B775" s="273"/>
      <c r="C775" s="110"/>
      <c r="E775" s="220"/>
      <c r="L775" s="277"/>
      <c r="N775" s="147"/>
      <c r="O775" s="148"/>
      <c r="S775" s="277"/>
      <c r="T775" s="68"/>
      <c r="V775" s="279"/>
      <c r="X775" s="277"/>
      <c r="Y775" s="453"/>
      <c r="Z775" s="280"/>
      <c r="AA775" s="277"/>
      <c r="AB775" s="277"/>
      <c r="AC775" s="277"/>
      <c r="AD775" s="110"/>
      <c r="AE775" s="147"/>
      <c r="AF775" s="147"/>
      <c r="AG775" s="281"/>
      <c r="AH775" s="111"/>
      <c r="AI775" s="111"/>
    </row>
    <row r="776" spans="2:35">
      <c r="B776" s="273"/>
      <c r="C776" s="110"/>
      <c r="E776" s="220"/>
      <c r="L776" s="277"/>
      <c r="N776" s="147"/>
      <c r="O776" s="148"/>
      <c r="S776" s="277"/>
      <c r="T776" s="68"/>
      <c r="V776" s="279"/>
      <c r="X776" s="277"/>
      <c r="Y776" s="453"/>
      <c r="Z776" s="280"/>
      <c r="AA776" s="277"/>
      <c r="AB776" s="277"/>
      <c r="AC776" s="277"/>
      <c r="AD776" s="110"/>
      <c r="AE776" s="147"/>
      <c r="AF776" s="147"/>
      <c r="AG776" s="281"/>
      <c r="AH776" s="111"/>
      <c r="AI776" s="111"/>
    </row>
    <row r="777" spans="2:35">
      <c r="B777" s="273"/>
      <c r="C777" s="110"/>
      <c r="E777" s="220"/>
      <c r="L777" s="277"/>
      <c r="N777" s="147"/>
      <c r="O777" s="148"/>
      <c r="S777" s="277"/>
      <c r="T777" s="68"/>
      <c r="V777" s="279"/>
      <c r="X777" s="277"/>
      <c r="Y777" s="453"/>
      <c r="Z777" s="280"/>
      <c r="AA777" s="277"/>
      <c r="AB777" s="277"/>
      <c r="AC777" s="277"/>
      <c r="AD777" s="110"/>
      <c r="AE777" s="147"/>
      <c r="AF777" s="147"/>
      <c r="AG777" s="281"/>
      <c r="AH777" s="111"/>
      <c r="AI777" s="111"/>
    </row>
    <row r="778" spans="2:35">
      <c r="B778" s="273"/>
      <c r="C778" s="110"/>
      <c r="E778" s="220"/>
      <c r="L778" s="277"/>
      <c r="N778" s="147"/>
      <c r="O778" s="148"/>
      <c r="S778" s="277"/>
      <c r="T778" s="68"/>
      <c r="V778" s="279"/>
      <c r="X778" s="277"/>
      <c r="Y778" s="453"/>
      <c r="Z778" s="280"/>
      <c r="AA778" s="277"/>
      <c r="AB778" s="277"/>
      <c r="AC778" s="277"/>
      <c r="AD778" s="110"/>
      <c r="AE778" s="147"/>
      <c r="AF778" s="147"/>
      <c r="AG778" s="281"/>
      <c r="AH778" s="111"/>
      <c r="AI778" s="111"/>
    </row>
    <row r="779" spans="2:35">
      <c r="B779" s="273"/>
      <c r="C779" s="110"/>
      <c r="E779" s="220"/>
      <c r="L779" s="277"/>
      <c r="N779" s="147"/>
      <c r="O779" s="148"/>
      <c r="S779" s="277"/>
      <c r="T779" s="68"/>
      <c r="V779" s="279"/>
      <c r="X779" s="277"/>
      <c r="Y779" s="453"/>
      <c r="Z779" s="280"/>
      <c r="AA779" s="277"/>
      <c r="AB779" s="277"/>
      <c r="AC779" s="277"/>
      <c r="AD779" s="110"/>
      <c r="AE779" s="147"/>
      <c r="AF779" s="147"/>
      <c r="AG779" s="281"/>
      <c r="AH779" s="111"/>
      <c r="AI779" s="111"/>
    </row>
    <row r="780" spans="2:35">
      <c r="B780" s="273"/>
      <c r="C780" s="110"/>
      <c r="E780" s="220"/>
      <c r="L780" s="277"/>
      <c r="N780" s="147"/>
      <c r="O780" s="148"/>
      <c r="S780" s="277"/>
      <c r="T780" s="68"/>
      <c r="V780" s="279"/>
      <c r="X780" s="277"/>
      <c r="Y780" s="453"/>
      <c r="Z780" s="280"/>
      <c r="AA780" s="277"/>
      <c r="AB780" s="277"/>
      <c r="AC780" s="277"/>
      <c r="AD780" s="110"/>
      <c r="AE780" s="147"/>
      <c r="AF780" s="147"/>
      <c r="AG780" s="281"/>
      <c r="AH780" s="111"/>
      <c r="AI780" s="111"/>
    </row>
    <row r="781" spans="2:35">
      <c r="B781" s="273"/>
      <c r="C781" s="110"/>
      <c r="E781" s="220"/>
      <c r="L781" s="277"/>
      <c r="N781" s="147"/>
      <c r="O781" s="148"/>
      <c r="S781" s="277"/>
      <c r="T781" s="68"/>
      <c r="V781" s="279"/>
      <c r="X781" s="277"/>
      <c r="Y781" s="453"/>
      <c r="Z781" s="280"/>
      <c r="AA781" s="277"/>
      <c r="AB781" s="277"/>
      <c r="AC781" s="277"/>
      <c r="AD781" s="110"/>
      <c r="AE781" s="147"/>
      <c r="AF781" s="147"/>
      <c r="AG781" s="281"/>
      <c r="AH781" s="111"/>
      <c r="AI781" s="111"/>
    </row>
    <row r="782" spans="2:35">
      <c r="B782" s="273"/>
      <c r="C782" s="110"/>
      <c r="E782" s="220"/>
      <c r="L782" s="277"/>
      <c r="N782" s="147"/>
      <c r="O782" s="148"/>
      <c r="S782" s="277"/>
      <c r="T782" s="68"/>
      <c r="V782" s="279"/>
      <c r="X782" s="277"/>
      <c r="Y782" s="453"/>
      <c r="Z782" s="280"/>
      <c r="AA782" s="277"/>
      <c r="AB782" s="277"/>
      <c r="AC782" s="277"/>
      <c r="AD782" s="110"/>
      <c r="AE782" s="147"/>
      <c r="AF782" s="147"/>
      <c r="AG782" s="281"/>
      <c r="AH782" s="111"/>
      <c r="AI782" s="111"/>
    </row>
    <row r="783" spans="2:35">
      <c r="B783" s="273"/>
      <c r="C783" s="110"/>
      <c r="E783" s="220"/>
      <c r="L783" s="277"/>
      <c r="N783" s="147"/>
      <c r="O783" s="148"/>
      <c r="S783" s="277"/>
      <c r="T783" s="68"/>
      <c r="V783" s="279"/>
      <c r="X783" s="277"/>
      <c r="Y783" s="453"/>
      <c r="Z783" s="280"/>
      <c r="AA783" s="277"/>
      <c r="AB783" s="277"/>
      <c r="AC783" s="277"/>
      <c r="AD783" s="110"/>
      <c r="AE783" s="147"/>
      <c r="AF783" s="147"/>
      <c r="AG783" s="281"/>
      <c r="AH783" s="111"/>
      <c r="AI783" s="111"/>
    </row>
    <row r="784" spans="2:35">
      <c r="B784" s="273"/>
      <c r="C784" s="110"/>
      <c r="E784" s="220"/>
      <c r="L784" s="277"/>
      <c r="N784" s="147"/>
      <c r="O784" s="148"/>
      <c r="S784" s="277"/>
      <c r="T784" s="68"/>
      <c r="V784" s="279"/>
      <c r="X784" s="277"/>
      <c r="Y784" s="453"/>
      <c r="Z784" s="280"/>
      <c r="AA784" s="277"/>
      <c r="AB784" s="277"/>
      <c r="AC784" s="277"/>
      <c r="AD784" s="110"/>
      <c r="AE784" s="147"/>
      <c r="AF784" s="147"/>
      <c r="AG784" s="281"/>
      <c r="AH784" s="111"/>
      <c r="AI784" s="111"/>
    </row>
    <row r="785" spans="2:35">
      <c r="B785" s="273"/>
      <c r="C785" s="110"/>
      <c r="E785" s="220"/>
      <c r="L785" s="277"/>
      <c r="N785" s="147"/>
      <c r="O785" s="148"/>
      <c r="S785" s="277"/>
      <c r="T785" s="68"/>
      <c r="V785" s="279"/>
      <c r="X785" s="277"/>
      <c r="Y785" s="453"/>
      <c r="Z785" s="280"/>
      <c r="AA785" s="277"/>
      <c r="AB785" s="277"/>
      <c r="AC785" s="277"/>
      <c r="AD785" s="110"/>
      <c r="AE785" s="147"/>
      <c r="AF785" s="147"/>
      <c r="AG785" s="281"/>
      <c r="AH785" s="111"/>
      <c r="AI785" s="111"/>
    </row>
    <row r="786" spans="2:35">
      <c r="B786" s="273"/>
      <c r="C786" s="110"/>
      <c r="E786" s="220"/>
      <c r="L786" s="277"/>
      <c r="N786" s="147"/>
      <c r="O786" s="148"/>
      <c r="S786" s="277"/>
      <c r="T786" s="68"/>
      <c r="V786" s="279"/>
      <c r="X786" s="277"/>
      <c r="Y786" s="453"/>
      <c r="Z786" s="280"/>
      <c r="AA786" s="277"/>
      <c r="AB786" s="277"/>
      <c r="AC786" s="277"/>
      <c r="AD786" s="110"/>
      <c r="AE786" s="147"/>
      <c r="AF786" s="147"/>
      <c r="AG786" s="281"/>
      <c r="AH786" s="111"/>
      <c r="AI786" s="111"/>
    </row>
    <row r="787" spans="2:35">
      <c r="B787" s="273"/>
      <c r="C787" s="110"/>
      <c r="E787" s="220"/>
      <c r="L787" s="277"/>
      <c r="N787" s="147"/>
      <c r="O787" s="148"/>
      <c r="S787" s="277"/>
      <c r="T787" s="68"/>
      <c r="V787" s="279"/>
      <c r="X787" s="277"/>
      <c r="Y787" s="453"/>
      <c r="Z787" s="280"/>
      <c r="AA787" s="277"/>
      <c r="AB787" s="277"/>
      <c r="AC787" s="277"/>
      <c r="AD787" s="110"/>
      <c r="AE787" s="147"/>
      <c r="AF787" s="147"/>
      <c r="AG787" s="281"/>
      <c r="AH787" s="111"/>
      <c r="AI787" s="111"/>
    </row>
    <row r="788" spans="2:35">
      <c r="B788" s="273"/>
      <c r="C788" s="110"/>
      <c r="E788" s="220"/>
      <c r="L788" s="277"/>
      <c r="N788" s="147"/>
      <c r="O788" s="148"/>
      <c r="S788" s="277"/>
      <c r="T788" s="68"/>
      <c r="V788" s="279"/>
      <c r="X788" s="277"/>
      <c r="Y788" s="453"/>
      <c r="Z788" s="280"/>
      <c r="AA788" s="277"/>
      <c r="AB788" s="277"/>
      <c r="AC788" s="277"/>
      <c r="AD788" s="110"/>
      <c r="AE788" s="147"/>
      <c r="AF788" s="147"/>
      <c r="AG788" s="281"/>
      <c r="AH788" s="111"/>
      <c r="AI788" s="111"/>
    </row>
    <row r="789" spans="2:35">
      <c r="B789" s="273"/>
      <c r="C789" s="110"/>
      <c r="E789" s="220"/>
      <c r="L789" s="277"/>
      <c r="N789" s="147"/>
      <c r="O789" s="148"/>
      <c r="S789" s="277"/>
      <c r="T789" s="68"/>
      <c r="V789" s="279"/>
      <c r="X789" s="277"/>
      <c r="Y789" s="453"/>
      <c r="Z789" s="280"/>
      <c r="AA789" s="277"/>
      <c r="AB789" s="277"/>
      <c r="AC789" s="277"/>
      <c r="AD789" s="110"/>
      <c r="AE789" s="147"/>
      <c r="AF789" s="147"/>
      <c r="AG789" s="281"/>
      <c r="AH789" s="111"/>
      <c r="AI789" s="111"/>
    </row>
    <row r="790" spans="2:35">
      <c r="B790" s="273"/>
      <c r="C790" s="110"/>
      <c r="E790" s="220"/>
      <c r="L790" s="277"/>
      <c r="N790" s="147"/>
      <c r="O790" s="148"/>
      <c r="S790" s="277"/>
      <c r="T790" s="68"/>
      <c r="V790" s="279"/>
      <c r="X790" s="277"/>
      <c r="Y790" s="453"/>
      <c r="Z790" s="280"/>
      <c r="AA790" s="277"/>
      <c r="AB790" s="277"/>
      <c r="AC790" s="277"/>
      <c r="AD790" s="110"/>
      <c r="AE790" s="147"/>
      <c r="AF790" s="147"/>
      <c r="AG790" s="281"/>
      <c r="AH790" s="111"/>
      <c r="AI790" s="111"/>
    </row>
    <row r="791" spans="2:35">
      <c r="B791" s="273"/>
      <c r="C791" s="110"/>
      <c r="E791" s="220"/>
      <c r="L791" s="277"/>
      <c r="N791" s="147"/>
      <c r="O791" s="148"/>
      <c r="S791" s="277"/>
      <c r="T791" s="68"/>
      <c r="V791" s="279"/>
      <c r="X791" s="277"/>
      <c r="Y791" s="453"/>
      <c r="Z791" s="280"/>
      <c r="AA791" s="277"/>
      <c r="AB791" s="277"/>
      <c r="AC791" s="277"/>
      <c r="AD791" s="110"/>
      <c r="AE791" s="147"/>
      <c r="AF791" s="147"/>
      <c r="AG791" s="281"/>
      <c r="AH791" s="111"/>
      <c r="AI791" s="111"/>
    </row>
    <row r="792" spans="2:35">
      <c r="B792" s="273"/>
      <c r="C792" s="110"/>
      <c r="E792" s="220"/>
      <c r="L792" s="277"/>
      <c r="N792" s="147"/>
      <c r="O792" s="148"/>
      <c r="S792" s="277"/>
      <c r="T792" s="68"/>
      <c r="V792" s="279"/>
      <c r="X792" s="277"/>
      <c r="Y792" s="453"/>
      <c r="Z792" s="280"/>
      <c r="AA792" s="277"/>
      <c r="AB792" s="277"/>
      <c r="AC792" s="277"/>
      <c r="AD792" s="110"/>
      <c r="AE792" s="147"/>
      <c r="AF792" s="147"/>
      <c r="AG792" s="281"/>
      <c r="AH792" s="111"/>
      <c r="AI792" s="111"/>
    </row>
    <row r="793" spans="2:35">
      <c r="B793" s="273"/>
      <c r="C793" s="110"/>
      <c r="E793" s="220"/>
      <c r="L793" s="277"/>
      <c r="N793" s="147"/>
      <c r="O793" s="148"/>
      <c r="S793" s="277"/>
      <c r="T793" s="68"/>
      <c r="V793" s="279"/>
      <c r="X793" s="277"/>
      <c r="Y793" s="453"/>
      <c r="Z793" s="280"/>
      <c r="AA793" s="277"/>
      <c r="AB793" s="277"/>
      <c r="AC793" s="277"/>
      <c r="AD793" s="110"/>
      <c r="AE793" s="147"/>
      <c r="AF793" s="147"/>
      <c r="AG793" s="281"/>
      <c r="AH793" s="111"/>
      <c r="AI793" s="111"/>
    </row>
    <row r="794" spans="2:35">
      <c r="B794" s="273"/>
      <c r="C794" s="110"/>
      <c r="E794" s="220"/>
      <c r="L794" s="277"/>
      <c r="N794" s="147"/>
      <c r="O794" s="148"/>
      <c r="S794" s="277"/>
      <c r="T794" s="68"/>
      <c r="V794" s="279"/>
      <c r="X794" s="277"/>
      <c r="Y794" s="453"/>
      <c r="Z794" s="280"/>
      <c r="AA794" s="277"/>
      <c r="AB794" s="277"/>
      <c r="AC794" s="277"/>
      <c r="AD794" s="110"/>
      <c r="AE794" s="147"/>
      <c r="AF794" s="147"/>
      <c r="AG794" s="281"/>
      <c r="AH794" s="111"/>
      <c r="AI794" s="111"/>
    </row>
    <row r="795" spans="2:35">
      <c r="B795" s="273"/>
      <c r="C795" s="110"/>
      <c r="E795" s="220"/>
      <c r="L795" s="277"/>
      <c r="N795" s="147"/>
      <c r="O795" s="148"/>
      <c r="S795" s="277"/>
      <c r="T795" s="68"/>
      <c r="V795" s="279"/>
      <c r="X795" s="277"/>
      <c r="Y795" s="453"/>
      <c r="Z795" s="280"/>
      <c r="AA795" s="277"/>
      <c r="AB795" s="277"/>
      <c r="AC795" s="277"/>
      <c r="AD795" s="110"/>
      <c r="AE795" s="147"/>
      <c r="AF795" s="147"/>
      <c r="AG795" s="281"/>
      <c r="AH795" s="111"/>
      <c r="AI795" s="111"/>
    </row>
    <row r="796" spans="2:35">
      <c r="B796" s="273"/>
      <c r="C796" s="110"/>
      <c r="E796" s="220"/>
      <c r="L796" s="277"/>
      <c r="N796" s="147"/>
      <c r="O796" s="148"/>
      <c r="S796" s="277"/>
      <c r="T796" s="68"/>
      <c r="V796" s="279"/>
      <c r="X796" s="277"/>
      <c r="Y796" s="453"/>
      <c r="Z796" s="280"/>
      <c r="AA796" s="277"/>
      <c r="AB796" s="277"/>
      <c r="AC796" s="277"/>
      <c r="AD796" s="110"/>
      <c r="AE796" s="147"/>
      <c r="AF796" s="147"/>
      <c r="AG796" s="281"/>
      <c r="AH796" s="111"/>
      <c r="AI796" s="111"/>
    </row>
    <row r="797" spans="2:35">
      <c r="B797" s="273"/>
      <c r="C797" s="110"/>
      <c r="E797" s="220"/>
      <c r="L797" s="277"/>
      <c r="N797" s="147"/>
      <c r="O797" s="148"/>
      <c r="S797" s="277"/>
      <c r="T797" s="68"/>
      <c r="V797" s="279"/>
      <c r="X797" s="277"/>
      <c r="Y797" s="453"/>
      <c r="Z797" s="280"/>
      <c r="AA797" s="277"/>
      <c r="AB797" s="277"/>
      <c r="AC797" s="277"/>
      <c r="AD797" s="110"/>
      <c r="AE797" s="147"/>
      <c r="AF797" s="147"/>
      <c r="AG797" s="281"/>
      <c r="AH797" s="111"/>
      <c r="AI797" s="111"/>
    </row>
    <row r="798" spans="2:35">
      <c r="B798" s="273"/>
      <c r="C798" s="110"/>
      <c r="E798" s="220"/>
      <c r="L798" s="277"/>
      <c r="N798" s="147"/>
      <c r="O798" s="148"/>
      <c r="S798" s="277"/>
      <c r="T798" s="68"/>
      <c r="V798" s="279"/>
      <c r="X798" s="277"/>
      <c r="Y798" s="453"/>
      <c r="Z798" s="280"/>
      <c r="AA798" s="277"/>
      <c r="AB798" s="277"/>
      <c r="AC798" s="277"/>
      <c r="AD798" s="110"/>
      <c r="AE798" s="147"/>
      <c r="AF798" s="147"/>
      <c r="AG798" s="281"/>
      <c r="AH798" s="111"/>
      <c r="AI798" s="111"/>
    </row>
    <row r="799" spans="2:35">
      <c r="B799" s="273"/>
      <c r="C799" s="110"/>
      <c r="E799" s="220"/>
      <c r="L799" s="277"/>
      <c r="N799" s="147"/>
      <c r="O799" s="148"/>
      <c r="S799" s="277"/>
      <c r="T799" s="68"/>
      <c r="V799" s="279"/>
      <c r="X799" s="277"/>
      <c r="Y799" s="453"/>
      <c r="Z799" s="280"/>
      <c r="AA799" s="277"/>
      <c r="AB799" s="277"/>
      <c r="AC799" s="277"/>
      <c r="AD799" s="110"/>
      <c r="AE799" s="147"/>
      <c r="AF799" s="147"/>
      <c r="AG799" s="281"/>
      <c r="AH799" s="111"/>
      <c r="AI799" s="111"/>
    </row>
    <row r="800" spans="2:35">
      <c r="B800" s="273"/>
      <c r="C800" s="110"/>
      <c r="E800" s="220"/>
      <c r="L800" s="277"/>
      <c r="N800" s="147"/>
      <c r="O800" s="148"/>
      <c r="S800" s="277"/>
      <c r="T800" s="68"/>
      <c r="V800" s="279"/>
      <c r="X800" s="277"/>
      <c r="Y800" s="453"/>
      <c r="Z800" s="280"/>
      <c r="AA800" s="277"/>
      <c r="AB800" s="277"/>
      <c r="AC800" s="277"/>
      <c r="AD800" s="110"/>
      <c r="AE800" s="147"/>
      <c r="AF800" s="147"/>
      <c r="AG800" s="281"/>
      <c r="AH800" s="111"/>
      <c r="AI800" s="111"/>
    </row>
    <row r="801" spans="2:35">
      <c r="B801" s="273"/>
      <c r="C801" s="110"/>
      <c r="E801" s="220"/>
      <c r="L801" s="277"/>
      <c r="N801" s="147"/>
      <c r="O801" s="148"/>
      <c r="S801" s="277"/>
      <c r="T801" s="68"/>
      <c r="V801" s="279"/>
      <c r="X801" s="277"/>
      <c r="Y801" s="453"/>
      <c r="Z801" s="280"/>
      <c r="AA801" s="277"/>
      <c r="AB801" s="277"/>
      <c r="AC801" s="277"/>
      <c r="AD801" s="110"/>
      <c r="AE801" s="147"/>
      <c r="AF801" s="147"/>
      <c r="AG801" s="281"/>
      <c r="AH801" s="111"/>
      <c r="AI801" s="111"/>
    </row>
    <row r="802" spans="2:35">
      <c r="B802" s="273"/>
      <c r="C802" s="110"/>
      <c r="E802" s="220"/>
      <c r="L802" s="277"/>
      <c r="N802" s="147"/>
      <c r="O802" s="148"/>
      <c r="S802" s="277"/>
      <c r="T802" s="68"/>
      <c r="V802" s="279"/>
      <c r="X802" s="277"/>
      <c r="Y802" s="453"/>
      <c r="Z802" s="280"/>
      <c r="AA802" s="277"/>
      <c r="AB802" s="277"/>
      <c r="AC802" s="277"/>
      <c r="AD802" s="110"/>
      <c r="AE802" s="147"/>
      <c r="AF802" s="147"/>
      <c r="AG802" s="281"/>
      <c r="AH802" s="111"/>
      <c r="AI802" s="111"/>
    </row>
    <row r="803" spans="2:35">
      <c r="B803" s="273"/>
      <c r="C803" s="110"/>
      <c r="E803" s="220"/>
      <c r="L803" s="277"/>
      <c r="N803" s="147"/>
      <c r="O803" s="148"/>
      <c r="S803" s="277"/>
      <c r="T803" s="68"/>
      <c r="V803" s="279"/>
      <c r="X803" s="277"/>
      <c r="Y803" s="453"/>
      <c r="Z803" s="280"/>
      <c r="AA803" s="277"/>
      <c r="AB803" s="277"/>
      <c r="AC803" s="277"/>
      <c r="AD803" s="110"/>
      <c r="AE803" s="147"/>
      <c r="AF803" s="147"/>
      <c r="AG803" s="281"/>
      <c r="AH803" s="111"/>
      <c r="AI803" s="111"/>
    </row>
    <row r="804" spans="2:35">
      <c r="B804" s="273"/>
      <c r="C804" s="110"/>
      <c r="E804" s="220"/>
      <c r="L804" s="277"/>
      <c r="N804" s="147"/>
      <c r="O804" s="148"/>
      <c r="S804" s="277"/>
      <c r="T804" s="68"/>
      <c r="V804" s="279"/>
      <c r="X804" s="277"/>
      <c r="Y804" s="453"/>
      <c r="Z804" s="280"/>
      <c r="AA804" s="277"/>
      <c r="AB804" s="277"/>
      <c r="AC804" s="277"/>
      <c r="AD804" s="110"/>
      <c r="AE804" s="147"/>
      <c r="AF804" s="147"/>
      <c r="AG804" s="281"/>
      <c r="AH804" s="111"/>
      <c r="AI804" s="111"/>
    </row>
    <row r="805" spans="2:35">
      <c r="B805" s="273"/>
      <c r="C805" s="110"/>
      <c r="E805" s="220"/>
      <c r="L805" s="277"/>
      <c r="N805" s="147"/>
      <c r="O805" s="148"/>
      <c r="S805" s="277"/>
      <c r="T805" s="68"/>
      <c r="V805" s="279"/>
      <c r="X805" s="277"/>
      <c r="Y805" s="453"/>
      <c r="Z805" s="280"/>
      <c r="AA805" s="277"/>
      <c r="AB805" s="277"/>
      <c r="AC805" s="277"/>
      <c r="AD805" s="110"/>
      <c r="AE805" s="147"/>
      <c r="AF805" s="147"/>
      <c r="AG805" s="281"/>
      <c r="AH805" s="111"/>
      <c r="AI805" s="111"/>
    </row>
    <row r="806" spans="2:35">
      <c r="B806" s="273"/>
      <c r="C806" s="110"/>
      <c r="E806" s="220"/>
      <c r="L806" s="277"/>
      <c r="N806" s="147"/>
      <c r="O806" s="148"/>
      <c r="S806" s="277"/>
      <c r="T806" s="68"/>
      <c r="V806" s="279"/>
      <c r="X806" s="277"/>
      <c r="Y806" s="453"/>
      <c r="Z806" s="280"/>
      <c r="AA806" s="277"/>
      <c r="AB806" s="277"/>
      <c r="AC806" s="277"/>
      <c r="AD806" s="110"/>
      <c r="AE806" s="147"/>
      <c r="AF806" s="147"/>
      <c r="AG806" s="281"/>
      <c r="AH806" s="111"/>
      <c r="AI806" s="111"/>
    </row>
    <row r="807" spans="2:35">
      <c r="B807" s="273"/>
      <c r="C807" s="110"/>
      <c r="E807" s="220"/>
      <c r="L807" s="277"/>
      <c r="N807" s="147"/>
      <c r="O807" s="148"/>
      <c r="S807" s="277"/>
      <c r="T807" s="68"/>
      <c r="V807" s="279"/>
      <c r="X807" s="277"/>
      <c r="Y807" s="453"/>
      <c r="Z807" s="280"/>
      <c r="AA807" s="277"/>
      <c r="AB807" s="277"/>
      <c r="AC807" s="277"/>
      <c r="AD807" s="110"/>
      <c r="AE807" s="147"/>
      <c r="AF807" s="147"/>
      <c r="AG807" s="281"/>
      <c r="AH807" s="111"/>
      <c r="AI807" s="111"/>
    </row>
    <row r="808" spans="2:35">
      <c r="B808" s="273"/>
      <c r="C808" s="110"/>
      <c r="E808" s="220"/>
      <c r="L808" s="277"/>
      <c r="N808" s="147"/>
      <c r="O808" s="148"/>
      <c r="S808" s="277"/>
      <c r="T808" s="68"/>
      <c r="V808" s="279"/>
      <c r="X808" s="277"/>
      <c r="Y808" s="453"/>
      <c r="Z808" s="280"/>
      <c r="AA808" s="277"/>
      <c r="AB808" s="277"/>
      <c r="AC808" s="277"/>
      <c r="AD808" s="110"/>
      <c r="AE808" s="147"/>
      <c r="AF808" s="147"/>
      <c r="AG808" s="281"/>
      <c r="AH808" s="111"/>
      <c r="AI808" s="111"/>
    </row>
    <row r="809" spans="2:35">
      <c r="B809" s="273"/>
      <c r="C809" s="110"/>
      <c r="E809" s="220"/>
      <c r="L809" s="277"/>
      <c r="N809" s="147"/>
      <c r="O809" s="148"/>
      <c r="S809" s="277"/>
      <c r="T809" s="68"/>
      <c r="V809" s="279"/>
      <c r="X809" s="277"/>
      <c r="Y809" s="453"/>
      <c r="Z809" s="280"/>
      <c r="AA809" s="277"/>
      <c r="AB809" s="277"/>
      <c r="AC809" s="277"/>
      <c r="AD809" s="110"/>
      <c r="AE809" s="147"/>
      <c r="AF809" s="147"/>
      <c r="AG809" s="281"/>
      <c r="AH809" s="111"/>
      <c r="AI809" s="111"/>
    </row>
    <row r="810" spans="2:35">
      <c r="B810" s="273"/>
      <c r="C810" s="110"/>
      <c r="E810" s="220"/>
      <c r="L810" s="277"/>
      <c r="N810" s="147"/>
      <c r="O810" s="148"/>
      <c r="S810" s="277"/>
      <c r="T810" s="68"/>
      <c r="V810" s="279"/>
      <c r="X810" s="277"/>
      <c r="Y810" s="453"/>
      <c r="Z810" s="280"/>
      <c r="AA810" s="277"/>
      <c r="AB810" s="277"/>
      <c r="AC810" s="277"/>
      <c r="AD810" s="110"/>
      <c r="AE810" s="147"/>
      <c r="AF810" s="147"/>
      <c r="AG810" s="281"/>
      <c r="AH810" s="111"/>
      <c r="AI810" s="111"/>
    </row>
    <row r="811" spans="2:35">
      <c r="B811" s="273"/>
      <c r="C811" s="110"/>
      <c r="E811" s="220"/>
      <c r="L811" s="277"/>
      <c r="N811" s="147"/>
      <c r="O811" s="148"/>
      <c r="S811" s="277"/>
      <c r="T811" s="68"/>
      <c r="V811" s="279"/>
      <c r="X811" s="277"/>
      <c r="Y811" s="453"/>
      <c r="Z811" s="280"/>
      <c r="AA811" s="277"/>
      <c r="AB811" s="277"/>
      <c r="AC811" s="277"/>
      <c r="AD811" s="110"/>
      <c r="AE811" s="147"/>
      <c r="AF811" s="147"/>
      <c r="AG811" s="281"/>
      <c r="AH811" s="111"/>
      <c r="AI811" s="111"/>
    </row>
    <row r="812" spans="2:35">
      <c r="B812" s="273"/>
      <c r="C812" s="110"/>
      <c r="E812" s="220"/>
      <c r="L812" s="277"/>
      <c r="N812" s="147"/>
      <c r="O812" s="148"/>
      <c r="S812" s="277"/>
      <c r="T812" s="68"/>
      <c r="V812" s="279"/>
      <c r="X812" s="277"/>
      <c r="Y812" s="453"/>
      <c r="Z812" s="280"/>
      <c r="AA812" s="277"/>
      <c r="AB812" s="277"/>
      <c r="AC812" s="277"/>
      <c r="AD812" s="110"/>
      <c r="AE812" s="147"/>
      <c r="AF812" s="147"/>
      <c r="AG812" s="281"/>
      <c r="AH812" s="111"/>
      <c r="AI812" s="111"/>
    </row>
    <row r="813" spans="2:35">
      <c r="B813" s="273"/>
      <c r="C813" s="110"/>
      <c r="E813" s="220"/>
      <c r="L813" s="277"/>
      <c r="N813" s="147"/>
      <c r="O813" s="148"/>
      <c r="S813" s="277"/>
      <c r="T813" s="68"/>
      <c r="V813" s="279"/>
      <c r="X813" s="277"/>
      <c r="Y813" s="453"/>
      <c r="Z813" s="280"/>
      <c r="AA813" s="277"/>
      <c r="AB813" s="277"/>
      <c r="AC813" s="277"/>
      <c r="AD813" s="110"/>
      <c r="AE813" s="147"/>
      <c r="AF813" s="147"/>
      <c r="AG813" s="281"/>
      <c r="AH813" s="111"/>
      <c r="AI813" s="111"/>
    </row>
    <row r="814" spans="2:35">
      <c r="B814" s="273"/>
      <c r="C814" s="110"/>
      <c r="E814" s="220"/>
      <c r="L814" s="277"/>
      <c r="N814" s="147"/>
      <c r="O814" s="148"/>
      <c r="S814" s="277"/>
      <c r="T814" s="68"/>
      <c r="V814" s="279"/>
      <c r="X814" s="277"/>
      <c r="Y814" s="453"/>
      <c r="Z814" s="280"/>
      <c r="AA814" s="277"/>
      <c r="AB814" s="277"/>
      <c r="AC814" s="277"/>
      <c r="AD814" s="110"/>
      <c r="AE814" s="147"/>
      <c r="AF814" s="147"/>
      <c r="AG814" s="281"/>
      <c r="AH814" s="111"/>
      <c r="AI814" s="111"/>
    </row>
    <row r="815" spans="2:35">
      <c r="B815" s="273"/>
      <c r="C815" s="110"/>
      <c r="E815" s="220"/>
      <c r="L815" s="277"/>
      <c r="N815" s="147"/>
      <c r="O815" s="148"/>
      <c r="S815" s="277"/>
      <c r="T815" s="68"/>
      <c r="V815" s="279"/>
      <c r="X815" s="277"/>
      <c r="Y815" s="453"/>
      <c r="Z815" s="280"/>
      <c r="AA815" s="277"/>
      <c r="AB815" s="277"/>
      <c r="AC815" s="277"/>
      <c r="AD815" s="110"/>
      <c r="AE815" s="147"/>
      <c r="AF815" s="147"/>
      <c r="AG815" s="281"/>
      <c r="AH815" s="111"/>
      <c r="AI815" s="111"/>
    </row>
    <row r="816" spans="2:35">
      <c r="B816" s="273"/>
      <c r="C816" s="110"/>
      <c r="E816" s="220"/>
      <c r="L816" s="277"/>
      <c r="N816" s="147"/>
      <c r="O816" s="148"/>
      <c r="S816" s="277"/>
      <c r="T816" s="68"/>
      <c r="V816" s="279"/>
      <c r="X816" s="277"/>
      <c r="Y816" s="453"/>
      <c r="Z816" s="280"/>
      <c r="AA816" s="277"/>
      <c r="AB816" s="277"/>
      <c r="AC816" s="277"/>
      <c r="AD816" s="110"/>
      <c r="AE816" s="147"/>
      <c r="AF816" s="147"/>
      <c r="AG816" s="281"/>
      <c r="AH816" s="111"/>
      <c r="AI816" s="111"/>
    </row>
    <row r="817" spans="2:35">
      <c r="B817" s="273"/>
      <c r="C817" s="110"/>
      <c r="E817" s="220"/>
      <c r="L817" s="277"/>
      <c r="N817" s="147"/>
      <c r="O817" s="148"/>
      <c r="S817" s="277"/>
      <c r="T817" s="68"/>
      <c r="V817" s="279"/>
      <c r="X817" s="277"/>
      <c r="Y817" s="453"/>
      <c r="Z817" s="280"/>
      <c r="AA817" s="277"/>
      <c r="AB817" s="277"/>
      <c r="AC817" s="277"/>
      <c r="AD817" s="110"/>
      <c r="AE817" s="147"/>
      <c r="AF817" s="147"/>
      <c r="AG817" s="281"/>
      <c r="AH817" s="111"/>
      <c r="AI817" s="111"/>
    </row>
    <row r="818" spans="2:35">
      <c r="B818" s="273"/>
      <c r="C818" s="110"/>
      <c r="E818" s="220"/>
      <c r="L818" s="277"/>
      <c r="N818" s="147"/>
      <c r="O818" s="148"/>
      <c r="S818" s="277"/>
      <c r="T818" s="68"/>
      <c r="V818" s="279"/>
      <c r="X818" s="277"/>
      <c r="Y818" s="453"/>
      <c r="Z818" s="280"/>
      <c r="AA818" s="277"/>
      <c r="AB818" s="277"/>
      <c r="AC818" s="277"/>
      <c r="AD818" s="110"/>
      <c r="AE818" s="147"/>
      <c r="AF818" s="147"/>
      <c r="AG818" s="281"/>
      <c r="AH818" s="111"/>
      <c r="AI818" s="111"/>
    </row>
    <row r="819" spans="2:35">
      <c r="B819" s="273"/>
      <c r="C819" s="110"/>
      <c r="E819" s="220"/>
      <c r="L819" s="277"/>
      <c r="N819" s="147"/>
      <c r="O819" s="148"/>
      <c r="S819" s="277"/>
      <c r="T819" s="68"/>
      <c r="V819" s="279"/>
      <c r="X819" s="277"/>
      <c r="Y819" s="453"/>
      <c r="Z819" s="280"/>
      <c r="AA819" s="277"/>
      <c r="AB819" s="277"/>
      <c r="AC819" s="277"/>
      <c r="AD819" s="110"/>
      <c r="AE819" s="147"/>
      <c r="AF819" s="147"/>
      <c r="AG819" s="281"/>
      <c r="AH819" s="111"/>
      <c r="AI819" s="111"/>
    </row>
    <row r="820" spans="2:35">
      <c r="B820" s="273"/>
      <c r="C820" s="110"/>
      <c r="E820" s="220"/>
      <c r="L820" s="277"/>
      <c r="N820" s="147"/>
      <c r="O820" s="148"/>
      <c r="S820" s="277"/>
      <c r="T820" s="68"/>
      <c r="V820" s="279"/>
      <c r="X820" s="277"/>
      <c r="Y820" s="453"/>
      <c r="Z820" s="280"/>
      <c r="AA820" s="277"/>
      <c r="AB820" s="277"/>
      <c r="AC820" s="277"/>
      <c r="AD820" s="110"/>
      <c r="AE820" s="147"/>
      <c r="AF820" s="147"/>
      <c r="AG820" s="281"/>
      <c r="AH820" s="111"/>
      <c r="AI820" s="111"/>
    </row>
    <row r="821" spans="2:35">
      <c r="B821" s="273"/>
      <c r="C821" s="110"/>
      <c r="E821" s="220"/>
      <c r="L821" s="277"/>
      <c r="N821" s="147"/>
      <c r="O821" s="148"/>
      <c r="S821" s="277"/>
      <c r="T821" s="68"/>
      <c r="V821" s="279"/>
      <c r="X821" s="277"/>
      <c r="Y821" s="453"/>
      <c r="Z821" s="280"/>
      <c r="AA821" s="277"/>
      <c r="AB821" s="277"/>
      <c r="AC821" s="277"/>
      <c r="AD821" s="110"/>
      <c r="AE821" s="147"/>
      <c r="AF821" s="147"/>
      <c r="AG821" s="281"/>
      <c r="AH821" s="111"/>
      <c r="AI821" s="111"/>
    </row>
    <row r="822" spans="2:35">
      <c r="B822" s="273"/>
      <c r="C822" s="110"/>
      <c r="E822" s="220"/>
      <c r="L822" s="277"/>
      <c r="N822" s="147"/>
      <c r="O822" s="148"/>
      <c r="S822" s="277"/>
      <c r="T822" s="68"/>
      <c r="V822" s="279"/>
      <c r="X822" s="277"/>
      <c r="Y822" s="453"/>
      <c r="Z822" s="280"/>
      <c r="AA822" s="277"/>
      <c r="AB822" s="277"/>
      <c r="AC822" s="277"/>
      <c r="AD822" s="110"/>
      <c r="AE822" s="147"/>
      <c r="AF822" s="147"/>
      <c r="AG822" s="281"/>
      <c r="AH822" s="111"/>
      <c r="AI822" s="111"/>
    </row>
    <row r="823" spans="2:35">
      <c r="B823" s="273"/>
      <c r="C823" s="110"/>
      <c r="E823" s="220"/>
      <c r="L823" s="277"/>
      <c r="N823" s="147"/>
      <c r="O823" s="148"/>
      <c r="S823" s="277"/>
      <c r="T823" s="68"/>
      <c r="V823" s="279"/>
      <c r="X823" s="277"/>
      <c r="Y823" s="453"/>
      <c r="Z823" s="280"/>
      <c r="AA823" s="277"/>
      <c r="AB823" s="277"/>
      <c r="AC823" s="277"/>
      <c r="AD823" s="110"/>
      <c r="AE823" s="147"/>
      <c r="AF823" s="147"/>
      <c r="AG823" s="281"/>
      <c r="AH823" s="111"/>
      <c r="AI823" s="111"/>
    </row>
    <row r="824" spans="2:35">
      <c r="B824" s="273"/>
      <c r="C824" s="110"/>
      <c r="E824" s="220"/>
      <c r="L824" s="277"/>
      <c r="N824" s="147"/>
      <c r="O824" s="148"/>
      <c r="S824" s="277"/>
      <c r="T824" s="68"/>
      <c r="V824" s="279"/>
      <c r="X824" s="277"/>
      <c r="Y824" s="453"/>
      <c r="Z824" s="280"/>
      <c r="AA824" s="277"/>
      <c r="AB824" s="277"/>
      <c r="AC824" s="277"/>
      <c r="AD824" s="110"/>
      <c r="AE824" s="147"/>
      <c r="AF824" s="147"/>
      <c r="AG824" s="281"/>
      <c r="AH824" s="111"/>
      <c r="AI824" s="111"/>
    </row>
    <row r="825" spans="2:35">
      <c r="B825" s="273"/>
      <c r="C825" s="110"/>
      <c r="E825" s="220"/>
      <c r="L825" s="277"/>
      <c r="N825" s="147"/>
      <c r="O825" s="148"/>
      <c r="S825" s="277"/>
      <c r="T825" s="68"/>
      <c r="V825" s="279"/>
      <c r="X825" s="277"/>
      <c r="Y825" s="453"/>
      <c r="Z825" s="280"/>
      <c r="AA825" s="277"/>
      <c r="AB825" s="277"/>
      <c r="AC825" s="277"/>
      <c r="AD825" s="110"/>
      <c r="AE825" s="147"/>
      <c r="AF825" s="147"/>
      <c r="AG825" s="281"/>
      <c r="AH825" s="111"/>
      <c r="AI825" s="111"/>
    </row>
    <row r="826" spans="2:35">
      <c r="B826" s="273"/>
      <c r="C826" s="110"/>
      <c r="E826" s="220"/>
      <c r="L826" s="277"/>
      <c r="N826" s="147"/>
      <c r="O826" s="148"/>
      <c r="S826" s="277"/>
      <c r="T826" s="68"/>
      <c r="V826" s="279"/>
      <c r="X826" s="277"/>
      <c r="Y826" s="453"/>
      <c r="Z826" s="280"/>
      <c r="AA826" s="277"/>
      <c r="AB826" s="277"/>
      <c r="AC826" s="277"/>
      <c r="AD826" s="110"/>
      <c r="AE826" s="147"/>
      <c r="AF826" s="147"/>
      <c r="AG826" s="281"/>
      <c r="AH826" s="111"/>
      <c r="AI826" s="111"/>
    </row>
    <row r="827" spans="2:35">
      <c r="B827" s="273"/>
      <c r="C827" s="110"/>
      <c r="E827" s="220"/>
      <c r="L827" s="277"/>
      <c r="N827" s="147"/>
      <c r="O827" s="148"/>
      <c r="S827" s="277"/>
      <c r="T827" s="68"/>
      <c r="V827" s="279"/>
      <c r="X827" s="277"/>
      <c r="Y827" s="453"/>
      <c r="Z827" s="280"/>
      <c r="AA827" s="277"/>
      <c r="AB827" s="277"/>
      <c r="AC827" s="277"/>
      <c r="AD827" s="110"/>
      <c r="AE827" s="147"/>
      <c r="AF827" s="147"/>
      <c r="AG827" s="281"/>
      <c r="AH827" s="111"/>
      <c r="AI827" s="111"/>
    </row>
    <row r="828" spans="2:35">
      <c r="B828" s="273"/>
      <c r="C828" s="110"/>
      <c r="E828" s="220"/>
      <c r="L828" s="277"/>
      <c r="N828" s="147"/>
      <c r="O828" s="148"/>
      <c r="S828" s="277"/>
      <c r="T828" s="68"/>
      <c r="V828" s="279"/>
      <c r="X828" s="277"/>
      <c r="Y828" s="453"/>
      <c r="Z828" s="280"/>
      <c r="AA828" s="277"/>
      <c r="AB828" s="277"/>
      <c r="AC828" s="277"/>
      <c r="AD828" s="110"/>
      <c r="AE828" s="147"/>
      <c r="AF828" s="147"/>
      <c r="AG828" s="281"/>
      <c r="AH828" s="111"/>
      <c r="AI828" s="111"/>
    </row>
    <row r="829" spans="2:35">
      <c r="B829" s="273"/>
      <c r="C829" s="110"/>
      <c r="E829" s="220"/>
      <c r="L829" s="277"/>
      <c r="N829" s="147"/>
      <c r="O829" s="148"/>
      <c r="S829" s="277"/>
      <c r="T829" s="68"/>
      <c r="V829" s="279"/>
      <c r="X829" s="277"/>
      <c r="Y829" s="453"/>
      <c r="Z829" s="280"/>
      <c r="AA829" s="277"/>
      <c r="AB829" s="277"/>
      <c r="AC829" s="277"/>
      <c r="AD829" s="110"/>
      <c r="AE829" s="147"/>
      <c r="AF829" s="147"/>
      <c r="AG829" s="281"/>
      <c r="AH829" s="111"/>
      <c r="AI829" s="111"/>
    </row>
    <row r="830" spans="2:35">
      <c r="B830" s="273"/>
      <c r="C830" s="110"/>
      <c r="E830" s="220"/>
      <c r="L830" s="277"/>
      <c r="N830" s="147"/>
      <c r="O830" s="148"/>
      <c r="S830" s="277"/>
      <c r="T830" s="68"/>
      <c r="V830" s="279"/>
      <c r="X830" s="277"/>
      <c r="Y830" s="453"/>
      <c r="Z830" s="280"/>
      <c r="AA830" s="277"/>
      <c r="AB830" s="277"/>
      <c r="AC830" s="277"/>
      <c r="AD830" s="110"/>
      <c r="AE830" s="147"/>
      <c r="AF830" s="147"/>
      <c r="AG830" s="281"/>
      <c r="AH830" s="111"/>
      <c r="AI830" s="111"/>
    </row>
    <row r="831" spans="2:35">
      <c r="B831" s="273"/>
      <c r="C831" s="110"/>
      <c r="E831" s="220"/>
      <c r="L831" s="277"/>
      <c r="N831" s="147"/>
      <c r="O831" s="148"/>
      <c r="S831" s="277"/>
      <c r="T831" s="68"/>
      <c r="V831" s="279"/>
      <c r="X831" s="277"/>
      <c r="Y831" s="453"/>
      <c r="Z831" s="280"/>
      <c r="AA831" s="277"/>
      <c r="AB831" s="277"/>
      <c r="AC831" s="277"/>
      <c r="AD831" s="110"/>
      <c r="AE831" s="147"/>
      <c r="AF831" s="147"/>
      <c r="AG831" s="281"/>
      <c r="AH831" s="111"/>
      <c r="AI831" s="111"/>
    </row>
    <row r="832" spans="2:35">
      <c r="B832" s="273"/>
      <c r="C832" s="110"/>
      <c r="E832" s="220"/>
      <c r="L832" s="277"/>
      <c r="N832" s="147"/>
      <c r="O832" s="148"/>
      <c r="S832" s="277"/>
      <c r="T832" s="68"/>
      <c r="V832" s="279"/>
      <c r="X832" s="277"/>
      <c r="Y832" s="453"/>
      <c r="Z832" s="280"/>
      <c r="AA832" s="277"/>
      <c r="AB832" s="277"/>
      <c r="AC832" s="277"/>
      <c r="AD832" s="110"/>
      <c r="AE832" s="147"/>
      <c r="AF832" s="147"/>
      <c r="AG832" s="281"/>
      <c r="AH832" s="111"/>
      <c r="AI832" s="111"/>
    </row>
    <row r="833" spans="2:35">
      <c r="B833" s="273"/>
      <c r="C833" s="110"/>
      <c r="E833" s="220"/>
      <c r="L833" s="277"/>
      <c r="N833" s="147"/>
      <c r="O833" s="148"/>
      <c r="S833" s="277"/>
      <c r="T833" s="68"/>
      <c r="V833" s="279"/>
      <c r="X833" s="277"/>
      <c r="Y833" s="453"/>
      <c r="Z833" s="280"/>
      <c r="AA833" s="277"/>
      <c r="AB833" s="277"/>
      <c r="AC833" s="277"/>
      <c r="AD833" s="110"/>
      <c r="AE833" s="147"/>
      <c r="AF833" s="147"/>
      <c r="AG833" s="281"/>
      <c r="AH833" s="111"/>
      <c r="AI833" s="111"/>
    </row>
    <row r="834" spans="2:35">
      <c r="B834" s="273"/>
      <c r="C834" s="110"/>
      <c r="E834" s="220"/>
      <c r="L834" s="277"/>
      <c r="N834" s="147"/>
      <c r="O834" s="148"/>
      <c r="S834" s="277"/>
      <c r="T834" s="68"/>
      <c r="V834" s="279"/>
      <c r="X834" s="277"/>
      <c r="Y834" s="453"/>
      <c r="Z834" s="280"/>
      <c r="AA834" s="277"/>
      <c r="AB834" s="277"/>
      <c r="AC834" s="277"/>
      <c r="AD834" s="110"/>
      <c r="AE834" s="147"/>
      <c r="AF834" s="147"/>
      <c r="AG834" s="281"/>
      <c r="AH834" s="111"/>
      <c r="AI834" s="111"/>
    </row>
    <row r="835" spans="2:35">
      <c r="B835" s="273"/>
      <c r="C835" s="110"/>
      <c r="E835" s="220"/>
      <c r="L835" s="277"/>
      <c r="N835" s="147"/>
      <c r="O835" s="148"/>
      <c r="S835" s="277"/>
      <c r="T835" s="68"/>
      <c r="V835" s="279"/>
      <c r="X835" s="277"/>
      <c r="Y835" s="453"/>
      <c r="Z835" s="280"/>
      <c r="AA835" s="277"/>
      <c r="AB835" s="277"/>
      <c r="AC835" s="277"/>
      <c r="AD835" s="110"/>
      <c r="AE835" s="147"/>
      <c r="AF835" s="147"/>
      <c r="AG835" s="281"/>
      <c r="AH835" s="111"/>
      <c r="AI835" s="111"/>
    </row>
    <row r="836" spans="2:35">
      <c r="B836" s="273"/>
      <c r="C836" s="110"/>
      <c r="E836" s="220"/>
      <c r="L836" s="277"/>
      <c r="N836" s="147"/>
      <c r="O836" s="148"/>
      <c r="S836" s="277"/>
      <c r="T836" s="68"/>
      <c r="V836" s="279"/>
      <c r="X836" s="277"/>
      <c r="Y836" s="453"/>
      <c r="Z836" s="280"/>
      <c r="AA836" s="277"/>
      <c r="AB836" s="277"/>
      <c r="AC836" s="277"/>
      <c r="AD836" s="110"/>
      <c r="AE836" s="147"/>
      <c r="AF836" s="147"/>
      <c r="AG836" s="281"/>
      <c r="AH836" s="111"/>
      <c r="AI836" s="111"/>
    </row>
    <row r="837" spans="2:35">
      <c r="B837" s="273"/>
      <c r="C837" s="110"/>
      <c r="E837" s="220"/>
      <c r="L837" s="277"/>
      <c r="N837" s="147"/>
      <c r="O837" s="148"/>
      <c r="S837" s="277"/>
      <c r="T837" s="68"/>
      <c r="V837" s="279"/>
      <c r="X837" s="277"/>
      <c r="Y837" s="453"/>
      <c r="Z837" s="280"/>
      <c r="AA837" s="277"/>
      <c r="AB837" s="277"/>
      <c r="AC837" s="277"/>
      <c r="AD837" s="110"/>
      <c r="AE837" s="147"/>
      <c r="AF837" s="147"/>
      <c r="AG837" s="281"/>
      <c r="AH837" s="111"/>
      <c r="AI837" s="111"/>
    </row>
    <row r="838" spans="2:35">
      <c r="B838" s="273"/>
      <c r="C838" s="110"/>
      <c r="E838" s="220"/>
      <c r="L838" s="277"/>
      <c r="N838" s="147"/>
      <c r="O838" s="148"/>
      <c r="S838" s="277"/>
      <c r="T838" s="68"/>
      <c r="V838" s="279"/>
      <c r="X838" s="277"/>
      <c r="Y838" s="453"/>
      <c r="Z838" s="280"/>
      <c r="AA838" s="277"/>
      <c r="AB838" s="277"/>
      <c r="AC838" s="277"/>
      <c r="AD838" s="110"/>
      <c r="AE838" s="147"/>
      <c r="AF838" s="147"/>
      <c r="AG838" s="281"/>
      <c r="AH838" s="111"/>
      <c r="AI838" s="111"/>
    </row>
    <row r="839" spans="2:35">
      <c r="B839" s="273"/>
      <c r="C839" s="110"/>
      <c r="E839" s="220"/>
      <c r="L839" s="277"/>
      <c r="N839" s="147"/>
      <c r="O839" s="148"/>
      <c r="S839" s="277"/>
      <c r="T839" s="68"/>
      <c r="V839" s="279"/>
      <c r="X839" s="277"/>
      <c r="Y839" s="453"/>
      <c r="Z839" s="280"/>
      <c r="AA839" s="277"/>
      <c r="AB839" s="277"/>
      <c r="AC839" s="277"/>
      <c r="AD839" s="110"/>
      <c r="AE839" s="147"/>
      <c r="AF839" s="147"/>
      <c r="AG839" s="281"/>
      <c r="AH839" s="111"/>
      <c r="AI839" s="111"/>
    </row>
    <row r="840" spans="2:35">
      <c r="B840" s="273"/>
      <c r="C840" s="110"/>
      <c r="E840" s="220"/>
      <c r="L840" s="277"/>
      <c r="N840" s="147"/>
      <c r="O840" s="148"/>
      <c r="S840" s="277"/>
      <c r="T840" s="68"/>
      <c r="V840" s="279"/>
      <c r="X840" s="277"/>
      <c r="Y840" s="453"/>
      <c r="Z840" s="280"/>
      <c r="AA840" s="277"/>
      <c r="AB840" s="277"/>
      <c r="AC840" s="277"/>
      <c r="AD840" s="110"/>
      <c r="AE840" s="147"/>
      <c r="AF840" s="147"/>
      <c r="AG840" s="281"/>
      <c r="AH840" s="111"/>
      <c r="AI840" s="111"/>
    </row>
    <row r="841" spans="2:35">
      <c r="B841" s="273"/>
      <c r="C841" s="110"/>
      <c r="E841" s="220"/>
      <c r="L841" s="277"/>
      <c r="N841" s="147"/>
      <c r="O841" s="148"/>
      <c r="S841" s="277"/>
      <c r="T841" s="68"/>
      <c r="V841" s="279"/>
      <c r="X841" s="277"/>
      <c r="Y841" s="453"/>
      <c r="Z841" s="280"/>
      <c r="AA841" s="277"/>
      <c r="AB841" s="277"/>
      <c r="AC841" s="277"/>
      <c r="AD841" s="110"/>
      <c r="AE841" s="147"/>
      <c r="AF841" s="147"/>
      <c r="AG841" s="281"/>
      <c r="AH841" s="111"/>
      <c r="AI841" s="111"/>
    </row>
    <row r="842" spans="2:35">
      <c r="B842" s="273"/>
      <c r="C842" s="110"/>
      <c r="E842" s="220"/>
      <c r="L842" s="277"/>
      <c r="N842" s="147"/>
      <c r="O842" s="148"/>
      <c r="S842" s="277"/>
      <c r="T842" s="68"/>
      <c r="V842" s="279"/>
      <c r="X842" s="277"/>
      <c r="Y842" s="453"/>
      <c r="Z842" s="280"/>
      <c r="AA842" s="277"/>
      <c r="AB842" s="277"/>
      <c r="AC842" s="277"/>
      <c r="AD842" s="110"/>
      <c r="AE842" s="147"/>
      <c r="AF842" s="147"/>
      <c r="AG842" s="281"/>
      <c r="AH842" s="111"/>
      <c r="AI842" s="111"/>
    </row>
    <row r="843" spans="2:35">
      <c r="B843" s="273"/>
      <c r="C843" s="110"/>
      <c r="E843" s="220"/>
      <c r="L843" s="277"/>
      <c r="N843" s="147"/>
      <c r="O843" s="148"/>
      <c r="S843" s="277"/>
      <c r="T843" s="68"/>
      <c r="V843" s="279"/>
      <c r="X843" s="277"/>
      <c r="Y843" s="453"/>
      <c r="Z843" s="280"/>
      <c r="AA843" s="277"/>
      <c r="AB843" s="277"/>
      <c r="AC843" s="277"/>
      <c r="AD843" s="110"/>
      <c r="AE843" s="147"/>
      <c r="AF843" s="147"/>
      <c r="AG843" s="281"/>
      <c r="AH843" s="111"/>
      <c r="AI843" s="111"/>
    </row>
    <row r="844" spans="2:35">
      <c r="B844" s="273"/>
      <c r="C844" s="110"/>
      <c r="E844" s="220"/>
      <c r="L844" s="277"/>
      <c r="N844" s="147"/>
      <c r="O844" s="148"/>
      <c r="S844" s="277"/>
      <c r="T844" s="68"/>
      <c r="V844" s="279"/>
      <c r="X844" s="277"/>
      <c r="Y844" s="453"/>
      <c r="Z844" s="280"/>
      <c r="AA844" s="277"/>
      <c r="AB844" s="277"/>
      <c r="AC844" s="277"/>
      <c r="AD844" s="110"/>
      <c r="AE844" s="147"/>
      <c r="AF844" s="147"/>
      <c r="AG844" s="281"/>
      <c r="AH844" s="111"/>
      <c r="AI844" s="111"/>
    </row>
    <row r="845" spans="2:35">
      <c r="B845" s="273"/>
      <c r="C845" s="110"/>
      <c r="E845" s="220"/>
      <c r="L845" s="277"/>
      <c r="N845" s="147"/>
      <c r="O845" s="148"/>
      <c r="S845" s="277"/>
      <c r="T845" s="68"/>
      <c r="V845" s="279"/>
      <c r="X845" s="277"/>
      <c r="Y845" s="453"/>
      <c r="Z845" s="280"/>
      <c r="AA845" s="277"/>
      <c r="AB845" s="277"/>
      <c r="AC845" s="277"/>
      <c r="AD845" s="110"/>
      <c r="AE845" s="147"/>
      <c r="AF845" s="147"/>
      <c r="AG845" s="281"/>
      <c r="AH845" s="111"/>
      <c r="AI845" s="111"/>
    </row>
    <row r="846" spans="2:35">
      <c r="B846" s="273"/>
      <c r="C846" s="110"/>
      <c r="E846" s="220"/>
      <c r="L846" s="277"/>
      <c r="N846" s="147"/>
      <c r="O846" s="148"/>
      <c r="S846" s="277"/>
      <c r="T846" s="68"/>
      <c r="V846" s="279"/>
      <c r="X846" s="277"/>
      <c r="Y846" s="453"/>
      <c r="Z846" s="280"/>
      <c r="AA846" s="277"/>
      <c r="AB846" s="277"/>
      <c r="AC846" s="277"/>
      <c r="AD846" s="110"/>
      <c r="AE846" s="147"/>
      <c r="AF846" s="147"/>
      <c r="AG846" s="281"/>
      <c r="AH846" s="111"/>
      <c r="AI846" s="111"/>
    </row>
    <row r="847" spans="2:35">
      <c r="B847" s="273"/>
      <c r="C847" s="110"/>
      <c r="E847" s="220"/>
      <c r="L847" s="277"/>
      <c r="N847" s="147"/>
      <c r="O847" s="148"/>
      <c r="S847" s="277"/>
      <c r="T847" s="68"/>
      <c r="V847" s="279"/>
      <c r="X847" s="277"/>
      <c r="Y847" s="453"/>
      <c r="Z847" s="280"/>
      <c r="AA847" s="277"/>
      <c r="AB847" s="277"/>
      <c r="AC847" s="277"/>
      <c r="AD847" s="110"/>
      <c r="AE847" s="147"/>
      <c r="AF847" s="147"/>
      <c r="AG847" s="281"/>
      <c r="AH847" s="111"/>
      <c r="AI847" s="111"/>
    </row>
    <row r="848" spans="2:35">
      <c r="B848" s="273"/>
      <c r="C848" s="110"/>
      <c r="E848" s="220"/>
      <c r="L848" s="277"/>
      <c r="N848" s="147"/>
      <c r="O848" s="148"/>
      <c r="S848" s="277"/>
      <c r="T848" s="68"/>
      <c r="V848" s="279"/>
      <c r="X848" s="277"/>
      <c r="Y848" s="453"/>
      <c r="Z848" s="280"/>
      <c r="AA848" s="277"/>
      <c r="AB848" s="277"/>
      <c r="AC848" s="277"/>
      <c r="AD848" s="110"/>
      <c r="AE848" s="147"/>
      <c r="AF848" s="147"/>
      <c r="AG848" s="281"/>
      <c r="AH848" s="111"/>
      <c r="AI848" s="111"/>
    </row>
    <row r="849" spans="2:35">
      <c r="B849" s="273"/>
      <c r="C849" s="110"/>
      <c r="E849" s="220"/>
      <c r="L849" s="277"/>
      <c r="N849" s="147"/>
      <c r="O849" s="148"/>
      <c r="S849" s="277"/>
      <c r="T849" s="68"/>
      <c r="V849" s="279"/>
      <c r="X849" s="277"/>
      <c r="Y849" s="453"/>
      <c r="Z849" s="280"/>
      <c r="AA849" s="277"/>
      <c r="AB849" s="277"/>
      <c r="AC849" s="277"/>
      <c r="AD849" s="110"/>
      <c r="AE849" s="147"/>
      <c r="AF849" s="147"/>
      <c r="AG849" s="281"/>
      <c r="AH849" s="111"/>
      <c r="AI849" s="111"/>
    </row>
    <row r="850" spans="2:35">
      <c r="B850" s="273"/>
      <c r="C850" s="110"/>
      <c r="E850" s="220"/>
      <c r="L850" s="277"/>
      <c r="N850" s="147"/>
      <c r="O850" s="148"/>
      <c r="S850" s="277"/>
      <c r="T850" s="68"/>
      <c r="V850" s="279"/>
      <c r="X850" s="277"/>
      <c r="Y850" s="453"/>
      <c r="Z850" s="280"/>
      <c r="AA850" s="277"/>
      <c r="AB850" s="277"/>
      <c r="AC850" s="277"/>
      <c r="AD850" s="110"/>
      <c r="AE850" s="147"/>
      <c r="AF850" s="147"/>
      <c r="AG850" s="281"/>
      <c r="AH850" s="111"/>
      <c r="AI850" s="111"/>
    </row>
    <row r="851" spans="2:35">
      <c r="B851" s="273"/>
      <c r="C851" s="110"/>
      <c r="E851" s="220"/>
      <c r="L851" s="277"/>
      <c r="N851" s="147"/>
      <c r="O851" s="148"/>
      <c r="S851" s="277"/>
      <c r="T851" s="68"/>
      <c r="V851" s="279"/>
      <c r="X851" s="277"/>
      <c r="Y851" s="453"/>
      <c r="Z851" s="280"/>
      <c r="AA851" s="277"/>
      <c r="AB851" s="277"/>
      <c r="AC851" s="277"/>
      <c r="AD851" s="110"/>
      <c r="AE851" s="147"/>
      <c r="AF851" s="147"/>
      <c r="AG851" s="281"/>
      <c r="AH851" s="111"/>
      <c r="AI851" s="111"/>
    </row>
    <row r="852" spans="2:35">
      <c r="B852" s="273"/>
      <c r="C852" s="110"/>
      <c r="E852" s="220"/>
      <c r="L852" s="277"/>
      <c r="N852" s="147"/>
      <c r="O852" s="148"/>
      <c r="S852" s="277"/>
      <c r="T852" s="68"/>
      <c r="V852" s="279"/>
      <c r="X852" s="277"/>
      <c r="Y852" s="453"/>
      <c r="Z852" s="280"/>
      <c r="AA852" s="277"/>
      <c r="AB852" s="277"/>
      <c r="AC852" s="277"/>
      <c r="AD852" s="110"/>
      <c r="AE852" s="147"/>
      <c r="AF852" s="147"/>
      <c r="AG852" s="281"/>
      <c r="AH852" s="111"/>
      <c r="AI852" s="111"/>
    </row>
    <row r="853" spans="2:35">
      <c r="B853" s="273"/>
      <c r="C853" s="110"/>
      <c r="E853" s="220"/>
      <c r="L853" s="277"/>
      <c r="N853" s="147"/>
      <c r="O853" s="148"/>
      <c r="S853" s="277"/>
      <c r="T853" s="68"/>
      <c r="V853" s="279"/>
      <c r="X853" s="277"/>
      <c r="Y853" s="453"/>
      <c r="Z853" s="280"/>
      <c r="AA853" s="277"/>
      <c r="AB853" s="277"/>
      <c r="AC853" s="277"/>
      <c r="AD853" s="110"/>
      <c r="AE853" s="147"/>
      <c r="AF853" s="147"/>
      <c r="AG853" s="281"/>
      <c r="AH853" s="111"/>
      <c r="AI853" s="111"/>
    </row>
    <row r="854" spans="2:35">
      <c r="B854" s="273"/>
      <c r="C854" s="110"/>
      <c r="E854" s="220"/>
      <c r="L854" s="277"/>
      <c r="N854" s="147"/>
      <c r="O854" s="148"/>
      <c r="S854" s="277"/>
      <c r="T854" s="68"/>
      <c r="V854" s="279"/>
      <c r="X854" s="277"/>
      <c r="Y854" s="453"/>
      <c r="Z854" s="280"/>
      <c r="AA854" s="277"/>
      <c r="AB854" s="277"/>
      <c r="AC854" s="277"/>
      <c r="AD854" s="110"/>
      <c r="AE854" s="147"/>
      <c r="AF854" s="147"/>
      <c r="AG854" s="281"/>
      <c r="AH854" s="111"/>
      <c r="AI854" s="111"/>
    </row>
    <row r="855" spans="2:35">
      <c r="B855" s="273"/>
      <c r="C855" s="110"/>
      <c r="E855" s="220"/>
      <c r="L855" s="277"/>
      <c r="N855" s="147"/>
      <c r="O855" s="148"/>
      <c r="S855" s="277"/>
      <c r="T855" s="68"/>
      <c r="V855" s="279"/>
      <c r="X855" s="277"/>
      <c r="Y855" s="453"/>
      <c r="Z855" s="280"/>
      <c r="AA855" s="277"/>
      <c r="AB855" s="277"/>
      <c r="AC855" s="277"/>
      <c r="AD855" s="110"/>
      <c r="AE855" s="147"/>
      <c r="AF855" s="147"/>
      <c r="AG855" s="281"/>
      <c r="AH855" s="111"/>
      <c r="AI855" s="111"/>
    </row>
    <row r="856" spans="2:35">
      <c r="B856" s="273"/>
      <c r="C856" s="110"/>
      <c r="E856" s="220"/>
      <c r="L856" s="277"/>
      <c r="N856" s="147"/>
      <c r="O856" s="148"/>
      <c r="S856" s="277"/>
      <c r="T856" s="68"/>
      <c r="V856" s="279"/>
      <c r="X856" s="277"/>
      <c r="Y856" s="453"/>
      <c r="Z856" s="280"/>
      <c r="AA856" s="277"/>
      <c r="AB856" s="277"/>
      <c r="AC856" s="277"/>
      <c r="AD856" s="110"/>
      <c r="AE856" s="147"/>
      <c r="AF856" s="147"/>
      <c r="AG856" s="281"/>
      <c r="AH856" s="111"/>
      <c r="AI856" s="111"/>
    </row>
    <row r="857" spans="2:35">
      <c r="B857" s="273"/>
      <c r="C857" s="110"/>
      <c r="E857" s="220"/>
      <c r="L857" s="277"/>
      <c r="N857" s="147"/>
      <c r="O857" s="148"/>
      <c r="S857" s="277"/>
      <c r="T857" s="68"/>
      <c r="V857" s="279"/>
      <c r="X857" s="277"/>
      <c r="Y857" s="453"/>
      <c r="Z857" s="280"/>
      <c r="AA857" s="277"/>
      <c r="AB857" s="277"/>
      <c r="AC857" s="277"/>
      <c r="AD857" s="110"/>
      <c r="AE857" s="147"/>
      <c r="AF857" s="147"/>
      <c r="AG857" s="281"/>
      <c r="AH857" s="111"/>
      <c r="AI857" s="111"/>
    </row>
    <row r="858" spans="2:35">
      <c r="B858" s="273"/>
      <c r="C858" s="110"/>
      <c r="E858" s="220"/>
      <c r="L858" s="277"/>
      <c r="N858" s="147"/>
      <c r="O858" s="148"/>
      <c r="S858" s="277"/>
      <c r="T858" s="68"/>
      <c r="V858" s="279"/>
      <c r="X858" s="277"/>
      <c r="Y858" s="453"/>
      <c r="Z858" s="280"/>
      <c r="AA858" s="277"/>
      <c r="AB858" s="277"/>
      <c r="AC858" s="277"/>
      <c r="AD858" s="110"/>
      <c r="AE858" s="147"/>
      <c r="AF858" s="147"/>
      <c r="AG858" s="281"/>
      <c r="AH858" s="111"/>
      <c r="AI858" s="111"/>
    </row>
    <row r="859" spans="2:35">
      <c r="B859" s="273"/>
      <c r="C859" s="110"/>
      <c r="E859" s="220"/>
      <c r="L859" s="277"/>
      <c r="N859" s="147"/>
      <c r="O859" s="148"/>
      <c r="S859" s="277"/>
      <c r="T859" s="68"/>
      <c r="V859" s="279"/>
      <c r="X859" s="277"/>
      <c r="Y859" s="453"/>
      <c r="Z859" s="280"/>
      <c r="AA859" s="277"/>
      <c r="AB859" s="277"/>
      <c r="AC859" s="277"/>
      <c r="AD859" s="110"/>
      <c r="AE859" s="147"/>
      <c r="AF859" s="147"/>
      <c r="AG859" s="281"/>
      <c r="AH859" s="111"/>
      <c r="AI859" s="111"/>
    </row>
    <row r="860" spans="2:35">
      <c r="B860" s="273"/>
      <c r="C860" s="110"/>
      <c r="E860" s="220"/>
      <c r="L860" s="277"/>
      <c r="N860" s="147"/>
      <c r="O860" s="148"/>
      <c r="S860" s="277"/>
      <c r="T860" s="68"/>
      <c r="V860" s="279"/>
      <c r="X860" s="277"/>
      <c r="Y860" s="453"/>
      <c r="Z860" s="280"/>
      <c r="AA860" s="277"/>
      <c r="AB860" s="277"/>
      <c r="AC860" s="277"/>
      <c r="AD860" s="110"/>
      <c r="AE860" s="147"/>
      <c r="AF860" s="147"/>
      <c r="AG860" s="281"/>
      <c r="AH860" s="111"/>
      <c r="AI860" s="111"/>
    </row>
    <row r="861" spans="2:35">
      <c r="B861" s="273"/>
      <c r="C861" s="110"/>
      <c r="E861" s="220"/>
      <c r="L861" s="277"/>
      <c r="N861" s="147"/>
      <c r="O861" s="148"/>
      <c r="S861" s="277"/>
      <c r="T861" s="68"/>
      <c r="V861" s="279"/>
      <c r="X861" s="277"/>
      <c r="Y861" s="453"/>
      <c r="Z861" s="280"/>
      <c r="AA861" s="277"/>
      <c r="AB861" s="277"/>
      <c r="AC861" s="277"/>
      <c r="AD861" s="110"/>
      <c r="AE861" s="147"/>
      <c r="AF861" s="147"/>
      <c r="AG861" s="281"/>
      <c r="AH861" s="111"/>
      <c r="AI861" s="111"/>
    </row>
    <row r="862" spans="2:35">
      <c r="B862" s="273"/>
      <c r="C862" s="110"/>
      <c r="E862" s="220"/>
      <c r="L862" s="277"/>
      <c r="N862" s="147"/>
      <c r="O862" s="148"/>
      <c r="S862" s="277"/>
      <c r="T862" s="68"/>
      <c r="V862" s="279"/>
      <c r="X862" s="277"/>
      <c r="Y862" s="453"/>
      <c r="Z862" s="280"/>
      <c r="AA862" s="277"/>
      <c r="AB862" s="277"/>
      <c r="AC862" s="277"/>
      <c r="AD862" s="110"/>
      <c r="AE862" s="147"/>
      <c r="AF862" s="147"/>
      <c r="AG862" s="281"/>
      <c r="AH862" s="111"/>
      <c r="AI862" s="111"/>
    </row>
    <row r="863" spans="2:35">
      <c r="B863" s="273"/>
      <c r="C863" s="110"/>
      <c r="E863" s="220"/>
      <c r="L863" s="277"/>
      <c r="N863" s="147"/>
      <c r="O863" s="148"/>
      <c r="S863" s="277"/>
      <c r="T863" s="68"/>
      <c r="V863" s="279"/>
      <c r="X863" s="277"/>
      <c r="Y863" s="453"/>
      <c r="Z863" s="280"/>
      <c r="AA863" s="277"/>
      <c r="AB863" s="277"/>
      <c r="AC863" s="277"/>
      <c r="AD863" s="110"/>
      <c r="AE863" s="147"/>
      <c r="AF863" s="147"/>
      <c r="AG863" s="281"/>
      <c r="AH863" s="111"/>
      <c r="AI863" s="111"/>
    </row>
    <row r="864" spans="2:35">
      <c r="B864" s="273"/>
      <c r="C864" s="110"/>
      <c r="E864" s="220"/>
      <c r="L864" s="277"/>
      <c r="N864" s="147"/>
      <c r="O864" s="148"/>
      <c r="S864" s="277"/>
      <c r="T864" s="68"/>
      <c r="V864" s="279"/>
      <c r="X864" s="277"/>
      <c r="Y864" s="453"/>
      <c r="Z864" s="280"/>
      <c r="AA864" s="277"/>
      <c r="AB864" s="277"/>
      <c r="AC864" s="277"/>
      <c r="AD864" s="110"/>
      <c r="AE864" s="147"/>
      <c r="AF864" s="147"/>
      <c r="AG864" s="281"/>
      <c r="AH864" s="111"/>
      <c r="AI864" s="111"/>
    </row>
    <row r="865" spans="2:35">
      <c r="B865" s="273"/>
      <c r="C865" s="110"/>
      <c r="E865" s="220"/>
      <c r="L865" s="277"/>
      <c r="N865" s="147"/>
      <c r="O865" s="148"/>
      <c r="S865" s="277"/>
      <c r="T865" s="68"/>
      <c r="V865" s="279"/>
      <c r="X865" s="277"/>
      <c r="Y865" s="453"/>
      <c r="Z865" s="280"/>
      <c r="AA865" s="277"/>
      <c r="AB865" s="277"/>
      <c r="AC865" s="277"/>
      <c r="AD865" s="110"/>
      <c r="AE865" s="147"/>
      <c r="AF865" s="147"/>
      <c r="AG865" s="281"/>
      <c r="AH865" s="111"/>
      <c r="AI865" s="111"/>
    </row>
    <row r="866" spans="2:35">
      <c r="B866" s="273"/>
      <c r="C866" s="110"/>
      <c r="E866" s="220"/>
      <c r="L866" s="277"/>
      <c r="N866" s="147"/>
      <c r="O866" s="148"/>
      <c r="S866" s="277"/>
      <c r="T866" s="68"/>
      <c r="V866" s="279"/>
      <c r="X866" s="277"/>
      <c r="Y866" s="453"/>
      <c r="Z866" s="280"/>
      <c r="AA866" s="277"/>
      <c r="AB866" s="277"/>
      <c r="AC866" s="277"/>
      <c r="AD866" s="110"/>
      <c r="AE866" s="147"/>
      <c r="AF866" s="147"/>
      <c r="AG866" s="281"/>
      <c r="AH866" s="111"/>
      <c r="AI866" s="111"/>
    </row>
    <row r="867" spans="2:35">
      <c r="B867" s="273"/>
      <c r="C867" s="110"/>
      <c r="E867" s="220"/>
      <c r="L867" s="277"/>
      <c r="N867" s="147"/>
      <c r="O867" s="148"/>
      <c r="S867" s="277"/>
      <c r="T867" s="68"/>
      <c r="V867" s="279"/>
      <c r="X867" s="277"/>
      <c r="Y867" s="453"/>
      <c r="Z867" s="280"/>
      <c r="AA867" s="277"/>
      <c r="AB867" s="277"/>
      <c r="AC867" s="277"/>
      <c r="AD867" s="110"/>
      <c r="AE867" s="147"/>
      <c r="AF867" s="147"/>
      <c r="AG867" s="281"/>
      <c r="AH867" s="111"/>
      <c r="AI867" s="111"/>
    </row>
    <row r="868" spans="2:35">
      <c r="B868" s="273"/>
      <c r="C868" s="110"/>
      <c r="E868" s="220"/>
      <c r="L868" s="277"/>
      <c r="N868" s="147"/>
      <c r="O868" s="148"/>
      <c r="S868" s="277"/>
      <c r="T868" s="68"/>
      <c r="V868" s="279"/>
      <c r="X868" s="277"/>
      <c r="Y868" s="453"/>
      <c r="Z868" s="280"/>
      <c r="AA868" s="277"/>
      <c r="AB868" s="277"/>
      <c r="AC868" s="277"/>
      <c r="AD868" s="110"/>
      <c r="AE868" s="147"/>
      <c r="AF868" s="147"/>
      <c r="AG868" s="281"/>
      <c r="AH868" s="111"/>
      <c r="AI868" s="111"/>
    </row>
    <row r="869" spans="2:35">
      <c r="B869" s="273"/>
      <c r="C869" s="110"/>
      <c r="E869" s="220"/>
      <c r="L869" s="277"/>
      <c r="N869" s="147"/>
      <c r="O869" s="148"/>
      <c r="S869" s="277"/>
      <c r="T869" s="68"/>
      <c r="V869" s="279"/>
      <c r="X869" s="277"/>
      <c r="Y869" s="453"/>
      <c r="Z869" s="280"/>
      <c r="AA869" s="277"/>
      <c r="AB869" s="277"/>
      <c r="AC869" s="277"/>
      <c r="AD869" s="110"/>
      <c r="AE869" s="147"/>
      <c r="AF869" s="147"/>
      <c r="AG869" s="281"/>
      <c r="AH869" s="111"/>
      <c r="AI869" s="111"/>
    </row>
    <row r="870" spans="2:35">
      <c r="B870" s="273"/>
      <c r="C870" s="110"/>
      <c r="E870" s="220"/>
      <c r="L870" s="277"/>
      <c r="N870" s="147"/>
      <c r="O870" s="148"/>
      <c r="S870" s="277"/>
      <c r="T870" s="68"/>
      <c r="V870" s="279"/>
      <c r="X870" s="277"/>
      <c r="Y870" s="453"/>
      <c r="Z870" s="280"/>
      <c r="AA870" s="277"/>
      <c r="AB870" s="277"/>
      <c r="AC870" s="277"/>
      <c r="AD870" s="110"/>
      <c r="AE870" s="147"/>
      <c r="AF870" s="147"/>
      <c r="AG870" s="281"/>
      <c r="AH870" s="111"/>
      <c r="AI870" s="111"/>
    </row>
    <row r="871" spans="2:35">
      <c r="B871" s="273"/>
      <c r="C871" s="110"/>
      <c r="E871" s="220"/>
      <c r="L871" s="277"/>
      <c r="N871" s="147"/>
      <c r="O871" s="148"/>
      <c r="S871" s="277"/>
      <c r="T871" s="68"/>
      <c r="V871" s="279"/>
      <c r="X871" s="277"/>
      <c r="Y871" s="453"/>
      <c r="Z871" s="280"/>
      <c r="AA871" s="277"/>
      <c r="AB871" s="277"/>
      <c r="AC871" s="277"/>
      <c r="AD871" s="110"/>
      <c r="AE871" s="147"/>
      <c r="AF871" s="147"/>
      <c r="AG871" s="281"/>
      <c r="AH871" s="111"/>
      <c r="AI871" s="111"/>
    </row>
    <row r="872" spans="2:35">
      <c r="B872" s="273"/>
      <c r="C872" s="110"/>
      <c r="E872" s="220"/>
      <c r="L872" s="277"/>
      <c r="N872" s="147"/>
      <c r="O872" s="148"/>
      <c r="S872" s="277"/>
      <c r="T872" s="68"/>
      <c r="V872" s="279"/>
      <c r="X872" s="277"/>
      <c r="Y872" s="453"/>
      <c r="Z872" s="280"/>
      <c r="AA872" s="277"/>
      <c r="AB872" s="277"/>
      <c r="AC872" s="277"/>
      <c r="AD872" s="110"/>
      <c r="AE872" s="147"/>
      <c r="AF872" s="147"/>
      <c r="AG872" s="281"/>
      <c r="AH872" s="111"/>
      <c r="AI872" s="111"/>
    </row>
    <row r="873" spans="2:35">
      <c r="B873" s="273"/>
      <c r="C873" s="110"/>
      <c r="E873" s="220"/>
      <c r="L873" s="277"/>
      <c r="N873" s="147"/>
      <c r="O873" s="148"/>
      <c r="S873" s="277"/>
      <c r="T873" s="68"/>
      <c r="V873" s="279"/>
      <c r="X873" s="277"/>
      <c r="Y873" s="453"/>
      <c r="Z873" s="280"/>
      <c r="AA873" s="277"/>
      <c r="AB873" s="277"/>
      <c r="AC873" s="277"/>
      <c r="AD873" s="110"/>
      <c r="AE873" s="147"/>
      <c r="AF873" s="147"/>
      <c r="AG873" s="281"/>
      <c r="AH873" s="111"/>
      <c r="AI873" s="111"/>
    </row>
    <row r="874" spans="2:35">
      <c r="B874" s="273"/>
      <c r="C874" s="110"/>
      <c r="E874" s="220"/>
      <c r="L874" s="277"/>
      <c r="N874" s="147"/>
      <c r="O874" s="148"/>
      <c r="S874" s="277"/>
      <c r="T874" s="68"/>
      <c r="V874" s="279"/>
      <c r="X874" s="277"/>
      <c r="Y874" s="453"/>
      <c r="Z874" s="280"/>
      <c r="AA874" s="277"/>
      <c r="AB874" s="277"/>
      <c r="AC874" s="277"/>
      <c r="AD874" s="110"/>
      <c r="AE874" s="147"/>
      <c r="AF874" s="147"/>
      <c r="AG874" s="281"/>
      <c r="AH874" s="111"/>
      <c r="AI874" s="111"/>
    </row>
    <row r="875" spans="2:35">
      <c r="B875" s="273"/>
      <c r="C875" s="110"/>
      <c r="E875" s="220"/>
      <c r="L875" s="277"/>
      <c r="N875" s="147"/>
      <c r="O875" s="148"/>
      <c r="S875" s="277"/>
      <c r="T875" s="68"/>
      <c r="V875" s="279"/>
      <c r="X875" s="277"/>
      <c r="Y875" s="453"/>
      <c r="Z875" s="280"/>
      <c r="AA875" s="277"/>
      <c r="AB875" s="277"/>
      <c r="AC875" s="277"/>
      <c r="AD875" s="110"/>
      <c r="AE875" s="147"/>
      <c r="AF875" s="147"/>
      <c r="AG875" s="281"/>
      <c r="AH875" s="111"/>
      <c r="AI875" s="111"/>
    </row>
    <row r="876" spans="2:35">
      <c r="B876" s="273"/>
      <c r="C876" s="110"/>
      <c r="E876" s="220"/>
      <c r="L876" s="277"/>
      <c r="N876" s="147"/>
      <c r="O876" s="148"/>
      <c r="S876" s="277"/>
      <c r="T876" s="68"/>
      <c r="V876" s="279"/>
      <c r="X876" s="277"/>
      <c r="Y876" s="453"/>
      <c r="Z876" s="280"/>
      <c r="AA876" s="277"/>
      <c r="AB876" s="277"/>
      <c r="AC876" s="277"/>
      <c r="AD876" s="110"/>
      <c r="AE876" s="147"/>
      <c r="AF876" s="147"/>
      <c r="AG876" s="281"/>
      <c r="AH876" s="111"/>
      <c r="AI876" s="111"/>
    </row>
    <row r="877" spans="2:35">
      <c r="B877" s="273"/>
      <c r="C877" s="110"/>
      <c r="E877" s="220"/>
      <c r="L877" s="277"/>
      <c r="N877" s="147"/>
      <c r="O877" s="148"/>
      <c r="S877" s="277"/>
      <c r="T877" s="68"/>
      <c r="V877" s="279"/>
      <c r="X877" s="277"/>
      <c r="Y877" s="453"/>
      <c r="Z877" s="280"/>
      <c r="AA877" s="277"/>
      <c r="AB877" s="277"/>
      <c r="AC877" s="277"/>
      <c r="AD877" s="110"/>
      <c r="AE877" s="147"/>
      <c r="AF877" s="147"/>
      <c r="AG877" s="281"/>
      <c r="AH877" s="111"/>
      <c r="AI877" s="111"/>
    </row>
    <row r="878" spans="2:35">
      <c r="B878" s="273"/>
      <c r="C878" s="110"/>
      <c r="E878" s="220"/>
      <c r="L878" s="277"/>
      <c r="N878" s="147"/>
      <c r="O878" s="148"/>
      <c r="S878" s="277"/>
      <c r="T878" s="68"/>
      <c r="V878" s="279"/>
      <c r="X878" s="277"/>
      <c r="Y878" s="453"/>
      <c r="Z878" s="280"/>
      <c r="AA878" s="277"/>
      <c r="AB878" s="277"/>
      <c r="AC878" s="277"/>
      <c r="AD878" s="110"/>
      <c r="AE878" s="147"/>
      <c r="AF878" s="147"/>
      <c r="AG878" s="281"/>
      <c r="AH878" s="111"/>
      <c r="AI878" s="111"/>
    </row>
    <row r="879" spans="2:35">
      <c r="B879" s="273"/>
      <c r="C879" s="110"/>
      <c r="E879" s="220"/>
      <c r="L879" s="277"/>
      <c r="N879" s="147"/>
      <c r="O879" s="148"/>
      <c r="S879" s="277"/>
      <c r="T879" s="68"/>
      <c r="V879" s="279"/>
      <c r="X879" s="277"/>
      <c r="Y879" s="453"/>
      <c r="Z879" s="280"/>
      <c r="AA879" s="277"/>
      <c r="AB879" s="277"/>
      <c r="AC879" s="277"/>
      <c r="AD879" s="110"/>
      <c r="AE879" s="147"/>
      <c r="AF879" s="147"/>
      <c r="AG879" s="281"/>
      <c r="AH879" s="111"/>
      <c r="AI879" s="111"/>
    </row>
    <row r="880" spans="2:35">
      <c r="B880" s="273"/>
      <c r="C880" s="110"/>
      <c r="E880" s="220"/>
      <c r="L880" s="277"/>
      <c r="N880" s="147"/>
      <c r="O880" s="148"/>
      <c r="S880" s="277"/>
      <c r="T880" s="68"/>
      <c r="V880" s="279"/>
      <c r="X880" s="277"/>
      <c r="Y880" s="453"/>
      <c r="Z880" s="280"/>
      <c r="AA880" s="277"/>
      <c r="AB880" s="277"/>
      <c r="AC880" s="277"/>
      <c r="AD880" s="110"/>
      <c r="AE880" s="147"/>
      <c r="AF880" s="147"/>
      <c r="AG880" s="281"/>
      <c r="AH880" s="111"/>
      <c r="AI880" s="111"/>
    </row>
    <row r="881" spans="2:35">
      <c r="B881" s="273"/>
      <c r="C881" s="110"/>
      <c r="E881" s="220"/>
      <c r="L881" s="277"/>
      <c r="N881" s="147"/>
      <c r="O881" s="148"/>
      <c r="S881" s="277"/>
      <c r="T881" s="68"/>
      <c r="V881" s="279"/>
      <c r="X881" s="277"/>
      <c r="Y881" s="453"/>
      <c r="Z881" s="280"/>
      <c r="AA881" s="277"/>
      <c r="AB881" s="277"/>
      <c r="AC881" s="277"/>
      <c r="AD881" s="110"/>
      <c r="AE881" s="147"/>
      <c r="AF881" s="147"/>
      <c r="AG881" s="281"/>
      <c r="AH881" s="111"/>
      <c r="AI881" s="111"/>
    </row>
    <row r="882" spans="2:35">
      <c r="B882" s="273"/>
      <c r="C882" s="110"/>
      <c r="E882" s="220"/>
      <c r="L882" s="277"/>
      <c r="N882" s="147"/>
      <c r="O882" s="148"/>
      <c r="S882" s="277"/>
      <c r="T882" s="68"/>
      <c r="V882" s="279"/>
      <c r="X882" s="277"/>
      <c r="Y882" s="453"/>
      <c r="Z882" s="280"/>
      <c r="AA882" s="277"/>
      <c r="AB882" s="277"/>
      <c r="AC882" s="277"/>
      <c r="AD882" s="110"/>
      <c r="AE882" s="147"/>
      <c r="AF882" s="147"/>
      <c r="AG882" s="281"/>
      <c r="AH882" s="111"/>
      <c r="AI882" s="111"/>
    </row>
    <row r="883" spans="2:35">
      <c r="B883" s="273"/>
      <c r="C883" s="110"/>
      <c r="E883" s="220"/>
      <c r="L883" s="277"/>
      <c r="N883" s="147"/>
      <c r="O883" s="148"/>
      <c r="S883" s="277"/>
      <c r="T883" s="68"/>
      <c r="V883" s="279"/>
      <c r="X883" s="277"/>
      <c r="Y883" s="453"/>
      <c r="Z883" s="280"/>
      <c r="AA883" s="277"/>
      <c r="AB883" s="277"/>
      <c r="AC883" s="277"/>
      <c r="AD883" s="110"/>
      <c r="AE883" s="147"/>
      <c r="AF883" s="147"/>
      <c r="AG883" s="281"/>
      <c r="AH883" s="111"/>
      <c r="AI883" s="111"/>
    </row>
    <row r="884" spans="2:35">
      <c r="B884" s="273"/>
      <c r="C884" s="110"/>
      <c r="E884" s="220"/>
      <c r="L884" s="277"/>
      <c r="N884" s="147"/>
      <c r="O884" s="148"/>
      <c r="S884" s="277"/>
      <c r="T884" s="68"/>
      <c r="V884" s="279"/>
      <c r="X884" s="277"/>
      <c r="Y884" s="453"/>
      <c r="Z884" s="280"/>
      <c r="AA884" s="277"/>
      <c r="AB884" s="277"/>
      <c r="AC884" s="277"/>
      <c r="AD884" s="110"/>
      <c r="AE884" s="147"/>
      <c r="AF884" s="147"/>
      <c r="AG884" s="281"/>
      <c r="AH884" s="111"/>
      <c r="AI884" s="111"/>
    </row>
    <row r="885" spans="2:35">
      <c r="B885" s="273"/>
      <c r="C885" s="110"/>
      <c r="E885" s="220"/>
      <c r="L885" s="277"/>
      <c r="N885" s="147"/>
      <c r="O885" s="148"/>
      <c r="S885" s="277"/>
      <c r="T885" s="68"/>
      <c r="V885" s="279"/>
      <c r="X885" s="277"/>
      <c r="Y885" s="453"/>
      <c r="Z885" s="280"/>
      <c r="AA885" s="277"/>
      <c r="AB885" s="277"/>
      <c r="AC885" s="277"/>
      <c r="AD885" s="110"/>
      <c r="AE885" s="147"/>
      <c r="AF885" s="147"/>
      <c r="AG885" s="281"/>
      <c r="AH885" s="111"/>
      <c r="AI885" s="111"/>
    </row>
    <row r="886" spans="2:35">
      <c r="B886" s="273"/>
      <c r="C886" s="110"/>
      <c r="E886" s="220"/>
      <c r="L886" s="277"/>
      <c r="N886" s="147"/>
      <c r="O886" s="148"/>
      <c r="S886" s="277"/>
      <c r="T886" s="68"/>
      <c r="V886" s="279"/>
      <c r="X886" s="277"/>
      <c r="Y886" s="453"/>
      <c r="Z886" s="280"/>
      <c r="AA886" s="277"/>
      <c r="AB886" s="277"/>
      <c r="AC886" s="277"/>
      <c r="AD886" s="110"/>
      <c r="AE886" s="147"/>
      <c r="AF886" s="147"/>
      <c r="AG886" s="281"/>
      <c r="AH886" s="111"/>
      <c r="AI886" s="111"/>
    </row>
    <row r="887" spans="2:35">
      <c r="B887" s="273"/>
      <c r="C887" s="110"/>
      <c r="E887" s="220"/>
      <c r="L887" s="277"/>
      <c r="N887" s="147"/>
      <c r="O887" s="148"/>
      <c r="S887" s="277"/>
      <c r="T887" s="68"/>
      <c r="V887" s="279"/>
      <c r="X887" s="277"/>
      <c r="Y887" s="453"/>
      <c r="Z887" s="280"/>
      <c r="AA887" s="277"/>
      <c r="AB887" s="277"/>
      <c r="AC887" s="277"/>
      <c r="AD887" s="110"/>
      <c r="AE887" s="147"/>
      <c r="AF887" s="147"/>
      <c r="AG887" s="281"/>
      <c r="AH887" s="111"/>
      <c r="AI887" s="111"/>
    </row>
    <row r="888" spans="2:35">
      <c r="B888" s="273"/>
      <c r="C888" s="110"/>
      <c r="E888" s="220"/>
      <c r="L888" s="277"/>
      <c r="N888" s="147"/>
      <c r="O888" s="148"/>
      <c r="S888" s="277"/>
      <c r="T888" s="68"/>
      <c r="V888" s="279"/>
      <c r="X888" s="277"/>
      <c r="Y888" s="453"/>
      <c r="Z888" s="280"/>
      <c r="AA888" s="277"/>
      <c r="AB888" s="277"/>
      <c r="AC888" s="277"/>
      <c r="AD888" s="110"/>
      <c r="AE888" s="147"/>
      <c r="AF888" s="147"/>
      <c r="AG888" s="281"/>
      <c r="AH888" s="111"/>
      <c r="AI888" s="111"/>
    </row>
    <row r="889" spans="2:35">
      <c r="B889" s="273"/>
      <c r="C889" s="110"/>
      <c r="E889" s="220"/>
      <c r="L889" s="277"/>
      <c r="N889" s="147"/>
      <c r="O889" s="148"/>
      <c r="S889" s="277"/>
      <c r="T889" s="68"/>
      <c r="V889" s="279"/>
      <c r="X889" s="277"/>
      <c r="Y889" s="453"/>
      <c r="Z889" s="280"/>
      <c r="AA889" s="277"/>
      <c r="AB889" s="277"/>
      <c r="AC889" s="277"/>
      <c r="AD889" s="110"/>
      <c r="AE889" s="147"/>
      <c r="AF889" s="147"/>
      <c r="AG889" s="281"/>
      <c r="AH889" s="111"/>
      <c r="AI889" s="111"/>
    </row>
    <row r="890" spans="2:35">
      <c r="B890" s="273"/>
      <c r="C890" s="110"/>
      <c r="E890" s="220"/>
      <c r="L890" s="277"/>
      <c r="N890" s="147"/>
      <c r="O890" s="148"/>
      <c r="S890" s="277"/>
      <c r="T890" s="68"/>
      <c r="V890" s="279"/>
      <c r="X890" s="277"/>
      <c r="Y890" s="453"/>
      <c r="Z890" s="280"/>
      <c r="AA890" s="277"/>
      <c r="AB890" s="277"/>
      <c r="AC890" s="277"/>
      <c r="AD890" s="110"/>
      <c r="AE890" s="147"/>
      <c r="AF890" s="147"/>
      <c r="AG890" s="281"/>
      <c r="AH890" s="111"/>
      <c r="AI890" s="111"/>
    </row>
    <row r="891" spans="2:35">
      <c r="B891" s="273"/>
      <c r="C891" s="110"/>
      <c r="E891" s="220"/>
      <c r="L891" s="277"/>
      <c r="N891" s="147"/>
      <c r="O891" s="148"/>
      <c r="S891" s="277"/>
      <c r="T891" s="68"/>
      <c r="V891" s="279"/>
      <c r="X891" s="277"/>
      <c r="Y891" s="453"/>
      <c r="Z891" s="280"/>
      <c r="AA891" s="277"/>
      <c r="AB891" s="277"/>
      <c r="AC891" s="277"/>
      <c r="AD891" s="110"/>
      <c r="AE891" s="147"/>
      <c r="AF891" s="147"/>
      <c r="AG891" s="281"/>
      <c r="AH891" s="111"/>
      <c r="AI891" s="111"/>
    </row>
    <row r="892" spans="2:35">
      <c r="B892" s="273"/>
      <c r="C892" s="110"/>
      <c r="E892" s="220"/>
      <c r="L892" s="277"/>
      <c r="N892" s="147"/>
      <c r="O892" s="148"/>
      <c r="S892" s="277"/>
      <c r="T892" s="68"/>
      <c r="V892" s="279"/>
      <c r="X892" s="277"/>
      <c r="Y892" s="453"/>
      <c r="Z892" s="280"/>
      <c r="AA892" s="277"/>
      <c r="AB892" s="277"/>
      <c r="AC892" s="277"/>
      <c r="AD892" s="110"/>
      <c r="AE892" s="147"/>
      <c r="AF892" s="147"/>
      <c r="AG892" s="281"/>
      <c r="AH892" s="111"/>
      <c r="AI892" s="111"/>
    </row>
    <row r="893" spans="2:35">
      <c r="B893" s="273"/>
      <c r="C893" s="110"/>
      <c r="E893" s="220"/>
      <c r="L893" s="277"/>
      <c r="N893" s="147"/>
      <c r="O893" s="148"/>
      <c r="S893" s="277"/>
      <c r="T893" s="68"/>
      <c r="V893" s="279"/>
      <c r="X893" s="277"/>
      <c r="Y893" s="453"/>
      <c r="Z893" s="280"/>
      <c r="AA893" s="277"/>
      <c r="AB893" s="277"/>
      <c r="AC893" s="277"/>
      <c r="AD893" s="110"/>
      <c r="AE893" s="147"/>
      <c r="AF893" s="147"/>
      <c r="AG893" s="281"/>
      <c r="AH893" s="111"/>
      <c r="AI893" s="111"/>
    </row>
    <row r="894" spans="2:35">
      <c r="B894" s="273"/>
      <c r="C894" s="110"/>
      <c r="E894" s="220"/>
      <c r="L894" s="277"/>
      <c r="N894" s="147"/>
      <c r="O894" s="148"/>
      <c r="S894" s="277"/>
      <c r="T894" s="68"/>
      <c r="V894" s="279"/>
      <c r="X894" s="277"/>
      <c r="Y894" s="453"/>
      <c r="Z894" s="280"/>
      <c r="AA894" s="277"/>
      <c r="AB894" s="277"/>
      <c r="AC894" s="277"/>
      <c r="AD894" s="110"/>
      <c r="AE894" s="147"/>
      <c r="AF894" s="147"/>
      <c r="AG894" s="281"/>
      <c r="AH894" s="111"/>
      <c r="AI894" s="111"/>
    </row>
    <row r="895" spans="2:35">
      <c r="B895" s="273"/>
      <c r="C895" s="110"/>
      <c r="E895" s="220"/>
      <c r="L895" s="277"/>
      <c r="N895" s="147"/>
      <c r="O895" s="148"/>
      <c r="S895" s="277"/>
      <c r="T895" s="68"/>
      <c r="V895" s="279"/>
      <c r="X895" s="277"/>
      <c r="Y895" s="453"/>
      <c r="Z895" s="280"/>
      <c r="AA895" s="277"/>
      <c r="AB895" s="277"/>
      <c r="AC895" s="277"/>
      <c r="AD895" s="110"/>
      <c r="AE895" s="147"/>
      <c r="AF895" s="147"/>
      <c r="AG895" s="281"/>
      <c r="AH895" s="111"/>
      <c r="AI895" s="111"/>
    </row>
    <row r="896" spans="2:35">
      <c r="B896" s="273"/>
      <c r="C896" s="110"/>
      <c r="E896" s="220"/>
      <c r="L896" s="277"/>
      <c r="N896" s="147"/>
      <c r="O896" s="148"/>
      <c r="S896" s="277"/>
      <c r="T896" s="68"/>
      <c r="V896" s="279"/>
      <c r="X896" s="277"/>
      <c r="Y896" s="453"/>
      <c r="Z896" s="280"/>
      <c r="AA896" s="277"/>
      <c r="AB896" s="277"/>
      <c r="AC896" s="277"/>
      <c r="AD896" s="110"/>
      <c r="AE896" s="147"/>
      <c r="AF896" s="147"/>
      <c r="AG896" s="281"/>
      <c r="AH896" s="111"/>
      <c r="AI896" s="111"/>
    </row>
    <row r="897" spans="2:35">
      <c r="B897" s="273"/>
      <c r="C897" s="110"/>
      <c r="E897" s="220"/>
      <c r="L897" s="277"/>
      <c r="N897" s="147"/>
      <c r="O897" s="148"/>
      <c r="S897" s="277"/>
      <c r="T897" s="68"/>
      <c r="V897" s="279"/>
      <c r="X897" s="277"/>
      <c r="Y897" s="453"/>
      <c r="Z897" s="280"/>
      <c r="AA897" s="277"/>
      <c r="AB897" s="277"/>
      <c r="AC897" s="277"/>
      <c r="AD897" s="110"/>
      <c r="AE897" s="147"/>
      <c r="AF897" s="147"/>
      <c r="AG897" s="281"/>
      <c r="AH897" s="111"/>
      <c r="AI897" s="111"/>
    </row>
    <row r="898" spans="2:35">
      <c r="B898" s="273"/>
      <c r="C898" s="110"/>
      <c r="E898" s="220"/>
      <c r="L898" s="277"/>
      <c r="N898" s="147"/>
      <c r="O898" s="148"/>
      <c r="S898" s="277"/>
      <c r="T898" s="68"/>
      <c r="V898" s="279"/>
      <c r="X898" s="277"/>
      <c r="Y898" s="453"/>
      <c r="Z898" s="280"/>
      <c r="AA898" s="277"/>
      <c r="AB898" s="277"/>
      <c r="AC898" s="277"/>
      <c r="AD898" s="110"/>
      <c r="AE898" s="147"/>
      <c r="AF898" s="147"/>
      <c r="AG898" s="281"/>
      <c r="AH898" s="111"/>
      <c r="AI898" s="111"/>
    </row>
    <row r="899" spans="2:35">
      <c r="B899" s="273"/>
      <c r="C899" s="110"/>
      <c r="E899" s="220"/>
      <c r="L899" s="277"/>
      <c r="N899" s="147"/>
      <c r="O899" s="148"/>
      <c r="S899" s="277"/>
      <c r="T899" s="68"/>
      <c r="V899" s="279"/>
      <c r="X899" s="277"/>
      <c r="Y899" s="453"/>
      <c r="Z899" s="280"/>
      <c r="AA899" s="277"/>
      <c r="AB899" s="277"/>
      <c r="AC899" s="277"/>
      <c r="AD899" s="110"/>
      <c r="AE899" s="147"/>
      <c r="AF899" s="147"/>
      <c r="AG899" s="281"/>
      <c r="AH899" s="111"/>
      <c r="AI899" s="111"/>
    </row>
    <row r="900" spans="2:35">
      <c r="B900" s="273"/>
      <c r="C900" s="110"/>
      <c r="E900" s="220"/>
      <c r="L900" s="277"/>
      <c r="N900" s="147"/>
      <c r="O900" s="148"/>
      <c r="S900" s="277"/>
      <c r="T900" s="68"/>
      <c r="V900" s="279"/>
      <c r="X900" s="277"/>
      <c r="Y900" s="453"/>
      <c r="Z900" s="280"/>
      <c r="AA900" s="277"/>
      <c r="AB900" s="277"/>
      <c r="AC900" s="277"/>
      <c r="AD900" s="110"/>
      <c r="AE900" s="147"/>
      <c r="AF900" s="147"/>
      <c r="AG900" s="281"/>
      <c r="AH900" s="111"/>
      <c r="AI900" s="111"/>
    </row>
    <row r="901" spans="2:35">
      <c r="B901" s="273"/>
      <c r="C901" s="110"/>
      <c r="E901" s="220"/>
      <c r="L901" s="277"/>
      <c r="N901" s="147"/>
      <c r="O901" s="148"/>
      <c r="S901" s="277"/>
      <c r="T901" s="68"/>
      <c r="V901" s="279"/>
      <c r="X901" s="277"/>
      <c r="Y901" s="453"/>
      <c r="Z901" s="280"/>
      <c r="AA901" s="277"/>
      <c r="AB901" s="277"/>
      <c r="AC901" s="277"/>
      <c r="AD901" s="110"/>
      <c r="AE901" s="147"/>
      <c r="AF901" s="147"/>
      <c r="AG901" s="281"/>
      <c r="AH901" s="111"/>
      <c r="AI901" s="111"/>
    </row>
    <row r="902" spans="2:35">
      <c r="B902" s="273"/>
      <c r="C902" s="110"/>
      <c r="E902" s="220"/>
      <c r="L902" s="277"/>
      <c r="N902" s="147"/>
      <c r="O902" s="148"/>
      <c r="S902" s="277"/>
      <c r="T902" s="68"/>
      <c r="V902" s="279"/>
      <c r="X902" s="277"/>
      <c r="Y902" s="453"/>
      <c r="Z902" s="280"/>
      <c r="AA902" s="277"/>
      <c r="AB902" s="277"/>
      <c r="AC902" s="277"/>
      <c r="AD902" s="110"/>
      <c r="AE902" s="147"/>
      <c r="AF902" s="147"/>
      <c r="AG902" s="281"/>
      <c r="AH902" s="111"/>
      <c r="AI902" s="111"/>
    </row>
    <row r="903" spans="2:35">
      <c r="B903" s="273"/>
      <c r="C903" s="110"/>
      <c r="E903" s="220"/>
      <c r="L903" s="277"/>
      <c r="N903" s="147"/>
      <c r="O903" s="148"/>
      <c r="S903" s="277"/>
      <c r="T903" s="68"/>
      <c r="V903" s="279"/>
      <c r="X903" s="277"/>
      <c r="Y903" s="453"/>
      <c r="Z903" s="280"/>
      <c r="AA903" s="277"/>
      <c r="AB903" s="277"/>
      <c r="AC903" s="277"/>
      <c r="AD903" s="110"/>
      <c r="AE903" s="147"/>
      <c r="AF903" s="147"/>
      <c r="AG903" s="281"/>
      <c r="AH903" s="111"/>
      <c r="AI903" s="111"/>
    </row>
    <row r="904" spans="2:35">
      <c r="B904" s="273"/>
      <c r="C904" s="110"/>
      <c r="E904" s="220"/>
      <c r="L904" s="277"/>
      <c r="N904" s="147"/>
      <c r="O904" s="148"/>
      <c r="S904" s="277"/>
      <c r="T904" s="68"/>
      <c r="V904" s="279"/>
      <c r="X904" s="277"/>
      <c r="Y904" s="453"/>
      <c r="Z904" s="280"/>
      <c r="AA904" s="277"/>
      <c r="AB904" s="277"/>
      <c r="AC904" s="277"/>
      <c r="AD904" s="110"/>
      <c r="AE904" s="147"/>
      <c r="AF904" s="147"/>
      <c r="AG904" s="281"/>
      <c r="AH904" s="111"/>
      <c r="AI904" s="111"/>
    </row>
    <row r="905" spans="2:35">
      <c r="B905" s="273"/>
      <c r="C905" s="110"/>
      <c r="E905" s="220"/>
      <c r="L905" s="277"/>
      <c r="N905" s="147"/>
      <c r="O905" s="148"/>
      <c r="S905" s="277"/>
      <c r="T905" s="68"/>
      <c r="V905" s="279"/>
      <c r="X905" s="277"/>
      <c r="Y905" s="453"/>
      <c r="Z905" s="280"/>
      <c r="AA905" s="277"/>
      <c r="AB905" s="277"/>
      <c r="AC905" s="277"/>
      <c r="AD905" s="110"/>
      <c r="AE905" s="147"/>
      <c r="AF905" s="147"/>
      <c r="AG905" s="281"/>
      <c r="AH905" s="111"/>
      <c r="AI905" s="111"/>
    </row>
    <row r="906" spans="2:35">
      <c r="B906" s="273"/>
      <c r="C906" s="110"/>
      <c r="E906" s="220"/>
      <c r="L906" s="277"/>
      <c r="N906" s="147"/>
      <c r="O906" s="148"/>
      <c r="S906" s="277"/>
      <c r="T906" s="68"/>
      <c r="V906" s="279"/>
      <c r="X906" s="277"/>
      <c r="Y906" s="453"/>
      <c r="Z906" s="280"/>
      <c r="AA906" s="277"/>
      <c r="AB906" s="277"/>
      <c r="AC906" s="277"/>
      <c r="AD906" s="110"/>
      <c r="AE906" s="147"/>
      <c r="AF906" s="147"/>
      <c r="AG906" s="281"/>
      <c r="AH906" s="111"/>
      <c r="AI906" s="111"/>
    </row>
    <row r="907" spans="2:35">
      <c r="B907" s="273"/>
      <c r="C907" s="110"/>
      <c r="E907" s="220"/>
      <c r="L907" s="277"/>
      <c r="N907" s="147"/>
      <c r="O907" s="148"/>
      <c r="S907" s="277"/>
      <c r="T907" s="68"/>
      <c r="V907" s="279"/>
      <c r="X907" s="277"/>
      <c r="Y907" s="453"/>
      <c r="Z907" s="280"/>
      <c r="AA907" s="277"/>
      <c r="AB907" s="277"/>
      <c r="AC907" s="277"/>
      <c r="AD907" s="110"/>
      <c r="AE907" s="147"/>
      <c r="AF907" s="147"/>
      <c r="AG907" s="281"/>
      <c r="AH907" s="111"/>
      <c r="AI907" s="111"/>
    </row>
    <row r="908" spans="2:35">
      <c r="B908" s="273"/>
      <c r="C908" s="110"/>
      <c r="E908" s="220"/>
      <c r="L908" s="277"/>
      <c r="N908" s="147"/>
      <c r="O908" s="148"/>
      <c r="S908" s="277"/>
      <c r="T908" s="68"/>
      <c r="V908" s="279"/>
      <c r="X908" s="277"/>
      <c r="Y908" s="453"/>
      <c r="Z908" s="280"/>
      <c r="AA908" s="277"/>
      <c r="AB908" s="277"/>
      <c r="AC908" s="277"/>
      <c r="AD908" s="110"/>
      <c r="AE908" s="147"/>
      <c r="AF908" s="147"/>
      <c r="AG908" s="281"/>
      <c r="AH908" s="111"/>
      <c r="AI908" s="111"/>
    </row>
    <row r="909" spans="2:35">
      <c r="B909" s="273"/>
      <c r="C909" s="110"/>
      <c r="E909" s="220"/>
      <c r="L909" s="277"/>
      <c r="N909" s="147"/>
      <c r="O909" s="148"/>
      <c r="S909" s="277"/>
      <c r="T909" s="68"/>
      <c r="V909" s="279"/>
      <c r="X909" s="277"/>
      <c r="Y909" s="453"/>
      <c r="Z909" s="280"/>
      <c r="AA909" s="277"/>
      <c r="AB909" s="277"/>
      <c r="AC909" s="277"/>
      <c r="AD909" s="110"/>
      <c r="AE909" s="147"/>
      <c r="AF909" s="147"/>
      <c r="AG909" s="281"/>
      <c r="AH909" s="111"/>
      <c r="AI909" s="111"/>
    </row>
    <row r="910" spans="2:35">
      <c r="B910" s="273"/>
      <c r="C910" s="110"/>
      <c r="E910" s="220"/>
      <c r="L910" s="277"/>
      <c r="N910" s="147"/>
      <c r="O910" s="148"/>
      <c r="S910" s="277"/>
      <c r="T910" s="68"/>
      <c r="V910" s="279"/>
      <c r="X910" s="277"/>
      <c r="Y910" s="453"/>
      <c r="Z910" s="280"/>
      <c r="AA910" s="277"/>
      <c r="AB910" s="277"/>
      <c r="AC910" s="277"/>
      <c r="AD910" s="110"/>
      <c r="AE910" s="147"/>
      <c r="AF910" s="147"/>
      <c r="AG910" s="281"/>
      <c r="AH910" s="111"/>
      <c r="AI910" s="111"/>
    </row>
    <row r="911" spans="2:35">
      <c r="B911" s="273"/>
      <c r="C911" s="110"/>
      <c r="E911" s="220"/>
      <c r="L911" s="277"/>
      <c r="N911" s="147"/>
      <c r="O911" s="148"/>
      <c r="S911" s="277"/>
      <c r="T911" s="68"/>
      <c r="V911" s="279"/>
      <c r="X911" s="277"/>
      <c r="Y911" s="453"/>
      <c r="Z911" s="280"/>
      <c r="AA911" s="277"/>
      <c r="AB911" s="277"/>
      <c r="AC911" s="277"/>
      <c r="AD911" s="110"/>
      <c r="AE911" s="147"/>
      <c r="AF911" s="147"/>
      <c r="AG911" s="281"/>
      <c r="AH911" s="111"/>
      <c r="AI911" s="111"/>
    </row>
    <row r="912" spans="2:35">
      <c r="B912" s="273"/>
      <c r="C912" s="110"/>
      <c r="E912" s="220"/>
      <c r="L912" s="277"/>
      <c r="N912" s="147"/>
      <c r="O912" s="148"/>
      <c r="S912" s="277"/>
      <c r="T912" s="68"/>
      <c r="V912" s="279"/>
      <c r="X912" s="277"/>
      <c r="Y912" s="453"/>
      <c r="Z912" s="280"/>
      <c r="AA912" s="277"/>
      <c r="AB912" s="277"/>
      <c r="AC912" s="277"/>
      <c r="AD912" s="110"/>
      <c r="AE912" s="147"/>
      <c r="AF912" s="147"/>
      <c r="AG912" s="281"/>
      <c r="AH912" s="111"/>
      <c r="AI912" s="111"/>
    </row>
    <row r="913" spans="2:35">
      <c r="B913" s="273"/>
      <c r="C913" s="110"/>
      <c r="E913" s="220"/>
      <c r="L913" s="277"/>
      <c r="N913" s="147"/>
      <c r="O913" s="148"/>
      <c r="S913" s="277"/>
      <c r="T913" s="68"/>
      <c r="V913" s="279"/>
      <c r="X913" s="277"/>
      <c r="Y913" s="453"/>
      <c r="Z913" s="280"/>
      <c r="AA913" s="277"/>
      <c r="AB913" s="277"/>
      <c r="AC913" s="277"/>
      <c r="AD913" s="110"/>
      <c r="AE913" s="147"/>
      <c r="AF913" s="147"/>
      <c r="AG913" s="281"/>
      <c r="AH913" s="111"/>
      <c r="AI913" s="111"/>
    </row>
    <row r="914" spans="2:35">
      <c r="B914" s="273"/>
      <c r="C914" s="110"/>
      <c r="E914" s="220"/>
      <c r="L914" s="277"/>
      <c r="N914" s="147"/>
      <c r="O914" s="148"/>
      <c r="S914" s="277"/>
      <c r="T914" s="68"/>
      <c r="V914" s="279"/>
      <c r="X914" s="277"/>
      <c r="Y914" s="453"/>
      <c r="Z914" s="280"/>
      <c r="AA914" s="277"/>
      <c r="AB914" s="277"/>
      <c r="AC914" s="277"/>
      <c r="AD914" s="110"/>
      <c r="AE914" s="147"/>
      <c r="AF914" s="147"/>
      <c r="AG914" s="281"/>
      <c r="AH914" s="111"/>
      <c r="AI914" s="111"/>
    </row>
    <row r="915" spans="2:35">
      <c r="B915" s="273"/>
      <c r="C915" s="110"/>
      <c r="E915" s="220"/>
      <c r="L915" s="277"/>
      <c r="N915" s="147"/>
      <c r="O915" s="148"/>
      <c r="S915" s="277"/>
      <c r="T915" s="68"/>
      <c r="V915" s="279"/>
      <c r="X915" s="277"/>
      <c r="Y915" s="453"/>
      <c r="Z915" s="280"/>
      <c r="AA915" s="277"/>
      <c r="AB915" s="277"/>
      <c r="AC915" s="277"/>
      <c r="AD915" s="110"/>
      <c r="AE915" s="147"/>
      <c r="AF915" s="147"/>
      <c r="AG915" s="281"/>
      <c r="AH915" s="111"/>
      <c r="AI915" s="111"/>
    </row>
    <row r="916" spans="2:35">
      <c r="B916" s="273"/>
      <c r="C916" s="110"/>
      <c r="E916" s="220"/>
      <c r="L916" s="277"/>
      <c r="N916" s="147"/>
      <c r="O916" s="148"/>
      <c r="S916" s="277"/>
      <c r="T916" s="68"/>
      <c r="V916" s="279"/>
      <c r="X916" s="277"/>
      <c r="Y916" s="453"/>
      <c r="Z916" s="280"/>
      <c r="AA916" s="277"/>
      <c r="AB916" s="277"/>
      <c r="AC916" s="277"/>
      <c r="AD916" s="110"/>
      <c r="AE916" s="147"/>
      <c r="AF916" s="147"/>
      <c r="AG916" s="281"/>
      <c r="AH916" s="111"/>
      <c r="AI916" s="111"/>
    </row>
    <row r="917" spans="2:35">
      <c r="B917" s="273"/>
      <c r="C917" s="110"/>
      <c r="E917" s="220"/>
      <c r="L917" s="277"/>
      <c r="N917" s="147"/>
      <c r="O917" s="148"/>
      <c r="S917" s="277"/>
      <c r="T917" s="68"/>
      <c r="V917" s="279"/>
      <c r="X917" s="277"/>
      <c r="Y917" s="453"/>
      <c r="Z917" s="280"/>
      <c r="AA917" s="277"/>
      <c r="AB917" s="277"/>
      <c r="AC917" s="277"/>
      <c r="AD917" s="110"/>
      <c r="AE917" s="147"/>
      <c r="AF917" s="147"/>
      <c r="AG917" s="281"/>
      <c r="AH917" s="111"/>
      <c r="AI917" s="111"/>
    </row>
    <row r="918" spans="2:35">
      <c r="B918" s="273"/>
      <c r="C918" s="110"/>
      <c r="E918" s="220"/>
      <c r="L918" s="277"/>
      <c r="N918" s="147"/>
      <c r="O918" s="148"/>
      <c r="S918" s="277"/>
      <c r="T918" s="68"/>
      <c r="V918" s="279"/>
      <c r="X918" s="277"/>
      <c r="Y918" s="453"/>
      <c r="Z918" s="280"/>
      <c r="AA918" s="277"/>
      <c r="AB918" s="277"/>
      <c r="AC918" s="277"/>
      <c r="AD918" s="110"/>
      <c r="AE918" s="147"/>
      <c r="AF918" s="147"/>
      <c r="AG918" s="281"/>
      <c r="AH918" s="111"/>
      <c r="AI918" s="111"/>
    </row>
    <row r="919" spans="2:35">
      <c r="B919" s="273"/>
      <c r="C919" s="110"/>
      <c r="E919" s="220"/>
      <c r="L919" s="277"/>
      <c r="N919" s="147"/>
      <c r="O919" s="148"/>
      <c r="S919" s="277"/>
      <c r="T919" s="68"/>
      <c r="V919" s="279"/>
      <c r="X919" s="277"/>
      <c r="Y919" s="453"/>
      <c r="Z919" s="280"/>
      <c r="AA919" s="277"/>
      <c r="AB919" s="277"/>
      <c r="AC919" s="277"/>
      <c r="AD919" s="110"/>
      <c r="AE919" s="147"/>
      <c r="AF919" s="147"/>
      <c r="AG919" s="281"/>
      <c r="AH919" s="111"/>
      <c r="AI919" s="111"/>
    </row>
    <row r="920" spans="2:35">
      <c r="B920" s="273"/>
      <c r="C920" s="110"/>
      <c r="E920" s="220"/>
      <c r="L920" s="277"/>
      <c r="N920" s="147"/>
      <c r="O920" s="148"/>
      <c r="S920" s="277"/>
      <c r="T920" s="68"/>
      <c r="V920" s="279"/>
      <c r="X920" s="277"/>
      <c r="Y920" s="453"/>
      <c r="Z920" s="280"/>
      <c r="AA920" s="277"/>
      <c r="AB920" s="277"/>
      <c r="AC920" s="277"/>
      <c r="AD920" s="110"/>
      <c r="AE920" s="147"/>
      <c r="AF920" s="147"/>
      <c r="AG920" s="281"/>
      <c r="AH920" s="111"/>
      <c r="AI920" s="111"/>
    </row>
    <row r="921" spans="2:35">
      <c r="B921" s="273"/>
      <c r="C921" s="110"/>
      <c r="E921" s="220"/>
      <c r="L921" s="277"/>
      <c r="N921" s="147"/>
      <c r="O921" s="148"/>
      <c r="S921" s="277"/>
      <c r="T921" s="68"/>
      <c r="V921" s="279"/>
      <c r="X921" s="277"/>
      <c r="Y921" s="453"/>
      <c r="Z921" s="280"/>
      <c r="AA921" s="277"/>
      <c r="AB921" s="277"/>
      <c r="AC921" s="277"/>
      <c r="AD921" s="110"/>
      <c r="AE921" s="147"/>
      <c r="AF921" s="147"/>
      <c r="AG921" s="281"/>
      <c r="AH921" s="111"/>
      <c r="AI921" s="111"/>
    </row>
    <row r="922" spans="2:35">
      <c r="B922" s="273"/>
      <c r="C922" s="110"/>
      <c r="E922" s="220"/>
      <c r="L922" s="277"/>
      <c r="N922" s="147"/>
      <c r="O922" s="148"/>
      <c r="S922" s="277"/>
      <c r="T922" s="68"/>
      <c r="V922" s="279"/>
      <c r="X922" s="277"/>
      <c r="Y922" s="453"/>
      <c r="Z922" s="280"/>
      <c r="AA922" s="277"/>
      <c r="AB922" s="277"/>
      <c r="AC922" s="277"/>
      <c r="AD922" s="110"/>
      <c r="AE922" s="147"/>
      <c r="AF922" s="147"/>
      <c r="AG922" s="281"/>
      <c r="AH922" s="111"/>
      <c r="AI922" s="111"/>
    </row>
    <row r="923" spans="2:35">
      <c r="B923" s="273"/>
      <c r="C923" s="110"/>
      <c r="E923" s="220"/>
      <c r="L923" s="277"/>
      <c r="N923" s="147"/>
      <c r="O923" s="148"/>
      <c r="S923" s="277"/>
      <c r="T923" s="68"/>
      <c r="V923" s="279"/>
      <c r="X923" s="277"/>
      <c r="Y923" s="453"/>
      <c r="Z923" s="280"/>
      <c r="AA923" s="277"/>
      <c r="AB923" s="277"/>
      <c r="AC923" s="277"/>
      <c r="AD923" s="110"/>
      <c r="AE923" s="147"/>
      <c r="AF923" s="147"/>
      <c r="AG923" s="281"/>
      <c r="AH923" s="111"/>
      <c r="AI923" s="111"/>
    </row>
    <row r="924" spans="2:35">
      <c r="B924" s="273"/>
      <c r="C924" s="110"/>
      <c r="E924" s="220"/>
      <c r="L924" s="277"/>
      <c r="N924" s="147"/>
      <c r="O924" s="148"/>
      <c r="S924" s="277"/>
      <c r="T924" s="68"/>
      <c r="V924" s="279"/>
      <c r="X924" s="277"/>
      <c r="Y924" s="453"/>
      <c r="Z924" s="280"/>
      <c r="AA924" s="277"/>
      <c r="AB924" s="277"/>
      <c r="AC924" s="277"/>
      <c r="AD924" s="110"/>
      <c r="AE924" s="147"/>
      <c r="AF924" s="147"/>
      <c r="AG924" s="281"/>
      <c r="AH924" s="111"/>
      <c r="AI924" s="111"/>
    </row>
    <row r="925" spans="2:35">
      <c r="B925" s="273"/>
      <c r="C925" s="110"/>
      <c r="E925" s="220"/>
      <c r="L925" s="277"/>
      <c r="N925" s="147"/>
      <c r="O925" s="148"/>
      <c r="S925" s="277"/>
      <c r="T925" s="68"/>
      <c r="V925" s="279"/>
      <c r="X925" s="277"/>
      <c r="Y925" s="453"/>
      <c r="Z925" s="280"/>
      <c r="AA925" s="277"/>
      <c r="AB925" s="277"/>
      <c r="AC925" s="277"/>
      <c r="AD925" s="110"/>
      <c r="AE925" s="147"/>
      <c r="AF925" s="147"/>
      <c r="AG925" s="281"/>
      <c r="AH925" s="111"/>
      <c r="AI925" s="111"/>
    </row>
    <row r="926" spans="2:35">
      <c r="B926" s="273"/>
      <c r="C926" s="110"/>
      <c r="E926" s="220"/>
      <c r="L926" s="277"/>
      <c r="N926" s="147"/>
      <c r="O926" s="148"/>
      <c r="S926" s="277"/>
      <c r="T926" s="68"/>
      <c r="V926" s="279"/>
      <c r="X926" s="277"/>
      <c r="Y926" s="453"/>
      <c r="Z926" s="280"/>
      <c r="AA926" s="277"/>
      <c r="AB926" s="277"/>
      <c r="AC926" s="277"/>
      <c r="AD926" s="110"/>
      <c r="AE926" s="147"/>
      <c r="AF926" s="147"/>
      <c r="AG926" s="281"/>
      <c r="AH926" s="111"/>
      <c r="AI926" s="111"/>
    </row>
    <row r="927" spans="2:35">
      <c r="B927" s="273"/>
      <c r="C927" s="110"/>
      <c r="E927" s="220"/>
      <c r="L927" s="277"/>
      <c r="N927" s="147"/>
      <c r="O927" s="148"/>
      <c r="S927" s="277"/>
      <c r="T927" s="68"/>
      <c r="V927" s="279"/>
      <c r="X927" s="277"/>
      <c r="Y927" s="453"/>
      <c r="Z927" s="280"/>
      <c r="AA927" s="277"/>
      <c r="AB927" s="277"/>
      <c r="AC927" s="277"/>
      <c r="AD927" s="110"/>
      <c r="AE927" s="147"/>
      <c r="AF927" s="147"/>
      <c r="AG927" s="281"/>
      <c r="AH927" s="111"/>
      <c r="AI927" s="111"/>
    </row>
    <row r="928" spans="2:35">
      <c r="B928" s="273"/>
      <c r="C928" s="110"/>
      <c r="E928" s="220"/>
      <c r="L928" s="277"/>
      <c r="N928" s="147"/>
      <c r="O928" s="148"/>
      <c r="S928" s="277"/>
      <c r="T928" s="68"/>
      <c r="V928" s="279"/>
      <c r="X928" s="277"/>
      <c r="Y928" s="453"/>
      <c r="Z928" s="280"/>
      <c r="AA928" s="277"/>
      <c r="AB928" s="277"/>
      <c r="AC928" s="277"/>
      <c r="AD928" s="110"/>
      <c r="AE928" s="147"/>
      <c r="AF928" s="147"/>
      <c r="AG928" s="281"/>
      <c r="AH928" s="111"/>
      <c r="AI928" s="111"/>
    </row>
    <row r="929" spans="2:35">
      <c r="B929" s="273"/>
      <c r="C929" s="110"/>
      <c r="E929" s="220"/>
      <c r="L929" s="277"/>
      <c r="N929" s="147"/>
      <c r="O929" s="148"/>
      <c r="S929" s="277"/>
      <c r="T929" s="68"/>
      <c r="V929" s="279"/>
      <c r="X929" s="277"/>
      <c r="Y929" s="453"/>
      <c r="Z929" s="280"/>
      <c r="AA929" s="277"/>
      <c r="AB929" s="277"/>
      <c r="AC929" s="277"/>
      <c r="AD929" s="110"/>
      <c r="AE929" s="147"/>
      <c r="AF929" s="147"/>
      <c r="AG929" s="281"/>
      <c r="AH929" s="111"/>
      <c r="AI929" s="111"/>
    </row>
    <row r="930" spans="2:35">
      <c r="B930" s="273"/>
      <c r="C930" s="110"/>
      <c r="E930" s="220"/>
      <c r="L930" s="277"/>
      <c r="N930" s="147"/>
      <c r="O930" s="148"/>
      <c r="S930" s="277"/>
      <c r="T930" s="68"/>
      <c r="V930" s="279"/>
      <c r="X930" s="277"/>
      <c r="Y930" s="453"/>
      <c r="Z930" s="280"/>
      <c r="AA930" s="277"/>
      <c r="AB930" s="277"/>
      <c r="AC930" s="277"/>
      <c r="AD930" s="110"/>
      <c r="AE930" s="147"/>
      <c r="AF930" s="147"/>
      <c r="AG930" s="281"/>
      <c r="AH930" s="111"/>
      <c r="AI930" s="111"/>
    </row>
    <row r="931" spans="2:35">
      <c r="B931" s="273"/>
      <c r="C931" s="110"/>
      <c r="E931" s="220"/>
      <c r="L931" s="277"/>
      <c r="N931" s="147"/>
      <c r="O931" s="148"/>
      <c r="S931" s="277"/>
      <c r="T931" s="68"/>
      <c r="V931" s="279"/>
      <c r="X931" s="277"/>
      <c r="Y931" s="453"/>
      <c r="Z931" s="280"/>
      <c r="AA931" s="277"/>
      <c r="AB931" s="277"/>
      <c r="AC931" s="277"/>
      <c r="AD931" s="110"/>
      <c r="AE931" s="147"/>
      <c r="AF931" s="147"/>
      <c r="AG931" s="281"/>
      <c r="AH931" s="111"/>
      <c r="AI931" s="111"/>
    </row>
    <row r="932" spans="2:35">
      <c r="B932" s="273"/>
      <c r="C932" s="110"/>
      <c r="E932" s="220"/>
      <c r="L932" s="277"/>
      <c r="N932" s="147"/>
      <c r="O932" s="148"/>
      <c r="S932" s="277"/>
      <c r="T932" s="68"/>
      <c r="V932" s="279"/>
      <c r="X932" s="277"/>
      <c r="Y932" s="453"/>
      <c r="Z932" s="280"/>
      <c r="AA932" s="277"/>
      <c r="AB932" s="277"/>
      <c r="AC932" s="277"/>
      <c r="AD932" s="110"/>
      <c r="AE932" s="147"/>
      <c r="AF932" s="147"/>
      <c r="AG932" s="281"/>
      <c r="AH932" s="111"/>
      <c r="AI932" s="111"/>
    </row>
    <row r="933" spans="2:35">
      <c r="B933" s="273"/>
      <c r="C933" s="110"/>
      <c r="E933" s="220"/>
      <c r="L933" s="277"/>
      <c r="N933" s="147"/>
      <c r="O933" s="148"/>
      <c r="S933" s="277"/>
      <c r="T933" s="68"/>
      <c r="V933" s="279"/>
      <c r="X933" s="277"/>
      <c r="Y933" s="453"/>
      <c r="Z933" s="280"/>
      <c r="AA933" s="277"/>
      <c r="AB933" s="277"/>
      <c r="AC933" s="277"/>
      <c r="AD933" s="110"/>
      <c r="AE933" s="147"/>
      <c r="AF933" s="147"/>
      <c r="AG933" s="281"/>
      <c r="AH933" s="111"/>
      <c r="AI933" s="111"/>
    </row>
    <row r="934" spans="2:35">
      <c r="B934" s="273"/>
      <c r="C934" s="110"/>
      <c r="E934" s="220"/>
      <c r="L934" s="277"/>
      <c r="N934" s="147"/>
      <c r="O934" s="148"/>
      <c r="S934" s="277"/>
      <c r="T934" s="68"/>
      <c r="V934" s="279"/>
      <c r="X934" s="277"/>
      <c r="Y934" s="453"/>
      <c r="Z934" s="280"/>
      <c r="AA934" s="277"/>
      <c r="AB934" s="277"/>
      <c r="AC934" s="277"/>
      <c r="AD934" s="110"/>
      <c r="AE934" s="147"/>
      <c r="AF934" s="147"/>
      <c r="AG934" s="281"/>
      <c r="AH934" s="111"/>
      <c r="AI934" s="111"/>
    </row>
    <row r="935" spans="2:35">
      <c r="B935" s="273"/>
      <c r="C935" s="110"/>
      <c r="E935" s="220"/>
      <c r="L935" s="277"/>
      <c r="N935" s="147"/>
      <c r="O935" s="148"/>
      <c r="S935" s="277"/>
      <c r="T935" s="68"/>
      <c r="V935" s="279"/>
      <c r="X935" s="277"/>
      <c r="Y935" s="453"/>
      <c r="Z935" s="280"/>
      <c r="AA935" s="277"/>
      <c r="AB935" s="277"/>
      <c r="AC935" s="277"/>
      <c r="AD935" s="110"/>
      <c r="AE935" s="147"/>
      <c r="AF935" s="147"/>
      <c r="AG935" s="281"/>
      <c r="AH935" s="111"/>
      <c r="AI935" s="111"/>
    </row>
    <row r="936" spans="2:35">
      <c r="B936" s="273"/>
      <c r="C936" s="110"/>
      <c r="E936" s="220"/>
      <c r="L936" s="277"/>
      <c r="N936" s="147"/>
      <c r="O936" s="148"/>
      <c r="S936" s="277"/>
      <c r="T936" s="68"/>
      <c r="V936" s="279"/>
      <c r="X936" s="277"/>
      <c r="Y936" s="453"/>
      <c r="Z936" s="280"/>
      <c r="AA936" s="277"/>
      <c r="AB936" s="277"/>
      <c r="AC936" s="277"/>
      <c r="AD936" s="110"/>
      <c r="AE936" s="147"/>
      <c r="AF936" s="147"/>
      <c r="AG936" s="281"/>
      <c r="AH936" s="111"/>
      <c r="AI936" s="111"/>
    </row>
    <row r="937" spans="2:35">
      <c r="B937" s="273"/>
      <c r="C937" s="110"/>
      <c r="E937" s="220"/>
      <c r="L937" s="277"/>
      <c r="N937" s="147"/>
      <c r="O937" s="148"/>
      <c r="S937" s="277"/>
      <c r="T937" s="68"/>
      <c r="V937" s="279"/>
      <c r="X937" s="277"/>
      <c r="Y937" s="453"/>
      <c r="Z937" s="280"/>
      <c r="AA937" s="277"/>
      <c r="AB937" s="277"/>
      <c r="AC937" s="277"/>
      <c r="AD937" s="110"/>
      <c r="AE937" s="147"/>
      <c r="AF937" s="147"/>
      <c r="AG937" s="281"/>
      <c r="AH937" s="111"/>
      <c r="AI937" s="111"/>
    </row>
    <row r="938" spans="2:35">
      <c r="B938" s="273"/>
      <c r="C938" s="110"/>
      <c r="E938" s="220"/>
      <c r="L938" s="277"/>
      <c r="N938" s="147"/>
      <c r="O938" s="148"/>
      <c r="S938" s="277"/>
      <c r="T938" s="68"/>
      <c r="V938" s="279"/>
      <c r="X938" s="277"/>
      <c r="Y938" s="453"/>
      <c r="Z938" s="280"/>
      <c r="AA938" s="277"/>
      <c r="AB938" s="277"/>
      <c r="AC938" s="277"/>
      <c r="AD938" s="110"/>
      <c r="AE938" s="147"/>
      <c r="AF938" s="147"/>
      <c r="AG938" s="281"/>
      <c r="AH938" s="111"/>
      <c r="AI938" s="111"/>
    </row>
    <row r="939" spans="2:35">
      <c r="B939" s="273"/>
      <c r="C939" s="110"/>
      <c r="E939" s="220"/>
      <c r="L939" s="277"/>
      <c r="N939" s="147"/>
      <c r="O939" s="148"/>
      <c r="S939" s="277"/>
      <c r="T939" s="68"/>
      <c r="V939" s="279"/>
      <c r="X939" s="277"/>
      <c r="Y939" s="453"/>
      <c r="Z939" s="280"/>
      <c r="AA939" s="277"/>
      <c r="AB939" s="277"/>
      <c r="AC939" s="277"/>
      <c r="AD939" s="110"/>
      <c r="AE939" s="147"/>
      <c r="AF939" s="147"/>
      <c r="AG939" s="281"/>
      <c r="AH939" s="111"/>
      <c r="AI939" s="111"/>
    </row>
    <row r="940" spans="2:35">
      <c r="B940" s="273"/>
      <c r="C940" s="110"/>
      <c r="E940" s="220"/>
      <c r="L940" s="277"/>
      <c r="N940" s="147"/>
      <c r="O940" s="148"/>
      <c r="S940" s="277"/>
      <c r="T940" s="68"/>
      <c r="V940" s="279"/>
      <c r="X940" s="277"/>
      <c r="Y940" s="453"/>
      <c r="Z940" s="280"/>
      <c r="AA940" s="277"/>
      <c r="AB940" s="277"/>
      <c r="AC940" s="277"/>
      <c r="AD940" s="110"/>
      <c r="AE940" s="147"/>
      <c r="AF940" s="147"/>
      <c r="AG940" s="281"/>
      <c r="AH940" s="111"/>
      <c r="AI940" s="111"/>
    </row>
    <row r="941" spans="2:35">
      <c r="B941" s="273"/>
      <c r="C941" s="110"/>
      <c r="E941" s="220"/>
      <c r="L941" s="277"/>
      <c r="N941" s="147"/>
      <c r="O941" s="148"/>
      <c r="S941" s="277"/>
      <c r="T941" s="68"/>
      <c r="V941" s="279"/>
      <c r="X941" s="277"/>
      <c r="Y941" s="453"/>
      <c r="Z941" s="280"/>
      <c r="AA941" s="277"/>
      <c r="AB941" s="277"/>
      <c r="AC941" s="277"/>
      <c r="AD941" s="110"/>
      <c r="AE941" s="147"/>
      <c r="AF941" s="147"/>
      <c r="AG941" s="281"/>
      <c r="AH941" s="111"/>
      <c r="AI941" s="111"/>
    </row>
    <row r="942" spans="2:35">
      <c r="B942" s="273"/>
      <c r="C942" s="110"/>
      <c r="E942" s="220"/>
      <c r="L942" s="277"/>
      <c r="N942" s="147"/>
      <c r="O942" s="148"/>
      <c r="S942" s="277"/>
      <c r="T942" s="68"/>
      <c r="V942" s="279"/>
      <c r="X942" s="277"/>
      <c r="Y942" s="453"/>
      <c r="Z942" s="280"/>
      <c r="AA942" s="277"/>
      <c r="AB942" s="277"/>
      <c r="AC942" s="277"/>
      <c r="AD942" s="110"/>
      <c r="AE942" s="147"/>
      <c r="AF942" s="147"/>
      <c r="AG942" s="281"/>
      <c r="AH942" s="111"/>
      <c r="AI942" s="111"/>
    </row>
    <row r="943" spans="2:35">
      <c r="B943" s="273"/>
      <c r="C943" s="110"/>
      <c r="E943" s="220"/>
      <c r="L943" s="277"/>
      <c r="N943" s="147"/>
      <c r="O943" s="148"/>
      <c r="S943" s="277"/>
      <c r="T943" s="68"/>
      <c r="V943" s="279"/>
      <c r="X943" s="277"/>
      <c r="Y943" s="453"/>
      <c r="Z943" s="280"/>
      <c r="AA943" s="277"/>
      <c r="AB943" s="277"/>
      <c r="AC943" s="277"/>
      <c r="AD943" s="110"/>
      <c r="AE943" s="147"/>
      <c r="AF943" s="147"/>
      <c r="AG943" s="281"/>
      <c r="AH943" s="111"/>
      <c r="AI943" s="111"/>
    </row>
    <row r="944" spans="2:35">
      <c r="B944" s="273"/>
      <c r="C944" s="110"/>
      <c r="E944" s="220"/>
      <c r="L944" s="277"/>
      <c r="N944" s="147"/>
      <c r="O944" s="148"/>
      <c r="S944" s="277"/>
      <c r="T944" s="68"/>
      <c r="V944" s="279"/>
      <c r="X944" s="277"/>
      <c r="Y944" s="453"/>
      <c r="Z944" s="280"/>
      <c r="AA944" s="277"/>
      <c r="AB944" s="277"/>
      <c r="AC944" s="277"/>
      <c r="AD944" s="110"/>
      <c r="AE944" s="147"/>
      <c r="AF944" s="147"/>
      <c r="AG944" s="281"/>
      <c r="AH944" s="111"/>
      <c r="AI944" s="111"/>
    </row>
    <row r="945" spans="2:35">
      <c r="B945" s="273"/>
      <c r="C945" s="110"/>
      <c r="E945" s="220"/>
      <c r="L945" s="277"/>
      <c r="N945" s="147"/>
      <c r="O945" s="148"/>
      <c r="S945" s="277"/>
      <c r="T945" s="68"/>
      <c r="V945" s="279"/>
      <c r="X945" s="277"/>
      <c r="Y945" s="453"/>
      <c r="Z945" s="280"/>
      <c r="AA945" s="277"/>
      <c r="AB945" s="277"/>
      <c r="AC945" s="277"/>
      <c r="AD945" s="110"/>
      <c r="AE945" s="147"/>
      <c r="AF945" s="147"/>
      <c r="AG945" s="281"/>
      <c r="AH945" s="111"/>
      <c r="AI945" s="111"/>
    </row>
    <row r="946" spans="2:35">
      <c r="B946" s="273"/>
      <c r="C946" s="110"/>
      <c r="E946" s="220"/>
      <c r="L946" s="277"/>
      <c r="N946" s="147"/>
      <c r="O946" s="148"/>
      <c r="S946" s="277"/>
      <c r="T946" s="68"/>
      <c r="V946" s="279"/>
      <c r="X946" s="277"/>
      <c r="Y946" s="453"/>
      <c r="Z946" s="280"/>
      <c r="AA946" s="277"/>
      <c r="AB946" s="277"/>
      <c r="AC946" s="277"/>
      <c r="AD946" s="110"/>
      <c r="AE946" s="147"/>
      <c r="AF946" s="147"/>
      <c r="AG946" s="281"/>
      <c r="AH946" s="111"/>
      <c r="AI946" s="111"/>
    </row>
    <row r="947" spans="2:35">
      <c r="B947" s="273"/>
      <c r="C947" s="110"/>
      <c r="E947" s="220"/>
      <c r="L947" s="277"/>
      <c r="N947" s="147"/>
      <c r="O947" s="148"/>
      <c r="S947" s="277"/>
      <c r="T947" s="68"/>
      <c r="V947" s="279"/>
      <c r="X947" s="277"/>
      <c r="Y947" s="453"/>
      <c r="Z947" s="280"/>
      <c r="AA947" s="277"/>
      <c r="AB947" s="277"/>
      <c r="AC947" s="277"/>
      <c r="AD947" s="110"/>
      <c r="AE947" s="147"/>
      <c r="AF947" s="147"/>
      <c r="AG947" s="281"/>
      <c r="AH947" s="111"/>
      <c r="AI947" s="111"/>
    </row>
    <row r="948" spans="2:35">
      <c r="B948" s="273"/>
      <c r="C948" s="110"/>
      <c r="E948" s="220"/>
      <c r="L948" s="277"/>
      <c r="N948" s="147"/>
      <c r="O948" s="148"/>
      <c r="S948" s="277"/>
      <c r="T948" s="68"/>
      <c r="V948" s="279"/>
      <c r="X948" s="277"/>
      <c r="Y948" s="453"/>
      <c r="Z948" s="280"/>
      <c r="AA948" s="277"/>
      <c r="AB948" s="277"/>
      <c r="AC948" s="277"/>
      <c r="AD948" s="110"/>
      <c r="AE948" s="147"/>
      <c r="AF948" s="147"/>
      <c r="AG948" s="281"/>
      <c r="AH948" s="111"/>
      <c r="AI948" s="111"/>
    </row>
    <row r="949" spans="2:35">
      <c r="B949" s="273"/>
      <c r="C949" s="110"/>
      <c r="E949" s="220"/>
      <c r="L949" s="277"/>
      <c r="N949" s="147"/>
      <c r="O949" s="148"/>
      <c r="S949" s="277"/>
      <c r="T949" s="68"/>
      <c r="V949" s="279"/>
      <c r="X949" s="277"/>
      <c r="Y949" s="453"/>
      <c r="Z949" s="280"/>
      <c r="AA949" s="277"/>
      <c r="AB949" s="277"/>
      <c r="AC949" s="277"/>
      <c r="AD949" s="110"/>
      <c r="AE949" s="147"/>
      <c r="AF949" s="147"/>
      <c r="AG949" s="281"/>
      <c r="AH949" s="111"/>
      <c r="AI949" s="111"/>
    </row>
    <row r="950" spans="2:35">
      <c r="B950" s="273"/>
      <c r="C950" s="110"/>
      <c r="E950" s="220"/>
      <c r="L950" s="277"/>
      <c r="N950" s="147"/>
      <c r="O950" s="148"/>
      <c r="S950" s="277"/>
      <c r="T950" s="68"/>
      <c r="V950" s="279"/>
      <c r="X950" s="277"/>
      <c r="Y950" s="453"/>
      <c r="Z950" s="280"/>
      <c r="AA950" s="277"/>
      <c r="AB950" s="277"/>
      <c r="AC950" s="277"/>
      <c r="AD950" s="110"/>
      <c r="AE950" s="147"/>
      <c r="AF950" s="147"/>
      <c r="AG950" s="281"/>
      <c r="AH950" s="111"/>
      <c r="AI950" s="111"/>
    </row>
    <row r="951" spans="2:35">
      <c r="B951" s="273"/>
      <c r="C951" s="110"/>
      <c r="E951" s="220"/>
      <c r="L951" s="277"/>
      <c r="N951" s="147"/>
      <c r="O951" s="148"/>
      <c r="S951" s="277"/>
      <c r="T951" s="68"/>
      <c r="V951" s="279"/>
      <c r="X951" s="277"/>
      <c r="Y951" s="453"/>
      <c r="Z951" s="280"/>
      <c r="AA951" s="277"/>
      <c r="AB951" s="277"/>
      <c r="AC951" s="277"/>
      <c r="AD951" s="110"/>
      <c r="AE951" s="147"/>
      <c r="AF951" s="147"/>
      <c r="AG951" s="281"/>
      <c r="AH951" s="111"/>
      <c r="AI951" s="111"/>
    </row>
    <row r="952" spans="2:35">
      <c r="B952" s="273"/>
      <c r="C952" s="110"/>
      <c r="E952" s="220"/>
      <c r="L952" s="277"/>
      <c r="N952" s="147"/>
      <c r="O952" s="148"/>
      <c r="S952" s="277"/>
      <c r="T952" s="68"/>
      <c r="V952" s="279"/>
      <c r="X952" s="277"/>
      <c r="Y952" s="453"/>
      <c r="Z952" s="280"/>
      <c r="AA952" s="277"/>
      <c r="AB952" s="277"/>
      <c r="AC952" s="277"/>
      <c r="AD952" s="110"/>
      <c r="AE952" s="147"/>
      <c r="AF952" s="147"/>
      <c r="AG952" s="281"/>
      <c r="AH952" s="111"/>
      <c r="AI952" s="111"/>
    </row>
    <row r="953" spans="2:35">
      <c r="B953" s="273"/>
      <c r="C953" s="110"/>
      <c r="E953" s="220"/>
      <c r="L953" s="277"/>
      <c r="N953" s="147"/>
      <c r="O953" s="148"/>
      <c r="S953" s="277"/>
      <c r="T953" s="68"/>
      <c r="V953" s="279"/>
      <c r="X953" s="277"/>
      <c r="Y953" s="453"/>
      <c r="Z953" s="280"/>
      <c r="AA953" s="277"/>
      <c r="AB953" s="277"/>
      <c r="AC953" s="277"/>
      <c r="AD953" s="110"/>
      <c r="AE953" s="147"/>
      <c r="AF953" s="147"/>
      <c r="AG953" s="281"/>
      <c r="AH953" s="111"/>
      <c r="AI953" s="111"/>
    </row>
    <row r="954" spans="2:35">
      <c r="B954" s="273"/>
      <c r="C954" s="110"/>
      <c r="E954" s="220"/>
      <c r="L954" s="277"/>
      <c r="N954" s="147"/>
      <c r="O954" s="148"/>
      <c r="S954" s="277"/>
      <c r="T954" s="68"/>
      <c r="V954" s="279"/>
      <c r="X954" s="277"/>
      <c r="Y954" s="453"/>
      <c r="Z954" s="280"/>
      <c r="AA954" s="277"/>
      <c r="AB954" s="277"/>
      <c r="AC954" s="277"/>
      <c r="AD954" s="110"/>
      <c r="AE954" s="147"/>
      <c r="AF954" s="147"/>
      <c r="AG954" s="281"/>
      <c r="AH954" s="111"/>
      <c r="AI954" s="111"/>
    </row>
    <row r="955" spans="2:35">
      <c r="B955" s="273"/>
      <c r="C955" s="110"/>
      <c r="E955" s="220"/>
      <c r="L955" s="277"/>
      <c r="N955" s="147"/>
      <c r="O955" s="148"/>
      <c r="S955" s="277"/>
      <c r="T955" s="68"/>
      <c r="V955" s="279"/>
      <c r="X955" s="277"/>
      <c r="Y955" s="453"/>
      <c r="Z955" s="280"/>
      <c r="AA955" s="277"/>
      <c r="AB955" s="277"/>
      <c r="AC955" s="277"/>
      <c r="AD955" s="110"/>
      <c r="AE955" s="147"/>
      <c r="AF955" s="147"/>
      <c r="AG955" s="281"/>
      <c r="AH955" s="111"/>
      <c r="AI955" s="111"/>
    </row>
    <row r="956" spans="2:35">
      <c r="B956" s="273"/>
      <c r="C956" s="110"/>
      <c r="E956" s="220"/>
      <c r="L956" s="277"/>
      <c r="N956" s="147"/>
      <c r="O956" s="148"/>
      <c r="S956" s="277"/>
      <c r="T956" s="68"/>
      <c r="V956" s="279"/>
      <c r="X956" s="277"/>
      <c r="Y956" s="453"/>
      <c r="Z956" s="280"/>
      <c r="AA956" s="277"/>
      <c r="AB956" s="277"/>
      <c r="AC956" s="277"/>
      <c r="AD956" s="110"/>
      <c r="AE956" s="147"/>
      <c r="AF956" s="147"/>
      <c r="AG956" s="281"/>
      <c r="AH956" s="111"/>
      <c r="AI956" s="111"/>
    </row>
    <row r="957" spans="2:35">
      <c r="B957" s="273"/>
      <c r="C957" s="110"/>
      <c r="E957" s="220"/>
      <c r="L957" s="277"/>
      <c r="N957" s="147"/>
      <c r="O957" s="148"/>
      <c r="S957" s="277"/>
      <c r="T957" s="68"/>
      <c r="V957" s="279"/>
      <c r="X957" s="277"/>
      <c r="Y957" s="453"/>
      <c r="Z957" s="280"/>
      <c r="AA957" s="277"/>
      <c r="AB957" s="277"/>
      <c r="AC957" s="277"/>
      <c r="AD957" s="110"/>
      <c r="AE957" s="147"/>
      <c r="AF957" s="147"/>
      <c r="AG957" s="281"/>
      <c r="AH957" s="111"/>
      <c r="AI957" s="111"/>
    </row>
    <row r="958" spans="2:35">
      <c r="B958" s="273"/>
      <c r="C958" s="110"/>
      <c r="E958" s="220"/>
      <c r="L958" s="277"/>
      <c r="N958" s="147"/>
      <c r="O958" s="148"/>
      <c r="S958" s="277"/>
      <c r="T958" s="68"/>
      <c r="V958" s="279"/>
      <c r="X958" s="277"/>
      <c r="Y958" s="453"/>
      <c r="Z958" s="280"/>
      <c r="AA958" s="277"/>
      <c r="AB958" s="277"/>
      <c r="AC958" s="277"/>
      <c r="AD958" s="110"/>
      <c r="AE958" s="147"/>
      <c r="AF958" s="147"/>
      <c r="AG958" s="281"/>
      <c r="AH958" s="111"/>
      <c r="AI958" s="111"/>
    </row>
    <row r="959" spans="2:35">
      <c r="B959" s="273"/>
      <c r="C959" s="110"/>
      <c r="E959" s="220"/>
      <c r="L959" s="277"/>
      <c r="N959" s="147"/>
      <c r="O959" s="148"/>
      <c r="S959" s="277"/>
      <c r="T959" s="68"/>
      <c r="V959" s="279"/>
      <c r="X959" s="277"/>
      <c r="Y959" s="453"/>
      <c r="Z959" s="280"/>
      <c r="AA959" s="277"/>
      <c r="AB959" s="277"/>
      <c r="AC959" s="277"/>
      <c r="AD959" s="110"/>
      <c r="AE959" s="147"/>
      <c r="AF959" s="147"/>
      <c r="AG959" s="281"/>
      <c r="AH959" s="111"/>
      <c r="AI959" s="111"/>
    </row>
    <row r="960" spans="2:35">
      <c r="B960" s="273"/>
      <c r="C960" s="110"/>
      <c r="E960" s="220"/>
      <c r="L960" s="277"/>
      <c r="N960" s="147"/>
      <c r="O960" s="148"/>
      <c r="S960" s="277"/>
      <c r="T960" s="68"/>
      <c r="V960" s="279"/>
      <c r="X960" s="277"/>
      <c r="Y960" s="453"/>
      <c r="Z960" s="280"/>
      <c r="AA960" s="277"/>
      <c r="AB960" s="277"/>
      <c r="AC960" s="277"/>
      <c r="AD960" s="110"/>
      <c r="AE960" s="147"/>
      <c r="AF960" s="147"/>
      <c r="AG960" s="281"/>
      <c r="AH960" s="111"/>
      <c r="AI960" s="111"/>
    </row>
    <row r="961" spans="2:35">
      <c r="B961" s="273"/>
      <c r="C961" s="110"/>
      <c r="E961" s="220"/>
      <c r="L961" s="277"/>
      <c r="N961" s="147"/>
      <c r="O961" s="148"/>
      <c r="S961" s="277"/>
      <c r="T961" s="68"/>
      <c r="V961" s="279"/>
      <c r="X961" s="277"/>
      <c r="Y961" s="453"/>
      <c r="Z961" s="280"/>
      <c r="AA961" s="277"/>
      <c r="AB961" s="277"/>
      <c r="AC961" s="277"/>
      <c r="AD961" s="110"/>
      <c r="AE961" s="147"/>
      <c r="AF961" s="147"/>
      <c r="AG961" s="281"/>
      <c r="AH961" s="111"/>
      <c r="AI961" s="111"/>
    </row>
    <row r="962" spans="2:35">
      <c r="B962" s="273"/>
      <c r="C962" s="110"/>
      <c r="E962" s="220"/>
      <c r="L962" s="277"/>
      <c r="N962" s="147"/>
      <c r="O962" s="148"/>
      <c r="S962" s="277"/>
      <c r="T962" s="68"/>
      <c r="V962" s="279"/>
      <c r="X962" s="277"/>
      <c r="Y962" s="453"/>
      <c r="Z962" s="280"/>
      <c r="AA962" s="277"/>
      <c r="AB962" s="277"/>
      <c r="AC962" s="277"/>
      <c r="AD962" s="110"/>
      <c r="AE962" s="147"/>
      <c r="AF962" s="147"/>
      <c r="AG962" s="281"/>
      <c r="AH962" s="111"/>
      <c r="AI962" s="111"/>
    </row>
    <row r="963" spans="2:35">
      <c r="B963" s="273"/>
      <c r="C963" s="110"/>
      <c r="E963" s="220"/>
      <c r="L963" s="277"/>
      <c r="N963" s="147"/>
      <c r="O963" s="148"/>
      <c r="S963" s="277"/>
      <c r="T963" s="68"/>
      <c r="V963" s="279"/>
      <c r="X963" s="277"/>
      <c r="Y963" s="453"/>
      <c r="Z963" s="280"/>
      <c r="AA963" s="277"/>
      <c r="AB963" s="277"/>
      <c r="AC963" s="277"/>
      <c r="AD963" s="110"/>
      <c r="AE963" s="147"/>
      <c r="AF963" s="147"/>
      <c r="AG963" s="281"/>
      <c r="AH963" s="111"/>
      <c r="AI963" s="111"/>
    </row>
    <row r="964" spans="2:35">
      <c r="B964" s="273"/>
      <c r="C964" s="110"/>
      <c r="E964" s="220"/>
      <c r="L964" s="277"/>
      <c r="N964" s="147"/>
      <c r="O964" s="148"/>
      <c r="S964" s="277"/>
      <c r="T964" s="68"/>
      <c r="V964" s="279"/>
      <c r="X964" s="277"/>
      <c r="Y964" s="453"/>
      <c r="Z964" s="280"/>
      <c r="AA964" s="277"/>
      <c r="AB964" s="277"/>
      <c r="AC964" s="277"/>
      <c r="AD964" s="110"/>
      <c r="AE964" s="147"/>
      <c r="AF964" s="147"/>
      <c r="AG964" s="281"/>
      <c r="AH964" s="111"/>
      <c r="AI964" s="111"/>
    </row>
    <row r="965" spans="2:35">
      <c r="B965" s="273"/>
      <c r="C965" s="110"/>
      <c r="E965" s="220"/>
      <c r="L965" s="277"/>
      <c r="N965" s="147"/>
      <c r="O965" s="148"/>
      <c r="S965" s="277"/>
      <c r="T965" s="68"/>
      <c r="V965" s="279"/>
      <c r="X965" s="277"/>
      <c r="Y965" s="453"/>
      <c r="Z965" s="280"/>
      <c r="AA965" s="277"/>
      <c r="AB965" s="277"/>
      <c r="AC965" s="277"/>
      <c r="AD965" s="110"/>
      <c r="AE965" s="147"/>
      <c r="AF965" s="147"/>
      <c r="AG965" s="281"/>
      <c r="AH965" s="111"/>
      <c r="AI965" s="111"/>
    </row>
    <row r="966" spans="2:35">
      <c r="B966" s="273"/>
      <c r="C966" s="110"/>
      <c r="E966" s="220"/>
      <c r="L966" s="277"/>
      <c r="N966" s="147"/>
      <c r="O966" s="148"/>
      <c r="S966" s="277"/>
      <c r="T966" s="68"/>
      <c r="V966" s="279"/>
      <c r="X966" s="277"/>
      <c r="Y966" s="453"/>
      <c r="Z966" s="280"/>
      <c r="AA966" s="277"/>
      <c r="AB966" s="277"/>
      <c r="AC966" s="277"/>
      <c r="AD966" s="110"/>
      <c r="AE966" s="147"/>
      <c r="AF966" s="147"/>
      <c r="AG966" s="281"/>
      <c r="AH966" s="111"/>
      <c r="AI966" s="111"/>
    </row>
    <row r="967" spans="2:35">
      <c r="B967" s="273"/>
      <c r="C967" s="110"/>
      <c r="E967" s="220"/>
      <c r="L967" s="277"/>
      <c r="N967" s="147"/>
      <c r="O967" s="148"/>
      <c r="S967" s="277"/>
      <c r="T967" s="68"/>
      <c r="V967" s="279"/>
      <c r="X967" s="277"/>
      <c r="Y967" s="453"/>
      <c r="Z967" s="280"/>
      <c r="AA967" s="277"/>
      <c r="AB967" s="277"/>
      <c r="AC967" s="277"/>
      <c r="AD967" s="110"/>
      <c r="AE967" s="147"/>
      <c r="AF967" s="147"/>
      <c r="AG967" s="281"/>
      <c r="AH967" s="111"/>
      <c r="AI967" s="111"/>
    </row>
    <row r="968" spans="2:35">
      <c r="B968" s="273"/>
      <c r="C968" s="110"/>
      <c r="E968" s="220"/>
      <c r="L968" s="277"/>
      <c r="N968" s="147"/>
      <c r="O968" s="148"/>
      <c r="S968" s="277"/>
      <c r="T968" s="68"/>
      <c r="V968" s="279"/>
      <c r="X968" s="277"/>
      <c r="Y968" s="453"/>
      <c r="Z968" s="280"/>
      <c r="AA968" s="277"/>
      <c r="AB968" s="277"/>
      <c r="AC968" s="277"/>
      <c r="AD968" s="110"/>
      <c r="AE968" s="147"/>
      <c r="AF968" s="147"/>
      <c r="AG968" s="281"/>
      <c r="AH968" s="111"/>
      <c r="AI968" s="111"/>
    </row>
    <row r="969" spans="2:35">
      <c r="B969" s="273"/>
      <c r="C969" s="110"/>
      <c r="E969" s="220"/>
      <c r="L969" s="277"/>
      <c r="N969" s="147"/>
      <c r="O969" s="148"/>
      <c r="S969" s="277"/>
      <c r="T969" s="68"/>
      <c r="V969" s="279"/>
      <c r="X969" s="277"/>
      <c r="Y969" s="453"/>
      <c r="Z969" s="280"/>
      <c r="AA969" s="277"/>
      <c r="AB969" s="277"/>
      <c r="AC969" s="277"/>
      <c r="AD969" s="110"/>
      <c r="AE969" s="147"/>
      <c r="AF969" s="147"/>
      <c r="AG969" s="281"/>
      <c r="AH969" s="111"/>
      <c r="AI969" s="111"/>
    </row>
    <row r="970" spans="2:35">
      <c r="B970" s="273"/>
      <c r="C970" s="110"/>
      <c r="E970" s="220"/>
      <c r="L970" s="277"/>
      <c r="N970" s="147"/>
      <c r="O970" s="148"/>
      <c r="S970" s="277"/>
      <c r="T970" s="68"/>
      <c r="V970" s="279"/>
      <c r="X970" s="277"/>
      <c r="Y970" s="453"/>
      <c r="Z970" s="280"/>
      <c r="AA970" s="277"/>
      <c r="AB970" s="277"/>
      <c r="AC970" s="277"/>
      <c r="AD970" s="110"/>
      <c r="AE970" s="147"/>
      <c r="AF970" s="147"/>
      <c r="AG970" s="281"/>
      <c r="AH970" s="111"/>
      <c r="AI970" s="111"/>
    </row>
    <row r="971" spans="2:35">
      <c r="B971" s="273"/>
      <c r="C971" s="110"/>
      <c r="E971" s="220"/>
      <c r="L971" s="277"/>
      <c r="N971" s="147"/>
      <c r="O971" s="148"/>
      <c r="S971" s="277"/>
      <c r="T971" s="68"/>
      <c r="V971" s="279"/>
      <c r="X971" s="277"/>
      <c r="Y971" s="453"/>
      <c r="Z971" s="280"/>
      <c r="AA971" s="277"/>
      <c r="AB971" s="277"/>
      <c r="AC971" s="277"/>
      <c r="AD971" s="110"/>
      <c r="AE971" s="147"/>
      <c r="AF971" s="147"/>
      <c r="AG971" s="281"/>
      <c r="AH971" s="111"/>
      <c r="AI971" s="111"/>
    </row>
    <row r="972" spans="2:35">
      <c r="B972" s="273"/>
      <c r="C972" s="110"/>
      <c r="E972" s="220"/>
      <c r="L972" s="277"/>
      <c r="N972" s="147"/>
      <c r="O972" s="148"/>
      <c r="S972" s="277"/>
      <c r="T972" s="68"/>
      <c r="V972" s="279"/>
      <c r="X972" s="277"/>
      <c r="Y972" s="453"/>
      <c r="Z972" s="280"/>
      <c r="AA972" s="277"/>
      <c r="AB972" s="277"/>
      <c r="AC972" s="277"/>
      <c r="AD972" s="110"/>
      <c r="AE972" s="147"/>
      <c r="AF972" s="147"/>
      <c r="AG972" s="281"/>
      <c r="AH972" s="111"/>
      <c r="AI972" s="111"/>
    </row>
    <row r="973" spans="2:35">
      <c r="B973" s="273"/>
      <c r="C973" s="110"/>
      <c r="E973" s="220"/>
      <c r="L973" s="277"/>
      <c r="N973" s="147"/>
      <c r="O973" s="148"/>
      <c r="S973" s="277"/>
      <c r="T973" s="68"/>
      <c r="V973" s="279"/>
      <c r="X973" s="277"/>
      <c r="Y973" s="453"/>
      <c r="Z973" s="280"/>
      <c r="AA973" s="277"/>
      <c r="AB973" s="277"/>
      <c r="AC973" s="277"/>
      <c r="AD973" s="110"/>
      <c r="AE973" s="147"/>
      <c r="AF973" s="147"/>
      <c r="AG973" s="281"/>
      <c r="AH973" s="111"/>
      <c r="AI973" s="111"/>
    </row>
    <row r="974" spans="2:35">
      <c r="B974" s="273"/>
      <c r="C974" s="110"/>
      <c r="E974" s="220"/>
      <c r="L974" s="277"/>
      <c r="N974" s="147"/>
      <c r="O974" s="148"/>
      <c r="S974" s="277"/>
      <c r="T974" s="68"/>
      <c r="V974" s="279"/>
      <c r="X974" s="277"/>
      <c r="Y974" s="453"/>
      <c r="Z974" s="280"/>
      <c r="AA974" s="277"/>
      <c r="AB974" s="277"/>
      <c r="AC974" s="277"/>
      <c r="AD974" s="110"/>
      <c r="AE974" s="147"/>
      <c r="AF974" s="147"/>
      <c r="AG974" s="281"/>
      <c r="AH974" s="111"/>
      <c r="AI974" s="111"/>
    </row>
    <row r="975" spans="2:35">
      <c r="B975" s="273"/>
      <c r="C975" s="110"/>
      <c r="E975" s="220"/>
      <c r="L975" s="277"/>
      <c r="N975" s="147"/>
      <c r="O975" s="148"/>
      <c r="S975" s="277"/>
      <c r="T975" s="68"/>
      <c r="V975" s="279"/>
      <c r="X975" s="277"/>
      <c r="Y975" s="453"/>
      <c r="Z975" s="280"/>
      <c r="AA975" s="277"/>
      <c r="AB975" s="277"/>
      <c r="AC975" s="277"/>
      <c r="AD975" s="110"/>
      <c r="AE975" s="147"/>
      <c r="AF975" s="147"/>
      <c r="AG975" s="281"/>
      <c r="AH975" s="111"/>
      <c r="AI975" s="111"/>
    </row>
    <row r="976" spans="2:35">
      <c r="B976" s="273"/>
      <c r="C976" s="110"/>
      <c r="E976" s="220"/>
      <c r="L976" s="277"/>
      <c r="N976" s="147"/>
      <c r="O976" s="148"/>
      <c r="S976" s="277"/>
      <c r="T976" s="68"/>
      <c r="V976" s="279"/>
      <c r="X976" s="277"/>
      <c r="Y976" s="453"/>
      <c r="Z976" s="280"/>
      <c r="AA976" s="277"/>
      <c r="AB976" s="277"/>
      <c r="AC976" s="277"/>
      <c r="AD976" s="110"/>
      <c r="AE976" s="147"/>
      <c r="AF976" s="147"/>
      <c r="AG976" s="281"/>
      <c r="AH976" s="111"/>
      <c r="AI976" s="111"/>
    </row>
    <row r="977" spans="2:35">
      <c r="B977" s="273"/>
      <c r="C977" s="110"/>
      <c r="E977" s="220"/>
      <c r="L977" s="277"/>
      <c r="N977" s="147"/>
      <c r="O977" s="148"/>
      <c r="S977" s="277"/>
      <c r="T977" s="68"/>
      <c r="V977" s="279"/>
      <c r="X977" s="277"/>
      <c r="Y977" s="453"/>
      <c r="Z977" s="280"/>
      <c r="AA977" s="277"/>
      <c r="AB977" s="277"/>
      <c r="AC977" s="277"/>
      <c r="AD977" s="110"/>
      <c r="AE977" s="147"/>
      <c r="AF977" s="147"/>
      <c r="AG977" s="281"/>
      <c r="AH977" s="111"/>
      <c r="AI977" s="111"/>
    </row>
    <row r="978" spans="2:35">
      <c r="B978" s="273"/>
      <c r="C978" s="110"/>
      <c r="E978" s="220"/>
      <c r="L978" s="277"/>
      <c r="N978" s="147"/>
      <c r="O978" s="148"/>
      <c r="S978" s="277"/>
      <c r="T978" s="68"/>
      <c r="V978" s="279"/>
      <c r="X978" s="277"/>
      <c r="Y978" s="453"/>
      <c r="Z978" s="280"/>
      <c r="AA978" s="277"/>
      <c r="AB978" s="277"/>
      <c r="AC978" s="277"/>
      <c r="AD978" s="110"/>
      <c r="AE978" s="147"/>
      <c r="AF978" s="147"/>
      <c r="AG978" s="281"/>
      <c r="AH978" s="111"/>
      <c r="AI978" s="111"/>
    </row>
    <row r="979" spans="2:35">
      <c r="B979" s="273"/>
      <c r="C979" s="110"/>
      <c r="E979" s="220"/>
      <c r="L979" s="277"/>
      <c r="N979" s="147"/>
      <c r="O979" s="148"/>
      <c r="S979" s="277"/>
      <c r="T979" s="68"/>
      <c r="V979" s="279"/>
      <c r="X979" s="277"/>
      <c r="Y979" s="453"/>
      <c r="Z979" s="280"/>
      <c r="AA979" s="277"/>
      <c r="AB979" s="277"/>
      <c r="AC979" s="277"/>
      <c r="AD979" s="110"/>
      <c r="AE979" s="147"/>
      <c r="AF979" s="147"/>
      <c r="AG979" s="281"/>
      <c r="AH979" s="111"/>
      <c r="AI979" s="111"/>
    </row>
    <row r="980" spans="2:35">
      <c r="B980" s="273"/>
      <c r="C980" s="110"/>
      <c r="E980" s="220"/>
      <c r="L980" s="277"/>
      <c r="N980" s="147"/>
      <c r="O980" s="148"/>
      <c r="S980" s="277"/>
      <c r="T980" s="68"/>
      <c r="V980" s="279"/>
      <c r="X980" s="277"/>
      <c r="Y980" s="453"/>
      <c r="Z980" s="280"/>
      <c r="AA980" s="277"/>
      <c r="AB980" s="277"/>
      <c r="AC980" s="277"/>
      <c r="AD980" s="110"/>
      <c r="AE980" s="147"/>
      <c r="AF980" s="147"/>
      <c r="AG980" s="281"/>
      <c r="AH980" s="111"/>
      <c r="AI980" s="111"/>
    </row>
    <row r="981" spans="2:35">
      <c r="B981" s="273"/>
      <c r="C981" s="110"/>
      <c r="E981" s="220"/>
      <c r="L981" s="277"/>
      <c r="N981" s="147"/>
      <c r="O981" s="148"/>
      <c r="S981" s="277"/>
      <c r="T981" s="68"/>
      <c r="V981" s="279"/>
      <c r="X981" s="277"/>
      <c r="Y981" s="453"/>
      <c r="Z981" s="280"/>
      <c r="AA981" s="277"/>
      <c r="AB981" s="277"/>
      <c r="AC981" s="277"/>
      <c r="AD981" s="110"/>
      <c r="AE981" s="147"/>
      <c r="AF981" s="147"/>
      <c r="AG981" s="281"/>
      <c r="AH981" s="111"/>
      <c r="AI981" s="111"/>
    </row>
    <row r="982" spans="2:35">
      <c r="B982" s="273"/>
      <c r="C982" s="110"/>
      <c r="E982" s="220"/>
      <c r="L982" s="277"/>
      <c r="N982" s="147"/>
      <c r="O982" s="148"/>
      <c r="S982" s="277"/>
      <c r="T982" s="68"/>
      <c r="V982" s="279"/>
      <c r="X982" s="277"/>
      <c r="Y982" s="453"/>
      <c r="Z982" s="280"/>
      <c r="AA982" s="277"/>
      <c r="AB982" s="277"/>
      <c r="AC982" s="277"/>
      <c r="AD982" s="110"/>
      <c r="AE982" s="147"/>
      <c r="AF982" s="147"/>
      <c r="AG982" s="281"/>
      <c r="AH982" s="111"/>
      <c r="AI982" s="111"/>
    </row>
    <row r="983" spans="2:35">
      <c r="B983" s="273"/>
      <c r="C983" s="110"/>
      <c r="E983" s="220"/>
      <c r="L983" s="277"/>
      <c r="N983" s="147"/>
      <c r="O983" s="148"/>
      <c r="S983" s="277"/>
      <c r="T983" s="68"/>
      <c r="V983" s="279"/>
      <c r="X983" s="277"/>
      <c r="Y983" s="453"/>
      <c r="Z983" s="280"/>
      <c r="AA983" s="277"/>
      <c r="AB983" s="277"/>
      <c r="AC983" s="277"/>
      <c r="AD983" s="110"/>
      <c r="AE983" s="147"/>
      <c r="AF983" s="147"/>
      <c r="AG983" s="281"/>
      <c r="AH983" s="111"/>
      <c r="AI983" s="111"/>
    </row>
    <row r="984" spans="2:35">
      <c r="B984" s="273"/>
      <c r="C984" s="110"/>
      <c r="E984" s="220"/>
      <c r="L984" s="277"/>
      <c r="N984" s="147"/>
      <c r="O984" s="148"/>
      <c r="S984" s="277"/>
      <c r="T984" s="68"/>
      <c r="V984" s="279"/>
      <c r="X984" s="277"/>
      <c r="Y984" s="453"/>
      <c r="Z984" s="280"/>
      <c r="AA984" s="277"/>
      <c r="AB984" s="277"/>
      <c r="AC984" s="277"/>
      <c r="AD984" s="110"/>
      <c r="AE984" s="147"/>
      <c r="AF984" s="147"/>
      <c r="AG984" s="281"/>
      <c r="AH984" s="111"/>
      <c r="AI984" s="111"/>
    </row>
    <row r="985" spans="2:35">
      <c r="B985" s="273"/>
      <c r="C985" s="110"/>
      <c r="E985" s="220"/>
      <c r="L985" s="277"/>
      <c r="N985" s="147"/>
      <c r="O985" s="148"/>
      <c r="S985" s="277"/>
      <c r="T985" s="68"/>
      <c r="V985" s="279"/>
      <c r="X985" s="277"/>
      <c r="Y985" s="453"/>
      <c r="Z985" s="280"/>
      <c r="AA985" s="277"/>
      <c r="AB985" s="277"/>
      <c r="AC985" s="277"/>
      <c r="AD985" s="110"/>
      <c r="AE985" s="147"/>
      <c r="AF985" s="147"/>
      <c r="AG985" s="281"/>
      <c r="AH985" s="111"/>
      <c r="AI985" s="111"/>
    </row>
    <row r="986" spans="2:35">
      <c r="B986" s="273"/>
      <c r="C986" s="110"/>
      <c r="E986" s="220"/>
      <c r="L986" s="277"/>
      <c r="N986" s="147"/>
      <c r="O986" s="148"/>
      <c r="S986" s="277"/>
      <c r="T986" s="68"/>
      <c r="V986" s="279"/>
      <c r="X986" s="277"/>
      <c r="Y986" s="453"/>
      <c r="Z986" s="280"/>
      <c r="AA986" s="277"/>
      <c r="AB986" s="277"/>
      <c r="AC986" s="277"/>
      <c r="AD986" s="110"/>
      <c r="AE986" s="147"/>
      <c r="AF986" s="147"/>
      <c r="AG986" s="281"/>
      <c r="AH986" s="111"/>
      <c r="AI986" s="111"/>
    </row>
    <row r="987" spans="2:35">
      <c r="B987" s="273"/>
      <c r="C987" s="110"/>
      <c r="E987" s="220"/>
      <c r="L987" s="277"/>
      <c r="N987" s="147"/>
      <c r="O987" s="148"/>
      <c r="S987" s="277"/>
      <c r="T987" s="68"/>
      <c r="V987" s="279"/>
      <c r="X987" s="277"/>
      <c r="Y987" s="453"/>
      <c r="Z987" s="280"/>
      <c r="AA987" s="277"/>
      <c r="AB987" s="277"/>
      <c r="AC987" s="277"/>
      <c r="AD987" s="110"/>
      <c r="AE987" s="147"/>
      <c r="AF987" s="147"/>
      <c r="AG987" s="281"/>
      <c r="AH987" s="111"/>
      <c r="AI987" s="111"/>
    </row>
    <row r="988" spans="2:35">
      <c r="B988" s="273"/>
      <c r="C988" s="110"/>
      <c r="E988" s="220"/>
      <c r="L988" s="277"/>
      <c r="N988" s="147"/>
      <c r="O988" s="148"/>
      <c r="S988" s="277"/>
      <c r="T988" s="68"/>
      <c r="V988" s="279"/>
      <c r="X988" s="277"/>
      <c r="Y988" s="453"/>
      <c r="Z988" s="280"/>
      <c r="AA988" s="277"/>
      <c r="AB988" s="277"/>
      <c r="AC988" s="277"/>
      <c r="AD988" s="110"/>
      <c r="AE988" s="147"/>
      <c r="AF988" s="147"/>
      <c r="AG988" s="281"/>
      <c r="AH988" s="111"/>
      <c r="AI988" s="111"/>
    </row>
    <row r="989" spans="2:35">
      <c r="B989" s="273"/>
      <c r="C989" s="110"/>
      <c r="E989" s="220"/>
      <c r="L989" s="277"/>
      <c r="N989" s="147"/>
      <c r="O989" s="148"/>
      <c r="S989" s="277"/>
      <c r="T989" s="68"/>
      <c r="V989" s="279"/>
      <c r="X989" s="277"/>
      <c r="Y989" s="453"/>
      <c r="Z989" s="280"/>
      <c r="AA989" s="277"/>
      <c r="AB989" s="277"/>
      <c r="AC989" s="277"/>
      <c r="AD989" s="110"/>
      <c r="AE989" s="147"/>
      <c r="AF989" s="147"/>
      <c r="AG989" s="281"/>
      <c r="AH989" s="111"/>
      <c r="AI989" s="111"/>
    </row>
    <row r="990" spans="2:35">
      <c r="B990" s="273"/>
      <c r="C990" s="110"/>
      <c r="E990" s="220"/>
      <c r="L990" s="277"/>
      <c r="N990" s="147"/>
      <c r="O990" s="148"/>
      <c r="S990" s="277"/>
      <c r="T990" s="68"/>
      <c r="V990" s="279"/>
      <c r="X990" s="277"/>
      <c r="Y990" s="453"/>
      <c r="Z990" s="280"/>
      <c r="AA990" s="277"/>
      <c r="AB990" s="277"/>
      <c r="AC990" s="277"/>
      <c r="AD990" s="110"/>
      <c r="AE990" s="147"/>
      <c r="AF990" s="147"/>
      <c r="AG990" s="281"/>
      <c r="AH990" s="111"/>
      <c r="AI990" s="111"/>
    </row>
    <row r="991" spans="2:35">
      <c r="B991" s="273"/>
      <c r="C991" s="110"/>
      <c r="E991" s="220"/>
      <c r="L991" s="277"/>
      <c r="N991" s="147"/>
      <c r="O991" s="148"/>
      <c r="S991" s="277"/>
      <c r="T991" s="68"/>
      <c r="V991" s="279"/>
      <c r="X991" s="277"/>
      <c r="Y991" s="453"/>
      <c r="Z991" s="280"/>
      <c r="AA991" s="277"/>
      <c r="AB991" s="277"/>
      <c r="AC991" s="277"/>
      <c r="AD991" s="110"/>
      <c r="AE991" s="147"/>
      <c r="AF991" s="147"/>
      <c r="AG991" s="281"/>
      <c r="AH991" s="111"/>
      <c r="AI991" s="111"/>
    </row>
    <row r="992" spans="2:35">
      <c r="B992" s="273"/>
      <c r="C992" s="110"/>
      <c r="E992" s="220"/>
      <c r="L992" s="277"/>
      <c r="N992" s="147"/>
      <c r="O992" s="148"/>
      <c r="S992" s="277"/>
      <c r="T992" s="68"/>
      <c r="V992" s="279"/>
      <c r="X992" s="277"/>
      <c r="Y992" s="453"/>
      <c r="Z992" s="280"/>
      <c r="AA992" s="277"/>
      <c r="AB992" s="277"/>
      <c r="AC992" s="277"/>
      <c r="AD992" s="110"/>
      <c r="AE992" s="147"/>
      <c r="AF992" s="147"/>
      <c r="AG992" s="281"/>
      <c r="AH992" s="111"/>
      <c r="AI992" s="111"/>
    </row>
    <row r="993" spans="2:35">
      <c r="B993" s="273"/>
      <c r="C993" s="110"/>
      <c r="E993" s="220"/>
      <c r="L993" s="277"/>
      <c r="N993" s="147"/>
      <c r="O993" s="148"/>
      <c r="S993" s="277"/>
      <c r="T993" s="68"/>
      <c r="V993" s="279"/>
      <c r="X993" s="277"/>
      <c r="Y993" s="453"/>
      <c r="Z993" s="280"/>
      <c r="AA993" s="277"/>
      <c r="AB993" s="277"/>
      <c r="AC993" s="277"/>
      <c r="AD993" s="110"/>
      <c r="AE993" s="147"/>
      <c r="AF993" s="147"/>
      <c r="AG993" s="281"/>
      <c r="AH993" s="111"/>
      <c r="AI993" s="111"/>
    </row>
    <row r="994" spans="2:35">
      <c r="B994" s="273"/>
      <c r="C994" s="110"/>
      <c r="E994" s="220"/>
      <c r="L994" s="277"/>
      <c r="N994" s="147"/>
      <c r="O994" s="148"/>
      <c r="S994" s="277"/>
      <c r="T994" s="68"/>
      <c r="V994" s="279"/>
      <c r="X994" s="277"/>
      <c r="Y994" s="453"/>
      <c r="Z994" s="280"/>
      <c r="AA994" s="277"/>
      <c r="AB994" s="277"/>
      <c r="AC994" s="277"/>
      <c r="AD994" s="110"/>
      <c r="AE994" s="147"/>
      <c r="AF994" s="147"/>
      <c r="AG994" s="281"/>
      <c r="AH994" s="111"/>
      <c r="AI994" s="111"/>
    </row>
    <row r="995" spans="2:35">
      <c r="B995" s="273"/>
      <c r="C995" s="110"/>
      <c r="E995" s="220"/>
      <c r="L995" s="277"/>
      <c r="N995" s="147"/>
      <c r="O995" s="148"/>
      <c r="S995" s="277"/>
      <c r="T995" s="68"/>
      <c r="V995" s="279"/>
      <c r="X995" s="277"/>
      <c r="Y995" s="453"/>
      <c r="Z995" s="280"/>
      <c r="AA995" s="277"/>
      <c r="AB995" s="277"/>
      <c r="AC995" s="277"/>
      <c r="AD995" s="110"/>
      <c r="AE995" s="147"/>
      <c r="AF995" s="147"/>
      <c r="AG995" s="281"/>
      <c r="AH995" s="111"/>
      <c r="AI995" s="111"/>
    </row>
    <row r="996" spans="2:35">
      <c r="B996" s="273"/>
      <c r="C996" s="110"/>
      <c r="E996" s="220"/>
      <c r="L996" s="277"/>
      <c r="N996" s="147"/>
      <c r="O996" s="148"/>
      <c r="S996" s="277"/>
      <c r="T996" s="68"/>
      <c r="V996" s="279"/>
      <c r="X996" s="277"/>
      <c r="Y996" s="453"/>
      <c r="Z996" s="280"/>
      <c r="AA996" s="277"/>
      <c r="AB996" s="277"/>
      <c r="AC996" s="277"/>
      <c r="AD996" s="110"/>
      <c r="AE996" s="147"/>
      <c r="AF996" s="147"/>
      <c r="AG996" s="281"/>
      <c r="AH996" s="111"/>
      <c r="AI996" s="111"/>
    </row>
    <row r="997" spans="2:35">
      <c r="B997" s="273"/>
      <c r="C997" s="110"/>
      <c r="E997" s="220"/>
      <c r="L997" s="277"/>
      <c r="N997" s="147"/>
      <c r="O997" s="148"/>
      <c r="S997" s="277"/>
      <c r="T997" s="68"/>
      <c r="V997" s="279"/>
      <c r="X997" s="277"/>
      <c r="Y997" s="453"/>
      <c r="Z997" s="280"/>
      <c r="AA997" s="277"/>
      <c r="AB997" s="277"/>
      <c r="AC997" s="277"/>
      <c r="AD997" s="110"/>
      <c r="AE997" s="147"/>
      <c r="AF997" s="147"/>
      <c r="AG997" s="281"/>
      <c r="AH997" s="111"/>
      <c r="AI997" s="111"/>
    </row>
    <row r="998" spans="2:35">
      <c r="B998" s="273"/>
      <c r="C998" s="110"/>
      <c r="E998" s="220"/>
      <c r="L998" s="277"/>
      <c r="N998" s="147"/>
      <c r="O998" s="148"/>
      <c r="S998" s="277"/>
      <c r="T998" s="68"/>
      <c r="V998" s="279"/>
      <c r="X998" s="277"/>
      <c r="Y998" s="453"/>
      <c r="Z998" s="280"/>
      <c r="AA998" s="277"/>
      <c r="AB998" s="277"/>
      <c r="AC998" s="277"/>
      <c r="AD998" s="110"/>
      <c r="AE998" s="147"/>
      <c r="AF998" s="147"/>
      <c r="AG998" s="281"/>
      <c r="AH998" s="111"/>
      <c r="AI998" s="111"/>
    </row>
    <row r="999" spans="2:35">
      <c r="B999" s="273"/>
      <c r="C999" s="110"/>
      <c r="E999" s="220"/>
      <c r="L999" s="277"/>
      <c r="N999" s="147"/>
      <c r="O999" s="148"/>
      <c r="S999" s="277"/>
      <c r="T999" s="68"/>
      <c r="V999" s="279"/>
      <c r="X999" s="277"/>
      <c r="Y999" s="453"/>
      <c r="Z999" s="280"/>
      <c r="AA999" s="277"/>
      <c r="AB999" s="277"/>
      <c r="AC999" s="277"/>
      <c r="AD999" s="110"/>
      <c r="AE999" s="147"/>
      <c r="AF999" s="147"/>
      <c r="AG999" s="281"/>
      <c r="AH999" s="111"/>
      <c r="AI999" s="111"/>
    </row>
    <row r="1000" spans="2:35">
      <c r="B1000" s="273"/>
      <c r="C1000" s="110"/>
      <c r="E1000" s="220"/>
      <c r="L1000" s="277"/>
      <c r="N1000" s="147"/>
      <c r="O1000" s="148"/>
      <c r="S1000" s="277"/>
      <c r="T1000" s="68"/>
      <c r="V1000" s="279"/>
      <c r="X1000" s="277"/>
      <c r="Y1000" s="453"/>
      <c r="Z1000" s="280"/>
      <c r="AA1000" s="277"/>
      <c r="AB1000" s="277"/>
      <c r="AC1000" s="277"/>
      <c r="AD1000" s="110"/>
      <c r="AE1000" s="147"/>
      <c r="AF1000" s="147"/>
      <c r="AG1000" s="281"/>
      <c r="AH1000" s="111"/>
      <c r="AI1000" s="111"/>
    </row>
    <row r="1001" spans="2:35">
      <c r="B1001" s="273"/>
      <c r="C1001" s="110"/>
      <c r="E1001" s="220"/>
      <c r="L1001" s="277"/>
      <c r="N1001" s="147"/>
      <c r="O1001" s="148"/>
      <c r="S1001" s="277"/>
      <c r="T1001" s="68"/>
      <c r="V1001" s="279"/>
      <c r="X1001" s="277"/>
      <c r="Y1001" s="453"/>
      <c r="Z1001" s="280"/>
      <c r="AA1001" s="277"/>
      <c r="AB1001" s="277"/>
      <c r="AC1001" s="277"/>
      <c r="AD1001" s="110"/>
      <c r="AE1001" s="147"/>
      <c r="AF1001" s="147"/>
      <c r="AG1001" s="281"/>
      <c r="AH1001" s="111"/>
      <c r="AI1001" s="111"/>
    </row>
    <row r="1002" spans="2:35">
      <c r="B1002" s="273"/>
      <c r="C1002" s="110"/>
      <c r="E1002" s="220"/>
      <c r="L1002" s="277"/>
      <c r="N1002" s="147"/>
      <c r="O1002" s="148"/>
      <c r="S1002" s="277"/>
      <c r="T1002" s="68"/>
      <c r="V1002" s="279"/>
      <c r="X1002" s="277"/>
      <c r="Y1002" s="453"/>
      <c r="Z1002" s="280"/>
      <c r="AA1002" s="277"/>
      <c r="AB1002" s="277"/>
      <c r="AC1002" s="277"/>
      <c r="AD1002" s="110"/>
      <c r="AE1002" s="147"/>
      <c r="AF1002" s="147"/>
      <c r="AG1002" s="281"/>
      <c r="AH1002" s="111"/>
      <c r="AI1002" s="111"/>
    </row>
    <row r="1003" spans="2:35">
      <c r="B1003" s="273"/>
      <c r="C1003" s="110"/>
      <c r="E1003" s="220"/>
      <c r="L1003" s="277"/>
      <c r="N1003" s="147"/>
      <c r="O1003" s="148"/>
      <c r="S1003" s="277"/>
      <c r="T1003" s="68"/>
      <c r="V1003" s="279"/>
      <c r="X1003" s="277"/>
      <c r="Y1003" s="453"/>
      <c r="Z1003" s="280"/>
      <c r="AA1003" s="277"/>
      <c r="AB1003" s="277"/>
      <c r="AC1003" s="277"/>
      <c r="AD1003" s="110"/>
      <c r="AE1003" s="147"/>
      <c r="AF1003" s="147"/>
      <c r="AG1003" s="281"/>
      <c r="AH1003" s="111"/>
      <c r="AI1003" s="111"/>
    </row>
    <row r="1004" spans="2:35">
      <c r="B1004" s="273"/>
      <c r="C1004" s="110"/>
      <c r="E1004" s="220"/>
      <c r="L1004" s="277"/>
      <c r="N1004" s="147"/>
      <c r="O1004" s="148"/>
      <c r="S1004" s="277"/>
      <c r="T1004" s="68"/>
      <c r="V1004" s="279"/>
      <c r="X1004" s="277"/>
      <c r="Y1004" s="453"/>
      <c r="Z1004" s="280"/>
      <c r="AA1004" s="277"/>
      <c r="AB1004" s="277"/>
      <c r="AC1004" s="277"/>
      <c r="AD1004" s="110"/>
      <c r="AE1004" s="147"/>
      <c r="AF1004" s="147"/>
      <c r="AG1004" s="281"/>
      <c r="AH1004" s="111"/>
      <c r="AI1004" s="111"/>
    </row>
    <row r="1005" spans="2:35">
      <c r="B1005" s="273"/>
      <c r="C1005" s="110"/>
      <c r="E1005" s="220"/>
      <c r="L1005" s="277"/>
      <c r="N1005" s="147"/>
      <c r="O1005" s="148"/>
      <c r="S1005" s="277"/>
      <c r="T1005" s="68"/>
      <c r="V1005" s="279"/>
      <c r="X1005" s="277"/>
      <c r="Y1005" s="453"/>
      <c r="Z1005" s="280"/>
      <c r="AA1005" s="277"/>
      <c r="AB1005" s="277"/>
      <c r="AC1005" s="277"/>
      <c r="AD1005" s="110"/>
      <c r="AE1005" s="147"/>
      <c r="AF1005" s="147"/>
      <c r="AG1005" s="281"/>
      <c r="AH1005" s="111"/>
      <c r="AI1005" s="111"/>
    </row>
    <row r="1006" spans="2:35">
      <c r="B1006" s="273"/>
      <c r="C1006" s="110"/>
      <c r="E1006" s="220"/>
      <c r="L1006" s="277"/>
      <c r="N1006" s="147"/>
      <c r="O1006" s="148"/>
      <c r="S1006" s="277"/>
      <c r="T1006" s="68"/>
      <c r="V1006" s="279"/>
      <c r="X1006" s="277"/>
      <c r="Y1006" s="453"/>
      <c r="Z1006" s="280"/>
      <c r="AA1006" s="277"/>
      <c r="AB1006" s="277"/>
      <c r="AC1006" s="277"/>
      <c r="AD1006" s="110"/>
      <c r="AE1006" s="147"/>
      <c r="AF1006" s="147"/>
      <c r="AG1006" s="281"/>
      <c r="AH1006" s="111"/>
      <c r="AI1006" s="111"/>
    </row>
    <row r="1007" spans="2:35">
      <c r="B1007" s="273"/>
      <c r="C1007" s="110"/>
      <c r="E1007" s="220"/>
      <c r="L1007" s="277"/>
      <c r="N1007" s="147"/>
      <c r="O1007" s="148"/>
      <c r="S1007" s="277"/>
      <c r="T1007" s="68"/>
      <c r="V1007" s="279"/>
      <c r="X1007" s="277"/>
      <c r="Y1007" s="453"/>
      <c r="Z1007" s="280"/>
      <c r="AA1007" s="277"/>
      <c r="AB1007" s="277"/>
      <c r="AC1007" s="277"/>
      <c r="AD1007" s="110"/>
      <c r="AE1007" s="147"/>
      <c r="AF1007" s="147"/>
      <c r="AG1007" s="281"/>
      <c r="AH1007" s="111"/>
      <c r="AI1007" s="111"/>
    </row>
    <row r="1008" spans="2:35">
      <c r="B1008" s="273"/>
      <c r="C1008" s="110"/>
      <c r="E1008" s="220"/>
      <c r="L1008" s="277"/>
      <c r="N1008" s="147"/>
      <c r="O1008" s="148"/>
      <c r="S1008" s="277"/>
      <c r="T1008" s="68"/>
      <c r="V1008" s="279"/>
      <c r="X1008" s="277"/>
      <c r="Y1008" s="453"/>
      <c r="Z1008" s="280"/>
      <c r="AA1008" s="277"/>
      <c r="AB1008" s="277"/>
      <c r="AC1008" s="277"/>
      <c r="AD1008" s="110"/>
      <c r="AE1008" s="147"/>
      <c r="AF1008" s="147"/>
      <c r="AG1008" s="281"/>
      <c r="AH1008" s="111"/>
      <c r="AI1008" s="111"/>
    </row>
    <row r="1009" spans="2:35">
      <c r="B1009" s="273"/>
      <c r="C1009" s="110"/>
      <c r="E1009" s="220"/>
      <c r="L1009" s="277"/>
      <c r="N1009" s="147"/>
      <c r="O1009" s="148"/>
      <c r="S1009" s="277"/>
      <c r="T1009" s="68"/>
      <c r="V1009" s="279"/>
      <c r="X1009" s="277"/>
      <c r="Y1009" s="453"/>
      <c r="Z1009" s="280"/>
      <c r="AA1009" s="277"/>
      <c r="AB1009" s="277"/>
      <c r="AC1009" s="277"/>
      <c r="AD1009" s="110"/>
      <c r="AE1009" s="147"/>
      <c r="AF1009" s="147"/>
      <c r="AG1009" s="281"/>
      <c r="AH1009" s="111"/>
      <c r="AI1009" s="111"/>
    </row>
    <row r="1010" spans="2:35">
      <c r="B1010" s="273"/>
      <c r="C1010" s="110"/>
      <c r="E1010" s="220"/>
      <c r="L1010" s="277"/>
      <c r="N1010" s="147"/>
      <c r="O1010" s="148"/>
      <c r="S1010" s="277"/>
      <c r="T1010" s="68"/>
      <c r="V1010" s="279"/>
      <c r="X1010" s="277"/>
      <c r="Y1010" s="453"/>
      <c r="Z1010" s="280"/>
      <c r="AA1010" s="277"/>
      <c r="AB1010" s="277"/>
      <c r="AC1010" s="277"/>
      <c r="AD1010" s="110"/>
      <c r="AE1010" s="147"/>
      <c r="AF1010" s="147"/>
      <c r="AG1010" s="281"/>
      <c r="AH1010" s="111"/>
      <c r="AI1010" s="111"/>
    </row>
    <row r="1011" spans="2:35">
      <c r="B1011" s="273"/>
      <c r="C1011" s="110"/>
      <c r="E1011" s="220"/>
      <c r="L1011" s="277"/>
      <c r="N1011" s="147"/>
      <c r="O1011" s="148"/>
      <c r="S1011" s="277"/>
      <c r="T1011" s="68"/>
      <c r="V1011" s="279"/>
      <c r="X1011" s="277"/>
      <c r="Y1011" s="453"/>
      <c r="Z1011" s="280"/>
      <c r="AA1011" s="277"/>
      <c r="AB1011" s="277"/>
      <c r="AC1011" s="277"/>
      <c r="AD1011" s="110"/>
      <c r="AE1011" s="147"/>
      <c r="AF1011" s="147"/>
      <c r="AG1011" s="281"/>
      <c r="AH1011" s="111"/>
      <c r="AI1011" s="111"/>
    </row>
    <row r="1012" spans="2:35">
      <c r="B1012" s="273"/>
      <c r="C1012" s="110"/>
      <c r="E1012" s="220"/>
      <c r="L1012" s="277"/>
      <c r="N1012" s="147"/>
      <c r="O1012" s="148"/>
      <c r="S1012" s="277"/>
      <c r="T1012" s="68"/>
      <c r="V1012" s="279"/>
      <c r="X1012" s="277"/>
      <c r="Y1012" s="453"/>
      <c r="Z1012" s="280"/>
      <c r="AA1012" s="277"/>
      <c r="AB1012" s="277"/>
      <c r="AC1012" s="277"/>
      <c r="AD1012" s="110"/>
      <c r="AE1012" s="147"/>
      <c r="AF1012" s="147"/>
      <c r="AG1012" s="281"/>
      <c r="AH1012" s="111"/>
      <c r="AI1012" s="111"/>
    </row>
    <row r="1013" spans="2:35">
      <c r="B1013" s="273"/>
      <c r="C1013" s="110"/>
      <c r="E1013" s="220"/>
      <c r="L1013" s="277"/>
      <c r="N1013" s="147"/>
      <c r="O1013" s="148"/>
      <c r="S1013" s="277"/>
      <c r="T1013" s="68"/>
      <c r="V1013" s="279"/>
      <c r="X1013" s="277"/>
      <c r="Y1013" s="453"/>
      <c r="Z1013" s="280"/>
      <c r="AA1013" s="277"/>
      <c r="AB1013" s="277"/>
      <c r="AC1013" s="277"/>
      <c r="AD1013" s="110"/>
      <c r="AE1013" s="147"/>
      <c r="AF1013" s="147"/>
      <c r="AG1013" s="281"/>
      <c r="AH1013" s="111"/>
      <c r="AI1013" s="111"/>
    </row>
    <row r="1014" spans="2:35">
      <c r="B1014" s="273"/>
      <c r="C1014" s="110"/>
      <c r="E1014" s="220"/>
      <c r="L1014" s="277"/>
      <c r="N1014" s="147"/>
      <c r="O1014" s="148"/>
      <c r="S1014" s="277"/>
      <c r="T1014" s="68"/>
      <c r="V1014" s="279"/>
      <c r="X1014" s="277"/>
      <c r="Y1014" s="453"/>
      <c r="Z1014" s="280"/>
      <c r="AA1014" s="277"/>
      <c r="AB1014" s="277"/>
      <c r="AC1014" s="277"/>
      <c r="AD1014" s="110"/>
      <c r="AE1014" s="147"/>
      <c r="AF1014" s="147"/>
      <c r="AG1014" s="281"/>
      <c r="AH1014" s="111"/>
      <c r="AI1014" s="111"/>
    </row>
    <row r="1015" spans="2:35">
      <c r="B1015" s="273"/>
      <c r="C1015" s="110"/>
      <c r="E1015" s="220"/>
      <c r="L1015" s="277"/>
      <c r="N1015" s="147"/>
      <c r="O1015" s="148"/>
      <c r="S1015" s="277"/>
      <c r="T1015" s="68"/>
      <c r="V1015" s="279"/>
      <c r="X1015" s="277"/>
      <c r="Y1015" s="453"/>
      <c r="Z1015" s="280"/>
      <c r="AA1015" s="277"/>
      <c r="AB1015" s="277"/>
      <c r="AC1015" s="277"/>
      <c r="AD1015" s="110"/>
      <c r="AE1015" s="147"/>
      <c r="AF1015" s="147"/>
      <c r="AG1015" s="281"/>
      <c r="AH1015" s="111"/>
      <c r="AI1015" s="111"/>
    </row>
    <row r="1016" spans="2:35">
      <c r="B1016" s="273"/>
      <c r="C1016" s="110"/>
      <c r="E1016" s="220"/>
      <c r="L1016" s="277"/>
      <c r="N1016" s="147"/>
      <c r="O1016" s="148"/>
      <c r="S1016" s="277"/>
      <c r="T1016" s="68"/>
      <c r="V1016" s="279"/>
      <c r="X1016" s="277"/>
      <c r="Y1016" s="453"/>
      <c r="Z1016" s="280"/>
      <c r="AA1016" s="277"/>
      <c r="AB1016" s="277"/>
      <c r="AC1016" s="277"/>
      <c r="AD1016" s="110"/>
      <c r="AE1016" s="147"/>
      <c r="AF1016" s="147"/>
      <c r="AG1016" s="281"/>
      <c r="AH1016" s="111"/>
      <c r="AI1016" s="111"/>
    </row>
    <row r="1017" spans="2:35">
      <c r="B1017" s="273"/>
      <c r="C1017" s="110"/>
      <c r="E1017" s="220"/>
      <c r="L1017" s="277"/>
      <c r="N1017" s="147"/>
      <c r="O1017" s="148"/>
      <c r="S1017" s="277"/>
      <c r="T1017" s="68"/>
      <c r="V1017" s="279"/>
      <c r="X1017" s="277"/>
      <c r="Y1017" s="453"/>
      <c r="Z1017" s="280"/>
      <c r="AA1017" s="277"/>
      <c r="AB1017" s="277"/>
      <c r="AC1017" s="277"/>
      <c r="AD1017" s="110"/>
      <c r="AE1017" s="147"/>
      <c r="AF1017" s="147"/>
      <c r="AG1017" s="281"/>
      <c r="AH1017" s="111"/>
      <c r="AI1017" s="111"/>
    </row>
    <row r="1018" spans="2:35">
      <c r="B1018" s="273"/>
      <c r="C1018" s="110"/>
      <c r="E1018" s="220"/>
      <c r="L1018" s="277"/>
      <c r="N1018" s="147"/>
      <c r="O1018" s="148"/>
      <c r="S1018" s="277"/>
      <c r="T1018" s="68"/>
      <c r="V1018" s="279"/>
      <c r="X1018" s="277"/>
      <c r="Y1018" s="453"/>
      <c r="Z1018" s="280"/>
      <c r="AA1018" s="277"/>
      <c r="AB1018" s="277"/>
      <c r="AC1018" s="277"/>
      <c r="AD1018" s="110"/>
      <c r="AE1018" s="147"/>
      <c r="AF1018" s="147"/>
      <c r="AG1018" s="281"/>
      <c r="AH1018" s="111"/>
      <c r="AI1018" s="111"/>
    </row>
    <row r="1019" spans="2:35">
      <c r="B1019" s="273"/>
      <c r="C1019" s="110"/>
      <c r="E1019" s="220"/>
      <c r="L1019" s="277"/>
      <c r="N1019" s="147"/>
      <c r="O1019" s="148"/>
      <c r="S1019" s="277"/>
      <c r="T1019" s="68"/>
      <c r="V1019" s="279"/>
      <c r="X1019" s="277"/>
      <c r="Y1019" s="453"/>
      <c r="Z1019" s="280"/>
      <c r="AA1019" s="277"/>
      <c r="AB1019" s="277"/>
      <c r="AC1019" s="277"/>
      <c r="AD1019" s="110"/>
      <c r="AE1019" s="147"/>
      <c r="AF1019" s="147"/>
      <c r="AG1019" s="281"/>
      <c r="AH1019" s="111"/>
      <c r="AI1019" s="111"/>
    </row>
    <row r="1020" spans="2:35">
      <c r="B1020" s="273"/>
      <c r="C1020" s="110"/>
      <c r="E1020" s="220"/>
      <c r="L1020" s="277"/>
      <c r="N1020" s="147"/>
      <c r="O1020" s="148"/>
      <c r="S1020" s="277"/>
      <c r="T1020" s="68"/>
      <c r="V1020" s="279"/>
      <c r="X1020" s="277"/>
      <c r="Y1020" s="453"/>
      <c r="Z1020" s="280"/>
      <c r="AA1020" s="277"/>
      <c r="AB1020" s="277"/>
      <c r="AC1020" s="277"/>
      <c r="AD1020" s="110"/>
      <c r="AE1020" s="147"/>
      <c r="AF1020" s="147"/>
      <c r="AG1020" s="281"/>
      <c r="AH1020" s="111"/>
      <c r="AI1020" s="111"/>
    </row>
    <row r="1021" spans="2:35">
      <c r="B1021" s="273"/>
      <c r="C1021" s="110"/>
      <c r="E1021" s="220"/>
      <c r="L1021" s="277"/>
      <c r="N1021" s="147"/>
      <c r="O1021" s="148"/>
      <c r="S1021" s="277"/>
      <c r="T1021" s="68"/>
      <c r="V1021" s="279"/>
      <c r="X1021" s="277"/>
      <c r="Y1021" s="453"/>
      <c r="Z1021" s="280"/>
      <c r="AA1021" s="277"/>
      <c r="AB1021" s="277"/>
      <c r="AC1021" s="277"/>
      <c r="AD1021" s="110"/>
      <c r="AE1021" s="147"/>
      <c r="AF1021" s="147"/>
      <c r="AG1021" s="281"/>
      <c r="AH1021" s="111"/>
      <c r="AI1021" s="111"/>
    </row>
    <row r="1022" spans="2:35">
      <c r="B1022" s="273"/>
      <c r="C1022" s="110"/>
      <c r="E1022" s="220"/>
      <c r="L1022" s="277"/>
      <c r="N1022" s="147"/>
      <c r="O1022" s="148"/>
      <c r="S1022" s="277"/>
      <c r="T1022" s="68"/>
      <c r="V1022" s="279"/>
      <c r="X1022" s="277"/>
      <c r="Y1022" s="453"/>
      <c r="Z1022" s="280"/>
      <c r="AA1022" s="277"/>
      <c r="AB1022" s="277"/>
      <c r="AC1022" s="277"/>
      <c r="AD1022" s="110"/>
      <c r="AE1022" s="147"/>
      <c r="AF1022" s="147"/>
      <c r="AG1022" s="281"/>
      <c r="AH1022" s="111"/>
      <c r="AI1022" s="111"/>
    </row>
    <row r="1023" spans="2:35">
      <c r="B1023" s="273"/>
      <c r="C1023" s="110"/>
      <c r="E1023" s="220"/>
      <c r="L1023" s="277"/>
      <c r="N1023" s="147"/>
      <c r="O1023" s="148"/>
      <c r="S1023" s="277"/>
      <c r="T1023" s="68"/>
      <c r="V1023" s="279"/>
      <c r="X1023" s="277"/>
      <c r="Y1023" s="453"/>
      <c r="Z1023" s="280"/>
      <c r="AA1023" s="277"/>
      <c r="AB1023" s="277"/>
      <c r="AC1023" s="277"/>
      <c r="AD1023" s="110"/>
      <c r="AE1023" s="147"/>
      <c r="AF1023" s="147"/>
      <c r="AG1023" s="281"/>
      <c r="AH1023" s="111"/>
      <c r="AI1023" s="111"/>
    </row>
    <row r="1024" spans="2:35">
      <c r="B1024" s="273"/>
      <c r="C1024" s="110"/>
      <c r="E1024" s="220"/>
      <c r="L1024" s="277"/>
      <c r="N1024" s="147"/>
      <c r="O1024" s="148"/>
      <c r="S1024" s="277"/>
      <c r="T1024" s="68"/>
      <c r="V1024" s="279"/>
      <c r="X1024" s="277"/>
      <c r="Y1024" s="453"/>
      <c r="Z1024" s="280"/>
      <c r="AA1024" s="277"/>
      <c r="AB1024" s="277"/>
      <c r="AC1024" s="277"/>
      <c r="AD1024" s="110"/>
      <c r="AE1024" s="147"/>
      <c r="AF1024" s="147"/>
      <c r="AG1024" s="281"/>
      <c r="AH1024" s="111"/>
      <c r="AI1024" s="111"/>
    </row>
    <row r="1025" spans="2:35">
      <c r="B1025" s="273"/>
      <c r="C1025" s="110"/>
      <c r="E1025" s="220"/>
      <c r="L1025" s="277"/>
      <c r="N1025" s="147"/>
      <c r="O1025" s="148"/>
      <c r="S1025" s="277"/>
      <c r="T1025" s="68"/>
      <c r="V1025" s="279"/>
      <c r="X1025" s="277"/>
      <c r="Y1025" s="453"/>
      <c r="Z1025" s="280"/>
      <c r="AA1025" s="277"/>
      <c r="AB1025" s="277"/>
      <c r="AC1025" s="277"/>
      <c r="AD1025" s="110"/>
      <c r="AE1025" s="147"/>
      <c r="AF1025" s="147"/>
      <c r="AG1025" s="281"/>
      <c r="AH1025" s="111"/>
      <c r="AI1025" s="111"/>
    </row>
    <row r="1026" spans="2:35">
      <c r="B1026" s="273"/>
      <c r="C1026" s="110"/>
      <c r="E1026" s="220"/>
      <c r="L1026" s="277"/>
      <c r="N1026" s="147"/>
      <c r="O1026" s="148"/>
      <c r="S1026" s="277"/>
      <c r="T1026" s="68"/>
      <c r="V1026" s="279"/>
      <c r="X1026" s="277"/>
      <c r="Y1026" s="453"/>
      <c r="Z1026" s="280"/>
      <c r="AA1026" s="277"/>
      <c r="AB1026" s="277"/>
      <c r="AC1026" s="277"/>
      <c r="AD1026" s="110"/>
      <c r="AE1026" s="147"/>
      <c r="AF1026" s="147"/>
      <c r="AG1026" s="281"/>
      <c r="AH1026" s="111"/>
      <c r="AI1026" s="111"/>
    </row>
    <row r="1027" spans="2:35">
      <c r="B1027" s="273"/>
      <c r="C1027" s="110"/>
      <c r="E1027" s="220"/>
      <c r="L1027" s="277"/>
      <c r="N1027" s="147"/>
      <c r="O1027" s="148"/>
      <c r="S1027" s="277"/>
      <c r="T1027" s="68"/>
      <c r="V1027" s="279"/>
      <c r="X1027" s="277"/>
      <c r="Y1027" s="453"/>
      <c r="Z1027" s="280"/>
      <c r="AA1027" s="277"/>
      <c r="AB1027" s="277"/>
      <c r="AC1027" s="277"/>
      <c r="AD1027" s="110"/>
      <c r="AE1027" s="147"/>
      <c r="AF1027" s="147"/>
      <c r="AG1027" s="281"/>
      <c r="AH1027" s="111"/>
      <c r="AI1027" s="111"/>
    </row>
    <row r="1028" spans="2:35">
      <c r="B1028" s="273"/>
      <c r="C1028" s="110"/>
      <c r="E1028" s="220"/>
      <c r="L1028" s="277"/>
      <c r="N1028" s="147"/>
      <c r="O1028" s="148"/>
      <c r="S1028" s="277"/>
      <c r="T1028" s="68"/>
      <c r="V1028" s="279"/>
      <c r="X1028" s="277"/>
      <c r="Y1028" s="453"/>
      <c r="Z1028" s="280"/>
      <c r="AA1028" s="277"/>
      <c r="AB1028" s="277"/>
      <c r="AC1028" s="277"/>
      <c r="AD1028" s="110"/>
      <c r="AE1028" s="147"/>
      <c r="AF1028" s="147"/>
      <c r="AG1028" s="281"/>
      <c r="AH1028" s="111"/>
      <c r="AI1028" s="111"/>
    </row>
    <row r="1029" spans="2:35">
      <c r="B1029" s="273"/>
      <c r="C1029" s="110"/>
      <c r="E1029" s="220"/>
      <c r="L1029" s="277"/>
      <c r="N1029" s="147"/>
      <c r="O1029" s="148"/>
      <c r="S1029" s="277"/>
      <c r="T1029" s="68"/>
      <c r="V1029" s="279"/>
      <c r="X1029" s="277"/>
      <c r="Y1029" s="453"/>
      <c r="Z1029" s="280"/>
      <c r="AA1029" s="277"/>
      <c r="AB1029" s="277"/>
      <c r="AC1029" s="277"/>
      <c r="AD1029" s="110"/>
      <c r="AE1029" s="147"/>
      <c r="AF1029" s="147"/>
      <c r="AG1029" s="281"/>
      <c r="AH1029" s="111"/>
      <c r="AI1029" s="111"/>
    </row>
    <row r="1030" spans="2:35">
      <c r="B1030" s="273"/>
      <c r="C1030" s="110"/>
      <c r="E1030" s="220"/>
      <c r="L1030" s="277"/>
      <c r="N1030" s="147"/>
      <c r="O1030" s="148"/>
      <c r="S1030" s="277"/>
      <c r="T1030" s="68"/>
      <c r="V1030" s="279"/>
      <c r="X1030" s="277"/>
      <c r="Y1030" s="453"/>
      <c r="Z1030" s="280"/>
      <c r="AA1030" s="277"/>
      <c r="AB1030" s="277"/>
      <c r="AC1030" s="277"/>
      <c r="AD1030" s="110"/>
      <c r="AE1030" s="147"/>
      <c r="AF1030" s="147"/>
      <c r="AG1030" s="281"/>
      <c r="AH1030" s="111"/>
      <c r="AI1030" s="111"/>
    </row>
    <row r="1031" spans="2:35">
      <c r="B1031" s="273"/>
      <c r="C1031" s="110"/>
      <c r="E1031" s="220"/>
      <c r="L1031" s="277"/>
      <c r="N1031" s="147"/>
      <c r="O1031" s="148"/>
      <c r="S1031" s="277"/>
      <c r="T1031" s="68"/>
      <c r="V1031" s="279"/>
      <c r="X1031" s="277"/>
      <c r="Y1031" s="453"/>
      <c r="Z1031" s="280"/>
      <c r="AA1031" s="277"/>
      <c r="AB1031" s="277"/>
      <c r="AC1031" s="277"/>
      <c r="AD1031" s="110"/>
      <c r="AE1031" s="147"/>
      <c r="AF1031" s="147"/>
      <c r="AG1031" s="281"/>
      <c r="AH1031" s="111"/>
      <c r="AI1031" s="111"/>
    </row>
    <row r="1032" spans="2:35">
      <c r="B1032" s="273"/>
      <c r="C1032" s="110"/>
      <c r="E1032" s="220"/>
      <c r="L1032" s="277"/>
      <c r="N1032" s="147"/>
      <c r="O1032" s="148"/>
      <c r="S1032" s="277"/>
      <c r="T1032" s="68"/>
      <c r="V1032" s="279"/>
      <c r="X1032" s="277"/>
      <c r="Y1032" s="453"/>
      <c r="Z1032" s="280"/>
      <c r="AA1032" s="277"/>
      <c r="AB1032" s="277"/>
      <c r="AC1032" s="277"/>
      <c r="AD1032" s="110"/>
      <c r="AE1032" s="147"/>
      <c r="AF1032" s="147"/>
      <c r="AG1032" s="281"/>
      <c r="AH1032" s="111"/>
      <c r="AI1032" s="111"/>
    </row>
    <row r="1033" spans="2:35">
      <c r="B1033" s="273"/>
      <c r="C1033" s="110"/>
      <c r="E1033" s="220"/>
      <c r="L1033" s="277"/>
      <c r="N1033" s="147"/>
      <c r="O1033" s="148"/>
      <c r="S1033" s="277"/>
      <c r="T1033" s="68"/>
      <c r="V1033" s="279"/>
      <c r="X1033" s="277"/>
      <c r="Y1033" s="453"/>
      <c r="Z1033" s="280"/>
      <c r="AA1033" s="277"/>
      <c r="AB1033" s="277"/>
      <c r="AC1033" s="277"/>
      <c r="AD1033" s="110"/>
      <c r="AE1033" s="147"/>
      <c r="AF1033" s="147"/>
      <c r="AG1033" s="281"/>
      <c r="AH1033" s="111"/>
      <c r="AI1033" s="111"/>
    </row>
    <row r="1034" spans="2:35">
      <c r="B1034" s="273"/>
      <c r="C1034" s="110"/>
      <c r="E1034" s="220"/>
      <c r="L1034" s="277"/>
      <c r="N1034" s="147"/>
      <c r="O1034" s="148"/>
      <c r="S1034" s="277"/>
      <c r="T1034" s="68"/>
      <c r="V1034" s="279"/>
      <c r="X1034" s="277"/>
      <c r="Y1034" s="453"/>
      <c r="Z1034" s="280"/>
      <c r="AA1034" s="277"/>
      <c r="AB1034" s="277"/>
      <c r="AC1034" s="277"/>
      <c r="AD1034" s="110"/>
      <c r="AE1034" s="147"/>
      <c r="AF1034" s="147"/>
      <c r="AG1034" s="281"/>
      <c r="AH1034" s="111"/>
      <c r="AI1034" s="111"/>
    </row>
    <row r="1035" spans="2:35">
      <c r="B1035" s="273"/>
      <c r="C1035" s="110"/>
      <c r="E1035" s="220"/>
      <c r="L1035" s="277"/>
      <c r="N1035" s="147"/>
      <c r="O1035" s="148"/>
      <c r="S1035" s="277"/>
      <c r="T1035" s="68"/>
      <c r="V1035" s="279"/>
      <c r="X1035" s="277"/>
      <c r="Y1035" s="453"/>
      <c r="Z1035" s="280"/>
      <c r="AA1035" s="277"/>
      <c r="AB1035" s="277"/>
      <c r="AC1035" s="277"/>
      <c r="AD1035" s="110"/>
      <c r="AE1035" s="147"/>
      <c r="AF1035" s="147"/>
      <c r="AG1035" s="281"/>
      <c r="AH1035" s="111"/>
      <c r="AI1035" s="111"/>
    </row>
    <row r="1036" spans="2:35">
      <c r="B1036" s="273"/>
      <c r="C1036" s="110"/>
      <c r="E1036" s="220"/>
      <c r="L1036" s="277"/>
      <c r="N1036" s="147"/>
      <c r="O1036" s="148"/>
      <c r="S1036" s="277"/>
      <c r="T1036" s="68"/>
      <c r="V1036" s="279"/>
      <c r="X1036" s="277"/>
      <c r="Y1036" s="453"/>
      <c r="Z1036" s="280"/>
      <c r="AA1036" s="277"/>
      <c r="AB1036" s="277"/>
      <c r="AC1036" s="277"/>
      <c r="AD1036" s="110"/>
      <c r="AE1036" s="147"/>
      <c r="AF1036" s="147"/>
      <c r="AG1036" s="281"/>
      <c r="AH1036" s="111"/>
      <c r="AI1036" s="111"/>
    </row>
    <row r="1037" spans="2:35">
      <c r="B1037" s="273"/>
      <c r="C1037" s="110"/>
      <c r="E1037" s="220"/>
      <c r="L1037" s="277"/>
      <c r="N1037" s="147"/>
      <c r="O1037" s="148"/>
      <c r="S1037" s="277"/>
      <c r="T1037" s="68"/>
      <c r="V1037" s="279"/>
      <c r="X1037" s="277"/>
      <c r="Y1037" s="453"/>
      <c r="Z1037" s="280"/>
      <c r="AA1037" s="277"/>
      <c r="AB1037" s="277"/>
      <c r="AC1037" s="277"/>
      <c r="AD1037" s="110"/>
      <c r="AE1037" s="147"/>
      <c r="AF1037" s="147"/>
      <c r="AG1037" s="281"/>
      <c r="AH1037" s="111"/>
      <c r="AI1037" s="111"/>
    </row>
    <row r="1038" spans="2:35">
      <c r="B1038" s="273"/>
      <c r="C1038" s="110"/>
      <c r="E1038" s="220"/>
      <c r="L1038" s="277"/>
      <c r="N1038" s="147"/>
      <c r="O1038" s="148"/>
      <c r="S1038" s="277"/>
      <c r="T1038" s="68"/>
      <c r="V1038" s="279"/>
      <c r="X1038" s="277"/>
      <c r="Y1038" s="453"/>
      <c r="Z1038" s="280"/>
      <c r="AA1038" s="277"/>
      <c r="AB1038" s="277"/>
      <c r="AC1038" s="277"/>
      <c r="AD1038" s="110"/>
      <c r="AE1038" s="147"/>
      <c r="AF1038" s="147"/>
      <c r="AG1038" s="281"/>
      <c r="AH1038" s="111"/>
      <c r="AI1038" s="111"/>
    </row>
    <row r="1039" spans="2:35">
      <c r="B1039" s="273"/>
      <c r="C1039" s="110"/>
      <c r="E1039" s="220"/>
      <c r="L1039" s="277"/>
      <c r="N1039" s="147"/>
      <c r="O1039" s="148"/>
      <c r="S1039" s="277"/>
      <c r="T1039" s="68"/>
      <c r="V1039" s="279"/>
      <c r="X1039" s="277"/>
      <c r="Y1039" s="453"/>
      <c r="Z1039" s="280"/>
      <c r="AA1039" s="277"/>
      <c r="AB1039" s="277"/>
      <c r="AC1039" s="277"/>
      <c r="AD1039" s="110"/>
      <c r="AE1039" s="147"/>
      <c r="AF1039" s="147"/>
      <c r="AG1039" s="281"/>
      <c r="AH1039" s="111"/>
      <c r="AI1039" s="111"/>
    </row>
    <row r="1040" spans="2:35">
      <c r="B1040" s="273"/>
      <c r="C1040" s="110"/>
      <c r="E1040" s="220"/>
      <c r="L1040" s="277"/>
      <c r="N1040" s="147"/>
      <c r="O1040" s="148"/>
      <c r="S1040" s="277"/>
      <c r="T1040" s="68"/>
      <c r="V1040" s="279"/>
      <c r="X1040" s="277"/>
      <c r="Y1040" s="453"/>
      <c r="Z1040" s="280"/>
      <c r="AA1040" s="277"/>
      <c r="AB1040" s="277"/>
      <c r="AC1040" s="277"/>
      <c r="AD1040" s="110"/>
      <c r="AE1040" s="147"/>
      <c r="AF1040" s="147"/>
      <c r="AG1040" s="281"/>
      <c r="AH1040" s="111"/>
      <c r="AI1040" s="111"/>
    </row>
    <row r="1041" spans="2:35">
      <c r="B1041" s="273"/>
      <c r="C1041" s="110"/>
      <c r="E1041" s="220"/>
      <c r="L1041" s="277"/>
      <c r="N1041" s="147"/>
      <c r="O1041" s="148"/>
      <c r="S1041" s="277"/>
      <c r="T1041" s="68"/>
      <c r="V1041" s="279"/>
      <c r="X1041" s="277"/>
      <c r="Y1041" s="453"/>
      <c r="Z1041" s="280"/>
      <c r="AA1041" s="277"/>
      <c r="AB1041" s="277"/>
      <c r="AC1041" s="277"/>
      <c r="AD1041" s="110"/>
      <c r="AE1041" s="147"/>
      <c r="AF1041" s="147"/>
      <c r="AG1041" s="281"/>
      <c r="AH1041" s="111"/>
      <c r="AI1041" s="111"/>
    </row>
    <row r="1042" spans="2:35">
      <c r="B1042" s="273"/>
      <c r="C1042" s="110"/>
      <c r="E1042" s="220"/>
      <c r="L1042" s="277"/>
      <c r="N1042" s="147"/>
      <c r="O1042" s="148"/>
      <c r="S1042" s="277"/>
      <c r="T1042" s="68"/>
      <c r="V1042" s="279"/>
      <c r="X1042" s="277"/>
      <c r="Y1042" s="453"/>
      <c r="Z1042" s="280"/>
      <c r="AA1042" s="277"/>
      <c r="AB1042" s="277"/>
      <c r="AC1042" s="277"/>
      <c r="AD1042" s="110"/>
      <c r="AE1042" s="147"/>
      <c r="AF1042" s="147"/>
      <c r="AG1042" s="281"/>
      <c r="AH1042" s="111"/>
      <c r="AI1042" s="111"/>
    </row>
    <row r="1043" spans="2:35">
      <c r="B1043" s="273"/>
      <c r="C1043" s="110"/>
      <c r="E1043" s="220"/>
      <c r="L1043" s="277"/>
      <c r="N1043" s="147"/>
      <c r="O1043" s="148"/>
      <c r="S1043" s="277"/>
      <c r="T1043" s="68"/>
      <c r="V1043" s="279"/>
      <c r="X1043" s="277"/>
      <c r="Y1043" s="453"/>
      <c r="Z1043" s="280"/>
      <c r="AA1043" s="277"/>
      <c r="AB1043" s="277"/>
      <c r="AC1043" s="277"/>
      <c r="AD1043" s="110"/>
      <c r="AE1043" s="147"/>
      <c r="AF1043" s="147"/>
      <c r="AG1043" s="281"/>
      <c r="AH1043" s="111"/>
      <c r="AI1043" s="111"/>
    </row>
    <row r="1044" spans="2:35">
      <c r="B1044" s="273"/>
      <c r="C1044" s="110"/>
      <c r="E1044" s="220"/>
      <c r="L1044" s="277"/>
      <c r="N1044" s="147"/>
      <c r="O1044" s="148"/>
      <c r="S1044" s="277"/>
      <c r="T1044" s="68"/>
      <c r="V1044" s="279"/>
      <c r="X1044" s="277"/>
      <c r="Y1044" s="453"/>
      <c r="Z1044" s="280"/>
      <c r="AA1044" s="277"/>
      <c r="AB1044" s="277"/>
      <c r="AC1044" s="277"/>
      <c r="AD1044" s="110"/>
      <c r="AE1044" s="147"/>
      <c r="AF1044" s="147"/>
      <c r="AG1044" s="281"/>
      <c r="AH1044" s="111"/>
      <c r="AI1044" s="111"/>
    </row>
    <row r="1045" spans="2:35">
      <c r="B1045" s="273"/>
      <c r="C1045" s="110"/>
      <c r="E1045" s="220"/>
      <c r="L1045" s="277"/>
      <c r="N1045" s="147"/>
      <c r="O1045" s="148"/>
      <c r="S1045" s="277"/>
      <c r="T1045" s="68"/>
      <c r="V1045" s="279"/>
      <c r="X1045" s="277"/>
      <c r="Y1045" s="453"/>
      <c r="Z1045" s="280"/>
      <c r="AA1045" s="277"/>
      <c r="AB1045" s="277"/>
      <c r="AC1045" s="277"/>
      <c r="AD1045" s="110"/>
      <c r="AE1045" s="147"/>
      <c r="AF1045" s="147"/>
      <c r="AG1045" s="281"/>
      <c r="AH1045" s="111"/>
      <c r="AI1045" s="111"/>
    </row>
    <row r="1046" spans="2:35">
      <c r="B1046" s="273"/>
      <c r="C1046" s="110"/>
      <c r="E1046" s="220"/>
      <c r="L1046" s="277"/>
      <c r="N1046" s="147"/>
      <c r="O1046" s="148"/>
      <c r="S1046" s="277"/>
      <c r="T1046" s="68"/>
      <c r="V1046" s="279"/>
      <c r="X1046" s="277"/>
      <c r="Y1046" s="453"/>
      <c r="Z1046" s="280"/>
      <c r="AA1046" s="277"/>
      <c r="AB1046" s="277"/>
      <c r="AC1046" s="277"/>
      <c r="AD1046" s="110"/>
      <c r="AE1046" s="147"/>
      <c r="AF1046" s="147"/>
      <c r="AG1046" s="281"/>
      <c r="AH1046" s="111"/>
      <c r="AI1046" s="111"/>
    </row>
    <row r="1047" spans="2:35">
      <c r="B1047" s="273"/>
      <c r="C1047" s="110"/>
      <c r="E1047" s="220"/>
      <c r="L1047" s="277"/>
      <c r="N1047" s="147"/>
      <c r="O1047" s="148"/>
      <c r="S1047" s="277"/>
      <c r="T1047" s="68"/>
      <c r="V1047" s="279"/>
      <c r="X1047" s="277"/>
      <c r="Y1047" s="453"/>
      <c r="Z1047" s="280"/>
      <c r="AA1047" s="277"/>
      <c r="AB1047" s="277"/>
      <c r="AC1047" s="277"/>
      <c r="AD1047" s="110"/>
      <c r="AE1047" s="147"/>
      <c r="AF1047" s="147"/>
      <c r="AG1047" s="281"/>
      <c r="AH1047" s="111"/>
      <c r="AI1047" s="111"/>
    </row>
    <row r="1048" spans="2:35">
      <c r="B1048" s="273"/>
      <c r="C1048" s="110"/>
      <c r="E1048" s="220"/>
      <c r="L1048" s="277"/>
      <c r="N1048" s="147"/>
      <c r="O1048" s="148"/>
      <c r="S1048" s="277"/>
      <c r="T1048" s="68"/>
      <c r="V1048" s="279"/>
      <c r="X1048" s="277"/>
      <c r="Y1048" s="453"/>
      <c r="Z1048" s="280"/>
      <c r="AA1048" s="277"/>
      <c r="AB1048" s="277"/>
      <c r="AC1048" s="277"/>
      <c r="AD1048" s="110"/>
      <c r="AE1048" s="147"/>
      <c r="AF1048" s="147"/>
      <c r="AG1048" s="281"/>
      <c r="AH1048" s="111"/>
      <c r="AI1048" s="111"/>
    </row>
    <row r="1049" spans="2:35">
      <c r="B1049" s="273"/>
      <c r="C1049" s="110"/>
      <c r="E1049" s="220"/>
      <c r="L1049" s="277"/>
      <c r="N1049" s="147"/>
      <c r="O1049" s="148"/>
      <c r="S1049" s="277"/>
      <c r="T1049" s="68"/>
      <c r="V1049" s="279"/>
      <c r="X1049" s="277"/>
      <c r="Y1049" s="453"/>
      <c r="Z1049" s="280"/>
      <c r="AA1049" s="277"/>
      <c r="AB1049" s="277"/>
      <c r="AC1049" s="277"/>
      <c r="AD1049" s="110"/>
      <c r="AE1049" s="147"/>
      <c r="AF1049" s="147"/>
      <c r="AG1049" s="281"/>
      <c r="AH1049" s="111"/>
      <c r="AI1049" s="111"/>
    </row>
    <row r="1050" spans="2:35">
      <c r="B1050" s="273"/>
      <c r="C1050" s="110"/>
      <c r="E1050" s="220"/>
      <c r="L1050" s="277"/>
      <c r="N1050" s="147"/>
      <c r="O1050" s="148"/>
      <c r="S1050" s="277"/>
      <c r="T1050" s="68"/>
      <c r="V1050" s="279"/>
      <c r="X1050" s="277"/>
      <c r="Y1050" s="453"/>
      <c r="Z1050" s="280"/>
      <c r="AA1050" s="277"/>
      <c r="AB1050" s="277"/>
      <c r="AC1050" s="277"/>
      <c r="AD1050" s="110"/>
      <c r="AE1050" s="147"/>
      <c r="AF1050" s="147"/>
      <c r="AG1050" s="281"/>
      <c r="AH1050" s="111"/>
      <c r="AI1050" s="111"/>
    </row>
    <row r="1051" spans="2:35">
      <c r="B1051" s="273"/>
      <c r="C1051" s="110"/>
      <c r="E1051" s="220"/>
      <c r="L1051" s="277"/>
      <c r="N1051" s="147"/>
      <c r="O1051" s="148"/>
      <c r="S1051" s="277"/>
      <c r="T1051" s="68"/>
      <c r="V1051" s="279"/>
      <c r="X1051" s="277"/>
      <c r="Y1051" s="453"/>
      <c r="Z1051" s="280"/>
      <c r="AA1051" s="277"/>
      <c r="AB1051" s="277"/>
      <c r="AC1051" s="277"/>
      <c r="AD1051" s="110"/>
      <c r="AE1051" s="147"/>
      <c r="AF1051" s="147"/>
      <c r="AG1051" s="281"/>
      <c r="AH1051" s="111"/>
      <c r="AI1051" s="111"/>
    </row>
    <row r="1052" spans="2:35">
      <c r="B1052" s="273"/>
      <c r="C1052" s="110"/>
      <c r="E1052" s="220"/>
      <c r="L1052" s="277"/>
      <c r="N1052" s="147"/>
      <c r="O1052" s="148"/>
      <c r="S1052" s="277"/>
      <c r="T1052" s="68"/>
      <c r="V1052" s="279"/>
      <c r="X1052" s="277"/>
      <c r="Y1052" s="453"/>
      <c r="Z1052" s="280"/>
      <c r="AA1052" s="277"/>
      <c r="AB1052" s="277"/>
      <c r="AC1052" s="277"/>
      <c r="AD1052" s="110"/>
      <c r="AE1052" s="147"/>
      <c r="AF1052" s="147"/>
      <c r="AG1052" s="281"/>
      <c r="AH1052" s="111"/>
      <c r="AI1052" s="111"/>
    </row>
    <row r="1053" spans="2:35">
      <c r="B1053" s="273"/>
      <c r="C1053" s="110"/>
      <c r="E1053" s="220"/>
      <c r="L1053" s="277"/>
      <c r="N1053" s="147"/>
      <c r="O1053" s="148"/>
      <c r="S1053" s="277"/>
      <c r="T1053" s="68"/>
      <c r="V1053" s="279"/>
      <c r="X1053" s="277"/>
      <c r="Y1053" s="453"/>
      <c r="Z1053" s="280"/>
      <c r="AA1053" s="277"/>
      <c r="AB1053" s="277"/>
      <c r="AC1053" s="277"/>
      <c r="AD1053" s="110"/>
      <c r="AE1053" s="147"/>
      <c r="AF1053" s="147"/>
      <c r="AG1053" s="281"/>
      <c r="AH1053" s="111"/>
      <c r="AI1053" s="111"/>
    </row>
    <row r="1054" spans="2:35">
      <c r="B1054" s="273"/>
      <c r="C1054" s="110"/>
      <c r="E1054" s="220"/>
      <c r="L1054" s="277"/>
      <c r="N1054" s="147"/>
      <c r="O1054" s="148"/>
      <c r="S1054" s="277"/>
      <c r="T1054" s="68"/>
      <c r="V1054" s="279"/>
      <c r="X1054" s="277"/>
      <c r="Y1054" s="453"/>
      <c r="Z1054" s="280"/>
      <c r="AA1054" s="277"/>
      <c r="AB1054" s="277"/>
      <c r="AC1054" s="277"/>
      <c r="AD1054" s="110"/>
      <c r="AE1054" s="147"/>
      <c r="AF1054" s="147"/>
      <c r="AG1054" s="281"/>
      <c r="AH1054" s="111"/>
      <c r="AI1054" s="111"/>
    </row>
    <row r="1055" spans="2:35">
      <c r="B1055" s="273"/>
      <c r="C1055" s="110"/>
      <c r="E1055" s="220"/>
      <c r="L1055" s="277"/>
      <c r="N1055" s="147"/>
      <c r="O1055" s="148"/>
      <c r="S1055" s="277"/>
      <c r="T1055" s="68"/>
      <c r="V1055" s="279"/>
      <c r="X1055" s="277"/>
      <c r="Y1055" s="453"/>
      <c r="Z1055" s="280"/>
      <c r="AA1055" s="277"/>
      <c r="AB1055" s="277"/>
      <c r="AC1055" s="277"/>
      <c r="AD1055" s="110"/>
      <c r="AE1055" s="147"/>
      <c r="AF1055" s="147"/>
      <c r="AG1055" s="281"/>
      <c r="AH1055" s="111"/>
      <c r="AI1055" s="111"/>
    </row>
    <row r="1056" spans="2:35">
      <c r="B1056" s="273"/>
      <c r="C1056" s="110"/>
      <c r="E1056" s="220"/>
      <c r="L1056" s="277"/>
      <c r="N1056" s="147"/>
      <c r="O1056" s="148"/>
      <c r="S1056" s="277"/>
      <c r="T1056" s="68"/>
      <c r="V1056" s="279"/>
      <c r="X1056" s="277"/>
      <c r="Y1056" s="453"/>
      <c r="Z1056" s="280"/>
      <c r="AA1056" s="277"/>
      <c r="AB1056" s="277"/>
      <c r="AC1056" s="277"/>
      <c r="AD1056" s="110"/>
      <c r="AE1056" s="147"/>
      <c r="AF1056" s="147"/>
      <c r="AG1056" s="281"/>
      <c r="AH1056" s="111"/>
      <c r="AI1056" s="111"/>
    </row>
    <row r="1057" spans="2:35">
      <c r="B1057" s="273"/>
      <c r="C1057" s="110"/>
      <c r="E1057" s="220"/>
      <c r="L1057" s="277"/>
      <c r="N1057" s="147"/>
      <c r="O1057" s="148"/>
      <c r="S1057" s="277"/>
      <c r="T1057" s="68"/>
      <c r="V1057" s="279"/>
      <c r="X1057" s="277"/>
      <c r="Y1057" s="453"/>
      <c r="Z1057" s="280"/>
      <c r="AA1057" s="277"/>
      <c r="AB1057" s="277"/>
      <c r="AC1057" s="277"/>
      <c r="AD1057" s="110"/>
      <c r="AE1057" s="147"/>
      <c r="AF1057" s="147"/>
      <c r="AG1057" s="281"/>
      <c r="AH1057" s="111"/>
      <c r="AI1057" s="111"/>
    </row>
    <row r="1058" spans="2:35">
      <c r="B1058" s="273"/>
      <c r="C1058" s="110"/>
      <c r="E1058" s="220"/>
      <c r="L1058" s="277"/>
      <c r="N1058" s="147"/>
      <c r="O1058" s="148"/>
      <c r="S1058" s="277"/>
      <c r="T1058" s="68"/>
      <c r="V1058" s="279"/>
      <c r="X1058" s="277"/>
      <c r="Y1058" s="453"/>
      <c r="Z1058" s="280"/>
      <c r="AA1058" s="277"/>
      <c r="AB1058" s="277"/>
      <c r="AC1058" s="277"/>
      <c r="AD1058" s="110"/>
      <c r="AE1058" s="147"/>
      <c r="AF1058" s="147"/>
      <c r="AG1058" s="281"/>
      <c r="AH1058" s="111"/>
      <c r="AI1058" s="111"/>
    </row>
    <row r="1059" spans="2:35">
      <c r="B1059" s="273"/>
      <c r="C1059" s="110"/>
      <c r="E1059" s="220"/>
      <c r="L1059" s="277"/>
      <c r="N1059" s="147"/>
      <c r="O1059" s="148"/>
      <c r="S1059" s="277"/>
      <c r="T1059" s="68"/>
      <c r="V1059" s="279"/>
      <c r="X1059" s="277"/>
      <c r="Y1059" s="453"/>
      <c r="Z1059" s="280"/>
      <c r="AA1059" s="277"/>
      <c r="AB1059" s="277"/>
      <c r="AC1059" s="277"/>
      <c r="AD1059" s="110"/>
      <c r="AE1059" s="147"/>
      <c r="AF1059" s="147"/>
      <c r="AG1059" s="281"/>
      <c r="AH1059" s="111"/>
      <c r="AI1059" s="111"/>
    </row>
    <row r="1060" spans="2:35">
      <c r="B1060" s="273"/>
      <c r="C1060" s="110"/>
      <c r="E1060" s="220"/>
      <c r="L1060" s="277"/>
      <c r="N1060" s="147"/>
      <c r="O1060" s="148"/>
      <c r="S1060" s="277"/>
      <c r="T1060" s="68"/>
      <c r="V1060" s="279"/>
      <c r="X1060" s="277"/>
      <c r="Y1060" s="453"/>
      <c r="Z1060" s="280"/>
      <c r="AA1060" s="277"/>
      <c r="AB1060" s="277"/>
      <c r="AC1060" s="277"/>
      <c r="AD1060" s="110"/>
      <c r="AE1060" s="147"/>
      <c r="AF1060" s="147"/>
      <c r="AG1060" s="281"/>
      <c r="AH1060" s="111"/>
      <c r="AI1060" s="111"/>
    </row>
    <row r="1061" spans="2:35">
      <c r="B1061" s="273"/>
      <c r="C1061" s="110"/>
      <c r="E1061" s="220"/>
      <c r="L1061" s="277"/>
      <c r="N1061" s="147"/>
      <c r="O1061" s="148"/>
      <c r="S1061" s="277"/>
      <c r="T1061" s="68"/>
      <c r="V1061" s="279"/>
      <c r="X1061" s="277"/>
      <c r="Y1061" s="453"/>
      <c r="Z1061" s="280"/>
      <c r="AA1061" s="277"/>
      <c r="AB1061" s="277"/>
      <c r="AC1061" s="277"/>
      <c r="AD1061" s="110"/>
      <c r="AE1061" s="147"/>
      <c r="AF1061" s="147"/>
      <c r="AG1061" s="281"/>
      <c r="AH1061" s="111"/>
      <c r="AI1061" s="111"/>
    </row>
    <row r="1062" spans="2:35">
      <c r="B1062" s="273"/>
      <c r="C1062" s="110"/>
      <c r="E1062" s="220"/>
      <c r="L1062" s="277"/>
      <c r="N1062" s="147"/>
      <c r="O1062" s="148"/>
      <c r="S1062" s="277"/>
      <c r="T1062" s="68"/>
      <c r="V1062" s="279"/>
      <c r="X1062" s="277"/>
      <c r="Y1062" s="453"/>
      <c r="Z1062" s="280"/>
      <c r="AA1062" s="277"/>
      <c r="AB1062" s="277"/>
      <c r="AC1062" s="277"/>
      <c r="AD1062" s="110"/>
      <c r="AE1062" s="147"/>
      <c r="AF1062" s="147"/>
      <c r="AG1062" s="281"/>
      <c r="AH1062" s="111"/>
      <c r="AI1062" s="111"/>
    </row>
    <row r="1063" spans="2:35">
      <c r="B1063" s="273"/>
      <c r="C1063" s="110"/>
      <c r="E1063" s="220"/>
      <c r="L1063" s="277"/>
      <c r="N1063" s="147"/>
      <c r="O1063" s="148"/>
      <c r="S1063" s="277"/>
      <c r="T1063" s="68"/>
      <c r="V1063" s="279"/>
      <c r="X1063" s="277"/>
      <c r="Y1063" s="453"/>
      <c r="Z1063" s="280"/>
      <c r="AA1063" s="277"/>
      <c r="AB1063" s="277"/>
      <c r="AC1063" s="277"/>
      <c r="AD1063" s="110"/>
      <c r="AE1063" s="147"/>
      <c r="AF1063" s="147"/>
      <c r="AG1063" s="281"/>
      <c r="AH1063" s="111"/>
      <c r="AI1063" s="111"/>
    </row>
    <row r="1064" spans="2:35">
      <c r="B1064" s="273"/>
      <c r="C1064" s="110"/>
      <c r="E1064" s="220"/>
      <c r="L1064" s="277"/>
      <c r="N1064" s="147"/>
      <c r="O1064" s="148"/>
      <c r="S1064" s="277"/>
      <c r="T1064" s="68"/>
      <c r="V1064" s="279"/>
      <c r="X1064" s="277"/>
      <c r="Y1064" s="453"/>
      <c r="Z1064" s="280"/>
      <c r="AA1064" s="277"/>
      <c r="AB1064" s="277"/>
      <c r="AC1064" s="277"/>
      <c r="AD1064" s="110"/>
      <c r="AE1064" s="147"/>
      <c r="AF1064" s="147"/>
      <c r="AG1064" s="281"/>
      <c r="AH1064" s="111"/>
      <c r="AI1064" s="111"/>
    </row>
    <row r="1065" spans="2:35">
      <c r="B1065" s="273"/>
      <c r="C1065" s="110"/>
      <c r="E1065" s="220"/>
      <c r="L1065" s="277"/>
      <c r="N1065" s="147"/>
      <c r="O1065" s="148"/>
      <c r="S1065" s="277"/>
      <c r="T1065" s="68"/>
      <c r="V1065" s="279"/>
      <c r="X1065" s="277"/>
      <c r="Y1065" s="453"/>
      <c r="Z1065" s="280"/>
      <c r="AA1065" s="277"/>
      <c r="AB1065" s="277"/>
      <c r="AC1065" s="277"/>
      <c r="AD1065" s="110"/>
      <c r="AE1065" s="147"/>
      <c r="AF1065" s="147"/>
      <c r="AG1065" s="281"/>
      <c r="AH1065" s="111"/>
      <c r="AI1065" s="111"/>
    </row>
    <row r="1066" spans="2:35">
      <c r="B1066" s="273"/>
      <c r="C1066" s="110"/>
      <c r="E1066" s="220"/>
      <c r="L1066" s="277"/>
      <c r="N1066" s="147"/>
      <c r="O1066" s="148"/>
      <c r="S1066" s="277"/>
      <c r="T1066" s="68"/>
      <c r="V1066" s="279"/>
      <c r="X1066" s="277"/>
      <c r="Y1066" s="453"/>
      <c r="Z1066" s="280"/>
      <c r="AA1066" s="277"/>
      <c r="AB1066" s="277"/>
      <c r="AC1066" s="277"/>
      <c r="AD1066" s="110"/>
      <c r="AE1066" s="147"/>
      <c r="AF1066" s="147"/>
      <c r="AG1066" s="281"/>
      <c r="AH1066" s="111"/>
      <c r="AI1066" s="111"/>
    </row>
    <row r="1067" spans="2:35">
      <c r="B1067" s="273"/>
      <c r="C1067" s="110"/>
      <c r="E1067" s="220"/>
      <c r="L1067" s="277"/>
      <c r="N1067" s="147"/>
      <c r="O1067" s="148"/>
      <c r="S1067" s="277"/>
      <c r="T1067" s="68"/>
      <c r="V1067" s="279"/>
      <c r="X1067" s="277"/>
      <c r="Y1067" s="453"/>
      <c r="Z1067" s="280"/>
      <c r="AA1067" s="277"/>
      <c r="AB1067" s="277"/>
      <c r="AC1067" s="277"/>
      <c r="AD1067" s="110"/>
      <c r="AE1067" s="147"/>
      <c r="AF1067" s="147"/>
      <c r="AG1067" s="281"/>
      <c r="AH1067" s="111"/>
      <c r="AI1067" s="111"/>
    </row>
    <row r="1068" spans="2:35">
      <c r="B1068" s="273"/>
      <c r="C1068" s="110"/>
      <c r="E1068" s="220"/>
      <c r="L1068" s="277"/>
      <c r="N1068" s="147"/>
      <c r="O1068" s="148"/>
      <c r="S1068" s="277"/>
      <c r="T1068" s="68"/>
      <c r="V1068" s="279"/>
      <c r="X1068" s="277"/>
      <c r="Y1068" s="453"/>
      <c r="Z1068" s="280"/>
      <c r="AA1068" s="277"/>
      <c r="AB1068" s="277"/>
      <c r="AC1068" s="277"/>
      <c r="AD1068" s="110"/>
      <c r="AE1068" s="147"/>
      <c r="AF1068" s="147"/>
      <c r="AG1068" s="281"/>
      <c r="AH1068" s="111"/>
      <c r="AI1068" s="111"/>
    </row>
    <row r="1069" spans="2:35">
      <c r="B1069" s="273"/>
      <c r="C1069" s="110"/>
      <c r="E1069" s="220"/>
      <c r="L1069" s="277"/>
      <c r="N1069" s="147"/>
      <c r="O1069" s="148"/>
      <c r="S1069" s="277"/>
      <c r="T1069" s="68"/>
      <c r="V1069" s="279"/>
      <c r="X1069" s="277"/>
      <c r="Y1069" s="453"/>
      <c r="Z1069" s="280"/>
      <c r="AA1069" s="277"/>
      <c r="AB1069" s="277"/>
      <c r="AC1069" s="277"/>
      <c r="AD1069" s="110"/>
      <c r="AE1069" s="147"/>
      <c r="AF1069" s="147"/>
      <c r="AG1069" s="281"/>
      <c r="AH1069" s="111"/>
      <c r="AI1069" s="111"/>
    </row>
    <row r="1070" spans="2:35">
      <c r="B1070" s="273"/>
      <c r="C1070" s="110"/>
      <c r="E1070" s="220"/>
      <c r="L1070" s="277"/>
      <c r="N1070" s="147"/>
      <c r="O1070" s="148"/>
      <c r="S1070" s="277"/>
      <c r="T1070" s="68"/>
      <c r="V1070" s="279"/>
      <c r="X1070" s="277"/>
      <c r="Y1070" s="453"/>
      <c r="Z1070" s="280"/>
      <c r="AA1070" s="277"/>
      <c r="AB1070" s="277"/>
      <c r="AC1070" s="277"/>
      <c r="AD1070" s="110"/>
      <c r="AE1070" s="147"/>
      <c r="AF1070" s="147"/>
      <c r="AG1070" s="281"/>
      <c r="AH1070" s="111"/>
      <c r="AI1070" s="111"/>
    </row>
    <row r="1071" spans="2:35">
      <c r="B1071" s="273"/>
      <c r="C1071" s="110"/>
      <c r="E1071" s="220"/>
      <c r="L1071" s="277"/>
      <c r="N1071" s="147"/>
      <c r="O1071" s="148"/>
      <c r="S1071" s="277"/>
      <c r="T1071" s="68"/>
      <c r="V1071" s="279"/>
      <c r="X1071" s="277"/>
      <c r="Y1071" s="453"/>
      <c r="Z1071" s="280"/>
      <c r="AA1071" s="277"/>
      <c r="AB1071" s="277"/>
      <c r="AC1071" s="277"/>
      <c r="AD1071" s="110"/>
      <c r="AE1071" s="147"/>
      <c r="AF1071" s="147"/>
      <c r="AG1071" s="281"/>
      <c r="AH1071" s="111"/>
      <c r="AI1071" s="111"/>
    </row>
    <row r="1072" spans="2:35">
      <c r="B1072" s="273"/>
      <c r="C1072" s="110"/>
      <c r="E1072" s="220"/>
      <c r="L1072" s="277"/>
      <c r="N1072" s="147"/>
      <c r="O1072" s="148"/>
      <c r="S1072" s="277"/>
      <c r="T1072" s="68"/>
      <c r="V1072" s="279"/>
      <c r="X1072" s="277"/>
      <c r="Y1072" s="453"/>
      <c r="Z1072" s="280"/>
      <c r="AA1072" s="277"/>
      <c r="AB1072" s="277"/>
      <c r="AC1072" s="277"/>
      <c r="AD1072" s="110"/>
      <c r="AE1072" s="147"/>
      <c r="AF1072" s="147"/>
      <c r="AG1072" s="281"/>
      <c r="AH1072" s="111"/>
      <c r="AI1072" s="111"/>
    </row>
    <row r="1073" spans="2:35">
      <c r="B1073" s="273"/>
      <c r="C1073" s="110"/>
      <c r="E1073" s="220"/>
      <c r="L1073" s="277"/>
      <c r="N1073" s="147"/>
      <c r="O1073" s="148"/>
      <c r="S1073" s="277"/>
      <c r="T1073" s="68"/>
      <c r="V1073" s="279"/>
      <c r="X1073" s="277"/>
      <c r="Y1073" s="453"/>
      <c r="Z1073" s="280"/>
      <c r="AA1073" s="277"/>
      <c r="AB1073" s="277"/>
      <c r="AC1073" s="277"/>
      <c r="AD1073" s="110"/>
      <c r="AE1073" s="147"/>
      <c r="AF1073" s="147"/>
      <c r="AG1073" s="281"/>
      <c r="AH1073" s="111"/>
      <c r="AI1073" s="111"/>
    </row>
    <row r="1074" spans="2:35">
      <c r="B1074" s="273"/>
      <c r="C1074" s="110"/>
      <c r="E1074" s="220"/>
      <c r="L1074" s="277"/>
      <c r="N1074" s="147"/>
      <c r="O1074" s="148"/>
      <c r="S1074" s="277"/>
      <c r="T1074" s="68"/>
      <c r="V1074" s="279"/>
      <c r="X1074" s="277"/>
      <c r="Y1074" s="453"/>
      <c r="Z1074" s="280"/>
      <c r="AA1074" s="277"/>
      <c r="AB1074" s="277"/>
      <c r="AC1074" s="277"/>
      <c r="AD1074" s="110"/>
      <c r="AE1074" s="147"/>
      <c r="AF1074" s="147"/>
      <c r="AG1074" s="281"/>
      <c r="AH1074" s="111"/>
      <c r="AI1074" s="111"/>
    </row>
    <row r="1075" spans="2:35">
      <c r="B1075" s="273"/>
      <c r="C1075" s="110"/>
      <c r="E1075" s="220"/>
      <c r="L1075" s="277"/>
      <c r="N1075" s="147"/>
      <c r="O1075" s="148"/>
      <c r="S1075" s="277"/>
      <c r="T1075" s="68"/>
      <c r="V1075" s="279"/>
      <c r="X1075" s="277"/>
      <c r="Y1075" s="453"/>
      <c r="Z1075" s="280"/>
      <c r="AA1075" s="277"/>
      <c r="AB1075" s="277"/>
      <c r="AC1075" s="277"/>
      <c r="AD1075" s="110"/>
      <c r="AE1075" s="147"/>
      <c r="AF1075" s="147"/>
      <c r="AG1075" s="281"/>
      <c r="AH1075" s="111"/>
      <c r="AI1075" s="111"/>
    </row>
    <row r="1076" spans="2:35">
      <c r="B1076" s="273"/>
      <c r="C1076" s="110"/>
      <c r="E1076" s="220"/>
      <c r="L1076" s="277"/>
      <c r="N1076" s="147"/>
      <c r="O1076" s="148"/>
      <c r="S1076" s="277"/>
      <c r="T1076" s="68"/>
      <c r="V1076" s="279"/>
      <c r="X1076" s="277"/>
      <c r="Y1076" s="453"/>
      <c r="Z1076" s="280"/>
      <c r="AA1076" s="277"/>
      <c r="AB1076" s="277"/>
      <c r="AC1076" s="277"/>
      <c r="AD1076" s="110"/>
      <c r="AE1076" s="147"/>
      <c r="AF1076" s="147"/>
      <c r="AG1076" s="281"/>
      <c r="AH1076" s="111"/>
      <c r="AI1076" s="111"/>
    </row>
    <row r="1077" spans="2:35">
      <c r="B1077" s="273"/>
      <c r="C1077" s="110"/>
      <c r="E1077" s="220"/>
      <c r="L1077" s="277"/>
      <c r="N1077" s="147"/>
      <c r="O1077" s="148"/>
      <c r="S1077" s="277"/>
      <c r="T1077" s="68"/>
      <c r="V1077" s="279"/>
      <c r="X1077" s="277"/>
      <c r="Y1077" s="453"/>
      <c r="Z1077" s="280"/>
      <c r="AA1077" s="277"/>
      <c r="AB1077" s="277"/>
      <c r="AC1077" s="277"/>
      <c r="AD1077" s="110"/>
      <c r="AE1077" s="147"/>
      <c r="AF1077" s="147"/>
      <c r="AG1077" s="281"/>
      <c r="AH1077" s="111"/>
      <c r="AI1077" s="111"/>
    </row>
    <row r="1078" spans="2:35">
      <c r="B1078" s="273"/>
      <c r="C1078" s="110"/>
      <c r="E1078" s="220"/>
      <c r="L1078" s="277"/>
      <c r="N1078" s="147"/>
      <c r="O1078" s="148"/>
      <c r="S1078" s="277"/>
      <c r="T1078" s="68"/>
      <c r="V1078" s="279"/>
      <c r="X1078" s="277"/>
      <c r="Y1078" s="453"/>
      <c r="Z1078" s="280"/>
      <c r="AA1078" s="277"/>
      <c r="AB1078" s="277"/>
      <c r="AC1078" s="277"/>
      <c r="AD1078" s="110"/>
      <c r="AE1078" s="147"/>
      <c r="AF1078" s="147"/>
      <c r="AG1078" s="281"/>
      <c r="AH1078" s="111"/>
      <c r="AI1078" s="111"/>
    </row>
    <row r="1079" spans="2:35">
      <c r="B1079" s="273"/>
      <c r="C1079" s="110"/>
      <c r="E1079" s="220"/>
      <c r="L1079" s="277"/>
      <c r="N1079" s="147"/>
      <c r="O1079" s="148"/>
      <c r="S1079" s="277"/>
      <c r="T1079" s="68"/>
      <c r="V1079" s="279"/>
      <c r="X1079" s="277"/>
      <c r="Y1079" s="453"/>
      <c r="Z1079" s="280"/>
      <c r="AA1079" s="277"/>
      <c r="AB1079" s="277"/>
      <c r="AC1079" s="277"/>
      <c r="AD1079" s="110"/>
      <c r="AE1079" s="147"/>
      <c r="AF1079" s="147"/>
      <c r="AG1079" s="281"/>
      <c r="AH1079" s="111"/>
      <c r="AI1079" s="111"/>
    </row>
    <row r="1080" spans="2:35">
      <c r="B1080" s="273"/>
      <c r="C1080" s="110"/>
      <c r="E1080" s="220"/>
      <c r="L1080" s="277"/>
      <c r="N1080" s="147"/>
      <c r="O1080" s="148"/>
      <c r="S1080" s="277"/>
      <c r="T1080" s="68"/>
      <c r="V1080" s="279"/>
      <c r="X1080" s="277"/>
      <c r="Y1080" s="453"/>
      <c r="Z1080" s="280"/>
      <c r="AA1080" s="277"/>
      <c r="AB1080" s="277"/>
      <c r="AC1080" s="277"/>
      <c r="AD1080" s="110"/>
      <c r="AE1080" s="147"/>
      <c r="AF1080" s="147"/>
      <c r="AG1080" s="281"/>
      <c r="AH1080" s="111"/>
      <c r="AI1080" s="111"/>
    </row>
    <row r="1081" spans="2:35">
      <c r="B1081" s="273"/>
      <c r="C1081" s="110"/>
      <c r="E1081" s="220"/>
      <c r="L1081" s="277"/>
      <c r="N1081" s="147"/>
      <c r="O1081" s="148"/>
      <c r="S1081" s="277"/>
      <c r="T1081" s="68"/>
      <c r="V1081" s="279"/>
      <c r="X1081" s="277"/>
      <c r="Y1081" s="453"/>
      <c r="Z1081" s="280"/>
      <c r="AA1081" s="277"/>
      <c r="AB1081" s="277"/>
      <c r="AC1081" s="277"/>
      <c r="AD1081" s="110"/>
      <c r="AE1081" s="147"/>
      <c r="AF1081" s="147"/>
      <c r="AG1081" s="281"/>
      <c r="AH1081" s="111"/>
      <c r="AI1081" s="111"/>
    </row>
    <row r="1082" spans="2:35">
      <c r="B1082" s="273"/>
      <c r="C1082" s="110"/>
      <c r="E1082" s="220"/>
      <c r="L1082" s="277"/>
      <c r="N1082" s="147"/>
      <c r="O1082" s="148"/>
      <c r="S1082" s="277"/>
      <c r="T1082" s="68"/>
      <c r="V1082" s="279"/>
      <c r="X1082" s="277"/>
      <c r="Y1082" s="453"/>
      <c r="Z1082" s="280"/>
      <c r="AA1082" s="277"/>
      <c r="AB1082" s="277"/>
      <c r="AC1082" s="277"/>
      <c r="AD1082" s="110"/>
      <c r="AE1082" s="147"/>
      <c r="AF1082" s="147"/>
      <c r="AG1082" s="281"/>
      <c r="AH1082" s="111"/>
      <c r="AI1082" s="111"/>
    </row>
    <row r="1083" spans="2:35">
      <c r="B1083" s="273"/>
      <c r="C1083" s="110"/>
      <c r="E1083" s="220"/>
      <c r="L1083" s="277"/>
      <c r="N1083" s="147"/>
      <c r="O1083" s="148"/>
      <c r="S1083" s="277"/>
      <c r="T1083" s="68"/>
      <c r="V1083" s="279"/>
      <c r="X1083" s="277"/>
      <c r="Y1083" s="453"/>
      <c r="Z1083" s="280"/>
      <c r="AA1083" s="277"/>
      <c r="AB1083" s="277"/>
      <c r="AC1083" s="277"/>
      <c r="AD1083" s="110"/>
      <c r="AE1083" s="147"/>
      <c r="AF1083" s="147"/>
      <c r="AG1083" s="281"/>
      <c r="AH1083" s="111"/>
      <c r="AI1083" s="111"/>
    </row>
    <row r="1084" spans="2:35">
      <c r="B1084" s="273"/>
      <c r="C1084" s="110"/>
      <c r="E1084" s="220"/>
      <c r="L1084" s="277"/>
      <c r="N1084" s="147"/>
      <c r="O1084" s="148"/>
      <c r="S1084" s="277"/>
      <c r="T1084" s="68"/>
      <c r="V1084" s="279"/>
      <c r="X1084" s="277"/>
      <c r="Y1084" s="453"/>
      <c r="Z1084" s="280"/>
      <c r="AA1084" s="277"/>
      <c r="AB1084" s="277"/>
      <c r="AC1084" s="277"/>
      <c r="AD1084" s="110"/>
      <c r="AE1084" s="147"/>
      <c r="AF1084" s="147"/>
      <c r="AG1084" s="281"/>
      <c r="AH1084" s="111"/>
      <c r="AI1084" s="111"/>
    </row>
    <row r="1085" spans="2:35">
      <c r="B1085" s="273"/>
      <c r="C1085" s="110"/>
      <c r="E1085" s="220"/>
      <c r="L1085" s="277"/>
      <c r="N1085" s="147"/>
      <c r="O1085" s="148"/>
      <c r="S1085" s="277"/>
      <c r="T1085" s="68"/>
      <c r="V1085" s="279"/>
      <c r="X1085" s="277"/>
      <c r="Y1085" s="453"/>
      <c r="Z1085" s="280"/>
      <c r="AA1085" s="277"/>
      <c r="AB1085" s="277"/>
      <c r="AC1085" s="277"/>
      <c r="AD1085" s="110"/>
      <c r="AE1085" s="147"/>
      <c r="AF1085" s="147"/>
      <c r="AG1085" s="281"/>
      <c r="AH1085" s="111"/>
      <c r="AI1085" s="111"/>
    </row>
    <row r="1086" spans="2:35">
      <c r="B1086" s="273"/>
      <c r="C1086" s="110"/>
      <c r="E1086" s="220"/>
      <c r="L1086" s="277"/>
      <c r="N1086" s="147"/>
      <c r="O1086" s="148"/>
      <c r="S1086" s="277"/>
      <c r="T1086" s="68"/>
      <c r="V1086" s="279"/>
      <c r="X1086" s="277"/>
      <c r="Y1086" s="453"/>
      <c r="Z1086" s="280"/>
      <c r="AA1086" s="277"/>
      <c r="AB1086" s="277"/>
      <c r="AC1086" s="277"/>
      <c r="AD1086" s="110"/>
      <c r="AE1086" s="147"/>
      <c r="AF1086" s="147"/>
      <c r="AG1086" s="281"/>
      <c r="AH1086" s="111"/>
      <c r="AI1086" s="111"/>
    </row>
    <row r="1087" spans="2:35">
      <c r="B1087" s="273"/>
      <c r="C1087" s="110"/>
      <c r="E1087" s="220"/>
      <c r="L1087" s="277"/>
      <c r="N1087" s="147"/>
      <c r="O1087" s="148"/>
      <c r="S1087" s="277"/>
      <c r="T1087" s="68"/>
      <c r="V1087" s="279"/>
      <c r="X1087" s="277"/>
      <c r="Y1087" s="453"/>
      <c r="Z1087" s="280"/>
      <c r="AA1087" s="277"/>
      <c r="AB1087" s="277"/>
      <c r="AC1087" s="277"/>
      <c r="AD1087" s="110"/>
      <c r="AE1087" s="147"/>
      <c r="AF1087" s="147"/>
      <c r="AG1087" s="281"/>
      <c r="AH1087" s="111"/>
      <c r="AI1087" s="111"/>
    </row>
    <row r="1088" spans="2:35">
      <c r="B1088" s="273"/>
      <c r="C1088" s="110"/>
      <c r="E1088" s="220"/>
      <c r="L1088" s="277"/>
      <c r="N1088" s="147"/>
      <c r="O1088" s="148"/>
      <c r="S1088" s="277"/>
      <c r="T1088" s="68"/>
      <c r="V1088" s="279"/>
      <c r="X1088" s="277"/>
      <c r="Y1088" s="453"/>
      <c r="Z1088" s="280"/>
      <c r="AA1088" s="277"/>
      <c r="AB1088" s="277"/>
      <c r="AC1088" s="277"/>
      <c r="AD1088" s="110"/>
      <c r="AE1088" s="147"/>
      <c r="AF1088" s="147"/>
      <c r="AG1088" s="281"/>
      <c r="AH1088" s="111"/>
      <c r="AI1088" s="111"/>
    </row>
    <row r="1089" spans="2:35">
      <c r="B1089" s="273"/>
      <c r="C1089" s="110"/>
      <c r="E1089" s="220"/>
      <c r="L1089" s="277"/>
      <c r="N1089" s="147"/>
      <c r="O1089" s="148"/>
      <c r="S1089" s="277"/>
      <c r="T1089" s="68"/>
      <c r="V1089" s="279"/>
      <c r="X1089" s="277"/>
      <c r="Y1089" s="453"/>
      <c r="Z1089" s="280"/>
      <c r="AA1089" s="277"/>
      <c r="AB1089" s="277"/>
      <c r="AC1089" s="277"/>
      <c r="AD1089" s="110"/>
      <c r="AE1089" s="147"/>
      <c r="AF1089" s="147"/>
      <c r="AG1089" s="281"/>
      <c r="AH1089" s="111"/>
      <c r="AI1089" s="111"/>
    </row>
    <row r="1090" spans="2:35">
      <c r="B1090" s="273"/>
      <c r="C1090" s="110"/>
      <c r="E1090" s="220"/>
      <c r="L1090" s="277"/>
      <c r="N1090" s="147"/>
      <c r="O1090" s="148"/>
      <c r="S1090" s="277"/>
      <c r="T1090" s="68"/>
      <c r="V1090" s="279"/>
      <c r="X1090" s="277"/>
      <c r="Y1090" s="453"/>
      <c r="Z1090" s="280"/>
      <c r="AA1090" s="277"/>
      <c r="AB1090" s="277"/>
      <c r="AC1090" s="277"/>
      <c r="AD1090" s="110"/>
      <c r="AE1090" s="147"/>
      <c r="AF1090" s="147"/>
      <c r="AG1090" s="281"/>
      <c r="AH1090" s="111"/>
      <c r="AI1090" s="111"/>
    </row>
    <row r="1091" spans="2:35">
      <c r="B1091" s="273"/>
      <c r="C1091" s="110"/>
      <c r="E1091" s="220"/>
      <c r="L1091" s="277"/>
      <c r="N1091" s="147"/>
      <c r="O1091" s="148"/>
      <c r="S1091" s="277"/>
      <c r="T1091" s="68"/>
      <c r="V1091" s="279"/>
      <c r="X1091" s="277"/>
      <c r="Y1091" s="453"/>
      <c r="Z1091" s="280"/>
      <c r="AA1091" s="277"/>
      <c r="AB1091" s="277"/>
      <c r="AC1091" s="277"/>
      <c r="AD1091" s="110"/>
      <c r="AE1091" s="147"/>
      <c r="AF1091" s="147"/>
      <c r="AG1091" s="281"/>
      <c r="AH1091" s="111"/>
      <c r="AI1091" s="111"/>
    </row>
    <row r="1092" spans="2:35">
      <c r="B1092" s="273"/>
      <c r="C1092" s="110"/>
      <c r="E1092" s="220"/>
      <c r="L1092" s="277"/>
      <c r="N1092" s="147"/>
      <c r="O1092" s="148"/>
      <c r="S1092" s="277"/>
      <c r="T1092" s="68"/>
      <c r="V1092" s="279"/>
      <c r="X1092" s="277"/>
      <c r="Y1092" s="453"/>
      <c r="Z1092" s="280"/>
      <c r="AA1092" s="277"/>
      <c r="AB1092" s="277"/>
      <c r="AC1092" s="277"/>
      <c r="AD1092" s="110"/>
      <c r="AE1092" s="147"/>
      <c r="AF1092" s="147"/>
      <c r="AG1092" s="281"/>
      <c r="AH1092" s="111"/>
      <c r="AI1092" s="111"/>
    </row>
    <row r="1093" spans="2:35">
      <c r="B1093" s="273"/>
      <c r="C1093" s="110"/>
      <c r="E1093" s="220"/>
      <c r="L1093" s="277"/>
      <c r="N1093" s="147"/>
      <c r="O1093" s="148"/>
      <c r="S1093" s="277"/>
      <c r="T1093" s="68"/>
      <c r="V1093" s="279"/>
      <c r="X1093" s="277"/>
      <c r="Y1093" s="453"/>
      <c r="Z1093" s="280"/>
      <c r="AA1093" s="277"/>
      <c r="AB1093" s="277"/>
      <c r="AC1093" s="277"/>
      <c r="AD1093" s="110"/>
      <c r="AE1093" s="147"/>
      <c r="AF1093" s="147"/>
      <c r="AG1093" s="281"/>
      <c r="AH1093" s="111"/>
      <c r="AI1093" s="111"/>
    </row>
    <row r="1094" spans="2:35">
      <c r="B1094" s="273"/>
      <c r="C1094" s="110"/>
      <c r="E1094" s="220"/>
      <c r="L1094" s="277"/>
      <c r="N1094" s="147"/>
      <c r="O1094" s="148"/>
      <c r="S1094" s="277"/>
      <c r="T1094" s="68"/>
      <c r="V1094" s="279"/>
      <c r="X1094" s="277"/>
      <c r="Y1094" s="453"/>
      <c r="Z1094" s="280"/>
      <c r="AA1094" s="277"/>
      <c r="AB1094" s="277"/>
      <c r="AC1094" s="277"/>
      <c r="AD1094" s="110"/>
      <c r="AE1094" s="147"/>
      <c r="AF1094" s="147"/>
      <c r="AG1094" s="281"/>
      <c r="AH1094" s="111"/>
      <c r="AI1094" s="111"/>
    </row>
    <row r="1095" spans="2:35">
      <c r="B1095" s="273"/>
      <c r="C1095" s="110"/>
      <c r="E1095" s="220"/>
      <c r="L1095" s="277"/>
      <c r="N1095" s="147"/>
      <c r="O1095" s="148"/>
      <c r="S1095" s="277"/>
      <c r="T1095" s="68"/>
      <c r="V1095" s="279"/>
      <c r="X1095" s="277"/>
      <c r="Y1095" s="453"/>
      <c r="Z1095" s="280"/>
      <c r="AA1095" s="277"/>
      <c r="AB1095" s="277"/>
      <c r="AC1095" s="277"/>
      <c r="AD1095" s="110"/>
      <c r="AE1095" s="147"/>
      <c r="AF1095" s="147"/>
      <c r="AG1095" s="281"/>
      <c r="AH1095" s="111"/>
      <c r="AI1095" s="111"/>
    </row>
    <row r="1096" spans="2:35">
      <c r="B1096" s="273"/>
      <c r="C1096" s="110"/>
      <c r="E1096" s="220"/>
      <c r="L1096" s="277"/>
      <c r="N1096" s="147"/>
      <c r="O1096" s="148"/>
      <c r="S1096" s="277"/>
      <c r="T1096" s="68"/>
      <c r="V1096" s="279"/>
      <c r="X1096" s="277"/>
      <c r="Y1096" s="453"/>
      <c r="Z1096" s="280"/>
      <c r="AA1096" s="277"/>
      <c r="AB1096" s="277"/>
      <c r="AC1096" s="277"/>
      <c r="AD1096" s="110"/>
      <c r="AE1096" s="147"/>
      <c r="AF1096" s="147"/>
      <c r="AG1096" s="281"/>
      <c r="AH1096" s="111"/>
      <c r="AI1096" s="111"/>
    </row>
    <row r="1097" spans="2:35">
      <c r="B1097" s="273"/>
      <c r="C1097" s="110"/>
      <c r="E1097" s="220"/>
      <c r="L1097" s="277"/>
      <c r="N1097" s="147"/>
      <c r="O1097" s="148"/>
      <c r="S1097" s="277"/>
      <c r="T1097" s="68"/>
      <c r="V1097" s="279"/>
      <c r="X1097" s="277"/>
      <c r="Y1097" s="453"/>
      <c r="Z1097" s="280"/>
      <c r="AA1097" s="277"/>
      <c r="AB1097" s="277"/>
      <c r="AC1097" s="277"/>
      <c r="AD1097" s="110"/>
      <c r="AE1097" s="147"/>
      <c r="AF1097" s="147"/>
      <c r="AG1097" s="281"/>
      <c r="AH1097" s="111"/>
      <c r="AI1097" s="111"/>
    </row>
    <row r="1098" spans="2:35">
      <c r="B1098" s="273"/>
      <c r="C1098" s="110"/>
      <c r="E1098" s="220"/>
      <c r="L1098" s="277"/>
      <c r="N1098" s="147"/>
      <c r="O1098" s="148"/>
      <c r="S1098" s="277"/>
      <c r="T1098" s="68"/>
      <c r="V1098" s="279"/>
      <c r="X1098" s="277"/>
      <c r="Y1098" s="453"/>
      <c r="Z1098" s="280"/>
      <c r="AA1098" s="277"/>
      <c r="AB1098" s="277"/>
      <c r="AC1098" s="277"/>
      <c r="AD1098" s="110"/>
      <c r="AE1098" s="147"/>
      <c r="AF1098" s="147"/>
      <c r="AG1098" s="281"/>
      <c r="AH1098" s="111"/>
      <c r="AI1098" s="111"/>
    </row>
    <row r="1099" spans="2:35">
      <c r="B1099" s="273"/>
      <c r="C1099" s="110"/>
      <c r="E1099" s="220"/>
      <c r="L1099" s="277"/>
      <c r="N1099" s="147"/>
      <c r="O1099" s="148"/>
      <c r="S1099" s="277"/>
      <c r="T1099" s="68"/>
      <c r="V1099" s="279"/>
      <c r="X1099" s="277"/>
      <c r="Y1099" s="453"/>
      <c r="Z1099" s="280"/>
      <c r="AA1099" s="277"/>
      <c r="AB1099" s="277"/>
      <c r="AC1099" s="277"/>
      <c r="AD1099" s="110"/>
      <c r="AE1099" s="147"/>
      <c r="AF1099" s="147"/>
      <c r="AG1099" s="281"/>
      <c r="AH1099" s="111"/>
      <c r="AI1099" s="111"/>
    </row>
    <row r="1100" spans="2:35">
      <c r="B1100" s="273"/>
      <c r="C1100" s="110"/>
      <c r="E1100" s="220"/>
      <c r="L1100" s="277"/>
      <c r="N1100" s="147"/>
      <c r="O1100" s="148"/>
      <c r="S1100" s="277"/>
      <c r="T1100" s="68"/>
      <c r="V1100" s="279"/>
      <c r="X1100" s="277"/>
      <c r="Y1100" s="453"/>
      <c r="Z1100" s="280"/>
      <c r="AA1100" s="277"/>
      <c r="AB1100" s="277"/>
      <c r="AC1100" s="277"/>
      <c r="AD1100" s="110"/>
      <c r="AE1100" s="147"/>
      <c r="AF1100" s="147"/>
      <c r="AG1100" s="281"/>
      <c r="AH1100" s="111"/>
      <c r="AI1100" s="111"/>
    </row>
    <row r="1101" spans="2:35">
      <c r="B1101" s="273"/>
      <c r="C1101" s="110"/>
      <c r="E1101" s="220"/>
      <c r="L1101" s="277"/>
      <c r="N1101" s="147"/>
      <c r="O1101" s="148"/>
      <c r="S1101" s="277"/>
      <c r="T1101" s="68"/>
      <c r="V1101" s="279"/>
      <c r="X1101" s="277"/>
      <c r="Y1101" s="453"/>
      <c r="Z1101" s="280"/>
      <c r="AA1101" s="277"/>
      <c r="AB1101" s="277"/>
      <c r="AC1101" s="277"/>
      <c r="AD1101" s="110"/>
      <c r="AE1101" s="147"/>
      <c r="AF1101" s="147"/>
      <c r="AG1101" s="281"/>
      <c r="AH1101" s="111"/>
      <c r="AI1101" s="111"/>
    </row>
    <row r="1102" spans="2:35">
      <c r="B1102" s="273"/>
      <c r="C1102" s="110"/>
      <c r="E1102" s="220"/>
      <c r="L1102" s="277"/>
      <c r="N1102" s="147"/>
      <c r="O1102" s="148"/>
      <c r="S1102" s="277"/>
      <c r="T1102" s="68"/>
      <c r="V1102" s="279"/>
      <c r="X1102" s="277"/>
      <c r="Y1102" s="453"/>
      <c r="Z1102" s="280"/>
      <c r="AA1102" s="277"/>
      <c r="AB1102" s="277"/>
      <c r="AC1102" s="277"/>
      <c r="AD1102" s="110"/>
      <c r="AE1102" s="147"/>
      <c r="AF1102" s="147"/>
      <c r="AG1102" s="281"/>
      <c r="AH1102" s="111"/>
      <c r="AI1102" s="111"/>
    </row>
    <row r="1103" spans="2:35">
      <c r="B1103" s="273"/>
      <c r="C1103" s="110"/>
      <c r="E1103" s="220"/>
      <c r="L1103" s="277"/>
      <c r="N1103" s="147"/>
      <c r="O1103" s="148"/>
      <c r="S1103" s="277"/>
      <c r="T1103" s="68"/>
      <c r="V1103" s="279"/>
      <c r="X1103" s="277"/>
      <c r="Y1103" s="453"/>
      <c r="Z1103" s="280"/>
      <c r="AA1103" s="277"/>
      <c r="AB1103" s="277"/>
      <c r="AC1103" s="277"/>
      <c r="AD1103" s="110"/>
      <c r="AE1103" s="147"/>
      <c r="AF1103" s="147"/>
      <c r="AG1103" s="281"/>
      <c r="AH1103" s="111"/>
      <c r="AI1103" s="111"/>
    </row>
    <row r="1104" spans="2:35">
      <c r="B1104" s="273"/>
      <c r="C1104" s="110"/>
      <c r="E1104" s="220"/>
      <c r="L1104" s="277"/>
      <c r="N1104" s="147"/>
      <c r="O1104" s="148"/>
      <c r="S1104" s="277"/>
      <c r="T1104" s="68"/>
      <c r="V1104" s="279"/>
      <c r="X1104" s="277"/>
      <c r="Y1104" s="453"/>
      <c r="Z1104" s="280"/>
      <c r="AA1104" s="277"/>
      <c r="AB1104" s="277"/>
      <c r="AC1104" s="277"/>
      <c r="AD1104" s="110"/>
      <c r="AE1104" s="147"/>
      <c r="AF1104" s="147"/>
      <c r="AG1104" s="281"/>
      <c r="AH1104" s="111"/>
      <c r="AI1104" s="111"/>
    </row>
    <row r="1105" spans="2:35">
      <c r="B1105" s="273"/>
      <c r="C1105" s="110"/>
      <c r="E1105" s="220"/>
      <c r="L1105" s="277"/>
      <c r="N1105" s="147"/>
      <c r="O1105" s="148"/>
      <c r="S1105" s="277"/>
      <c r="T1105" s="68"/>
      <c r="V1105" s="279"/>
      <c r="X1105" s="277"/>
      <c r="Y1105" s="453"/>
      <c r="Z1105" s="280"/>
      <c r="AA1105" s="277"/>
      <c r="AB1105" s="277"/>
      <c r="AC1105" s="277"/>
      <c r="AD1105" s="110"/>
      <c r="AE1105" s="147"/>
      <c r="AF1105" s="147"/>
      <c r="AG1105" s="281"/>
      <c r="AH1105" s="111"/>
      <c r="AI1105" s="111"/>
    </row>
    <row r="1106" spans="2:35">
      <c r="B1106" s="273"/>
      <c r="C1106" s="110"/>
      <c r="E1106" s="220"/>
      <c r="L1106" s="277"/>
      <c r="N1106" s="147"/>
      <c r="O1106" s="148"/>
      <c r="S1106" s="277"/>
      <c r="T1106" s="68"/>
      <c r="V1106" s="279"/>
      <c r="X1106" s="277"/>
      <c r="Y1106" s="453"/>
      <c r="Z1106" s="280"/>
      <c r="AA1106" s="277"/>
      <c r="AB1106" s="277"/>
      <c r="AC1106" s="277"/>
      <c r="AD1106" s="110"/>
      <c r="AE1106" s="147"/>
      <c r="AF1106" s="147"/>
      <c r="AG1106" s="281"/>
      <c r="AH1106" s="111"/>
      <c r="AI1106" s="111"/>
    </row>
    <row r="1107" spans="2:35">
      <c r="B1107" s="273"/>
      <c r="C1107" s="110"/>
      <c r="E1107" s="220"/>
      <c r="L1107" s="277"/>
      <c r="N1107" s="147"/>
      <c r="O1107" s="148"/>
      <c r="S1107" s="277"/>
      <c r="T1107" s="68"/>
      <c r="V1107" s="279"/>
      <c r="X1107" s="277"/>
      <c r="Y1107" s="453"/>
      <c r="Z1107" s="280"/>
      <c r="AA1107" s="277"/>
      <c r="AB1107" s="277"/>
      <c r="AC1107" s="277"/>
      <c r="AD1107" s="110"/>
      <c r="AE1107" s="147"/>
      <c r="AF1107" s="147"/>
      <c r="AG1107" s="281"/>
      <c r="AH1107" s="111"/>
      <c r="AI1107" s="111"/>
    </row>
    <row r="1108" spans="2:35">
      <c r="B1108" s="273"/>
      <c r="C1108" s="110"/>
      <c r="E1108" s="220"/>
      <c r="L1108" s="277"/>
      <c r="N1108" s="147"/>
      <c r="O1108" s="148"/>
      <c r="S1108" s="277"/>
      <c r="T1108" s="68"/>
      <c r="V1108" s="279"/>
      <c r="X1108" s="277"/>
      <c r="Y1108" s="453"/>
      <c r="Z1108" s="280"/>
      <c r="AA1108" s="277"/>
      <c r="AB1108" s="277"/>
      <c r="AC1108" s="277"/>
      <c r="AD1108" s="110"/>
      <c r="AE1108" s="147"/>
      <c r="AF1108" s="147"/>
      <c r="AG1108" s="281"/>
      <c r="AH1108" s="111"/>
      <c r="AI1108" s="111"/>
    </row>
    <row r="1109" spans="2:35">
      <c r="B1109" s="273"/>
      <c r="C1109" s="110"/>
      <c r="E1109" s="220"/>
      <c r="L1109" s="277"/>
      <c r="N1109" s="147"/>
      <c r="O1109" s="148"/>
      <c r="S1109" s="277"/>
      <c r="T1109" s="68"/>
      <c r="V1109" s="279"/>
      <c r="X1109" s="277"/>
      <c r="Y1109" s="453"/>
      <c r="Z1109" s="280"/>
      <c r="AA1109" s="277"/>
      <c r="AB1109" s="277"/>
      <c r="AC1109" s="277"/>
      <c r="AD1109" s="110"/>
      <c r="AE1109" s="147"/>
      <c r="AF1109" s="147"/>
      <c r="AG1109" s="281"/>
      <c r="AH1109" s="111"/>
      <c r="AI1109" s="111"/>
    </row>
    <row r="1110" spans="2:35">
      <c r="B1110" s="273"/>
      <c r="C1110" s="110"/>
      <c r="E1110" s="220"/>
      <c r="L1110" s="277"/>
      <c r="N1110" s="147"/>
      <c r="O1110" s="148"/>
      <c r="S1110" s="277"/>
      <c r="T1110" s="68"/>
      <c r="V1110" s="279"/>
      <c r="X1110" s="277"/>
      <c r="Y1110" s="453"/>
      <c r="Z1110" s="280"/>
      <c r="AA1110" s="277"/>
      <c r="AB1110" s="277"/>
      <c r="AC1110" s="277"/>
      <c r="AD1110" s="110"/>
      <c r="AE1110" s="147"/>
      <c r="AF1110" s="147"/>
      <c r="AG1110" s="281"/>
      <c r="AH1110" s="111"/>
      <c r="AI1110" s="111"/>
    </row>
    <row r="1111" spans="2:35">
      <c r="B1111" s="273"/>
      <c r="C1111" s="110"/>
      <c r="E1111" s="220"/>
      <c r="L1111" s="277"/>
      <c r="N1111" s="147"/>
      <c r="O1111" s="148"/>
      <c r="S1111" s="277"/>
      <c r="T1111" s="68"/>
      <c r="V1111" s="279"/>
      <c r="X1111" s="277"/>
      <c r="Y1111" s="453"/>
      <c r="Z1111" s="280"/>
      <c r="AA1111" s="277"/>
      <c r="AB1111" s="277"/>
      <c r="AC1111" s="277"/>
      <c r="AD1111" s="110"/>
      <c r="AE1111" s="147"/>
      <c r="AF1111" s="147"/>
      <c r="AG1111" s="281"/>
      <c r="AH1111" s="111"/>
      <c r="AI1111" s="111"/>
    </row>
    <row r="1112" spans="2:35">
      <c r="B1112" s="273"/>
      <c r="C1112" s="110"/>
      <c r="E1112" s="220"/>
      <c r="L1112" s="277"/>
      <c r="N1112" s="147"/>
      <c r="O1112" s="148"/>
      <c r="S1112" s="277"/>
      <c r="T1112" s="68"/>
      <c r="V1112" s="279"/>
      <c r="X1112" s="277"/>
      <c r="Y1112" s="453"/>
      <c r="Z1112" s="280"/>
      <c r="AA1112" s="277"/>
      <c r="AB1112" s="277"/>
      <c r="AC1112" s="277"/>
      <c r="AD1112" s="110"/>
      <c r="AE1112" s="147"/>
      <c r="AF1112" s="147"/>
      <c r="AG1112" s="281"/>
      <c r="AH1112" s="111"/>
      <c r="AI1112" s="111"/>
    </row>
    <row r="1113" spans="2:35">
      <c r="B1113" s="273"/>
      <c r="C1113" s="110"/>
      <c r="E1113" s="220"/>
      <c r="L1113" s="277"/>
      <c r="N1113" s="147"/>
      <c r="O1113" s="148"/>
      <c r="S1113" s="277"/>
      <c r="T1113" s="68"/>
      <c r="V1113" s="279"/>
      <c r="X1113" s="277"/>
      <c r="Y1113" s="453"/>
      <c r="Z1113" s="280"/>
      <c r="AA1113" s="277"/>
      <c r="AB1113" s="277"/>
      <c r="AC1113" s="277"/>
      <c r="AD1113" s="110"/>
      <c r="AE1113" s="147"/>
      <c r="AF1113" s="147"/>
      <c r="AG1113" s="281"/>
      <c r="AH1113" s="111"/>
      <c r="AI1113" s="111"/>
    </row>
    <row r="1114" spans="2:35">
      <c r="B1114" s="273"/>
      <c r="C1114" s="110"/>
      <c r="E1114" s="220"/>
      <c r="L1114" s="277"/>
      <c r="N1114" s="147"/>
      <c r="O1114" s="148"/>
      <c r="S1114" s="277"/>
      <c r="T1114" s="68"/>
      <c r="V1114" s="279"/>
      <c r="X1114" s="277"/>
      <c r="Y1114" s="453"/>
      <c r="Z1114" s="280"/>
      <c r="AA1114" s="277"/>
      <c r="AB1114" s="277"/>
      <c r="AC1114" s="277"/>
      <c r="AD1114" s="110"/>
      <c r="AE1114" s="147"/>
      <c r="AF1114" s="147"/>
      <c r="AG1114" s="281"/>
      <c r="AH1114" s="111"/>
      <c r="AI1114" s="111"/>
    </row>
    <row r="1115" spans="2:35">
      <c r="B1115" s="273"/>
      <c r="C1115" s="110"/>
      <c r="E1115" s="220"/>
      <c r="L1115" s="277"/>
      <c r="N1115" s="147"/>
      <c r="O1115" s="148"/>
      <c r="S1115" s="277"/>
      <c r="T1115" s="68"/>
      <c r="V1115" s="279"/>
      <c r="X1115" s="277"/>
      <c r="Y1115" s="453"/>
      <c r="Z1115" s="280"/>
      <c r="AA1115" s="277"/>
      <c r="AB1115" s="277"/>
      <c r="AC1115" s="277"/>
      <c r="AD1115" s="110"/>
      <c r="AE1115" s="147"/>
      <c r="AF1115" s="147"/>
      <c r="AG1115" s="281"/>
      <c r="AH1115" s="111"/>
      <c r="AI1115" s="111"/>
    </row>
    <row r="1116" spans="2:35">
      <c r="B1116" s="273"/>
      <c r="C1116" s="110"/>
      <c r="E1116" s="220"/>
      <c r="L1116" s="277"/>
      <c r="N1116" s="147"/>
      <c r="O1116" s="148"/>
      <c r="S1116" s="277"/>
      <c r="T1116" s="68"/>
      <c r="V1116" s="279"/>
      <c r="X1116" s="277"/>
      <c r="Y1116" s="453"/>
      <c r="Z1116" s="280"/>
      <c r="AA1116" s="277"/>
      <c r="AB1116" s="277"/>
      <c r="AC1116" s="277"/>
      <c r="AD1116" s="110"/>
      <c r="AE1116" s="147"/>
      <c r="AF1116" s="147"/>
      <c r="AG1116" s="281"/>
      <c r="AH1116" s="111"/>
      <c r="AI1116" s="111"/>
    </row>
    <row r="1117" spans="2:35">
      <c r="B1117" s="273"/>
      <c r="C1117" s="110"/>
      <c r="E1117" s="220"/>
      <c r="L1117" s="277"/>
      <c r="N1117" s="147"/>
      <c r="O1117" s="148"/>
      <c r="S1117" s="277"/>
      <c r="T1117" s="68"/>
      <c r="V1117" s="279"/>
      <c r="X1117" s="277"/>
      <c r="Y1117" s="453"/>
      <c r="Z1117" s="280"/>
      <c r="AA1117" s="277"/>
      <c r="AB1117" s="277"/>
      <c r="AC1117" s="277"/>
      <c r="AD1117" s="110"/>
      <c r="AE1117" s="147"/>
      <c r="AF1117" s="147"/>
      <c r="AG1117" s="281"/>
      <c r="AH1117" s="111"/>
      <c r="AI1117" s="111"/>
    </row>
    <row r="1118" spans="2:35">
      <c r="B1118" s="273"/>
      <c r="C1118" s="110"/>
      <c r="E1118" s="220"/>
      <c r="L1118" s="277"/>
      <c r="N1118" s="147"/>
      <c r="O1118" s="148"/>
      <c r="S1118" s="277"/>
      <c r="T1118" s="68"/>
      <c r="V1118" s="279"/>
      <c r="X1118" s="277"/>
      <c r="Y1118" s="453"/>
      <c r="Z1118" s="280"/>
      <c r="AA1118" s="277"/>
      <c r="AB1118" s="277"/>
      <c r="AC1118" s="277"/>
      <c r="AD1118" s="110"/>
      <c r="AE1118" s="147"/>
      <c r="AF1118" s="147"/>
      <c r="AG1118" s="281"/>
      <c r="AH1118" s="111"/>
      <c r="AI1118" s="111"/>
    </row>
    <row r="1119" spans="2:35">
      <c r="B1119" s="273"/>
      <c r="C1119" s="110"/>
      <c r="E1119" s="220"/>
      <c r="L1119" s="277"/>
      <c r="N1119" s="147"/>
      <c r="O1119" s="148"/>
      <c r="S1119" s="277"/>
      <c r="T1119" s="68"/>
      <c r="V1119" s="279"/>
      <c r="X1119" s="277"/>
      <c r="Y1119" s="453"/>
      <c r="Z1119" s="280"/>
      <c r="AA1119" s="277"/>
      <c r="AB1119" s="277"/>
      <c r="AC1119" s="277"/>
      <c r="AD1119" s="110"/>
      <c r="AE1119" s="147"/>
      <c r="AF1119" s="147"/>
      <c r="AG1119" s="281"/>
      <c r="AH1119" s="111"/>
      <c r="AI1119" s="111"/>
    </row>
    <row r="1120" spans="2:35">
      <c r="B1120" s="273"/>
      <c r="C1120" s="110"/>
      <c r="E1120" s="220"/>
      <c r="L1120" s="277"/>
      <c r="N1120" s="147"/>
      <c r="O1120" s="148"/>
      <c r="S1120" s="277"/>
      <c r="T1120" s="68"/>
      <c r="V1120" s="279"/>
      <c r="X1120" s="277"/>
      <c r="Y1120" s="453"/>
      <c r="Z1120" s="280"/>
      <c r="AA1120" s="277"/>
      <c r="AB1120" s="277"/>
      <c r="AC1120" s="277"/>
      <c r="AD1120" s="110"/>
      <c r="AE1120" s="147"/>
      <c r="AF1120" s="147"/>
      <c r="AG1120" s="281"/>
      <c r="AH1120" s="111"/>
      <c r="AI1120" s="111"/>
    </row>
    <row r="1121" spans="2:35">
      <c r="B1121" s="273"/>
      <c r="C1121" s="110"/>
      <c r="E1121" s="220"/>
      <c r="L1121" s="277"/>
      <c r="N1121" s="147"/>
      <c r="O1121" s="148"/>
      <c r="S1121" s="277"/>
      <c r="T1121" s="68"/>
      <c r="V1121" s="279"/>
      <c r="X1121" s="277"/>
      <c r="Y1121" s="453"/>
      <c r="Z1121" s="280"/>
      <c r="AA1121" s="277"/>
      <c r="AB1121" s="277"/>
      <c r="AC1121" s="277"/>
      <c r="AD1121" s="110"/>
      <c r="AE1121" s="147"/>
      <c r="AF1121" s="147"/>
      <c r="AG1121" s="281"/>
      <c r="AH1121" s="111"/>
      <c r="AI1121" s="111"/>
    </row>
    <row r="1122" spans="2:35">
      <c r="B1122" s="273"/>
      <c r="C1122" s="110"/>
      <c r="E1122" s="220"/>
      <c r="L1122" s="277"/>
      <c r="N1122" s="147"/>
      <c r="O1122" s="148"/>
      <c r="S1122" s="277"/>
      <c r="T1122" s="68"/>
      <c r="V1122" s="279"/>
      <c r="X1122" s="277"/>
      <c r="Y1122" s="453"/>
      <c r="Z1122" s="280"/>
      <c r="AA1122" s="277"/>
      <c r="AB1122" s="277"/>
      <c r="AC1122" s="277"/>
      <c r="AD1122" s="110"/>
      <c r="AE1122" s="147"/>
      <c r="AF1122" s="147"/>
      <c r="AG1122" s="281"/>
      <c r="AH1122" s="111"/>
      <c r="AI1122" s="111"/>
    </row>
    <row r="1123" spans="2:35">
      <c r="B1123" s="273"/>
      <c r="C1123" s="110"/>
      <c r="E1123" s="220"/>
      <c r="L1123" s="277"/>
      <c r="N1123" s="147"/>
      <c r="O1123" s="148"/>
      <c r="S1123" s="277"/>
      <c r="T1123" s="68"/>
      <c r="V1123" s="279"/>
      <c r="X1123" s="277"/>
      <c r="Y1123" s="453"/>
      <c r="Z1123" s="280"/>
      <c r="AA1123" s="277"/>
      <c r="AB1123" s="277"/>
      <c r="AC1123" s="277"/>
      <c r="AD1123" s="110"/>
      <c r="AE1123" s="147"/>
      <c r="AF1123" s="147"/>
      <c r="AG1123" s="281"/>
      <c r="AH1123" s="111"/>
      <c r="AI1123" s="111"/>
    </row>
    <row r="1124" spans="2:35">
      <c r="B1124" s="273"/>
      <c r="C1124" s="110"/>
      <c r="E1124" s="220"/>
      <c r="L1124" s="277"/>
      <c r="N1124" s="147"/>
      <c r="O1124" s="148"/>
      <c r="S1124" s="277"/>
      <c r="T1124" s="68"/>
      <c r="V1124" s="279"/>
      <c r="X1124" s="277"/>
      <c r="Y1124" s="453"/>
      <c r="Z1124" s="280"/>
      <c r="AA1124" s="277"/>
      <c r="AB1124" s="277"/>
      <c r="AC1124" s="277"/>
      <c r="AD1124" s="110"/>
      <c r="AE1124" s="147"/>
      <c r="AF1124" s="147"/>
      <c r="AG1124" s="281"/>
      <c r="AH1124" s="111"/>
      <c r="AI1124" s="111"/>
    </row>
    <row r="1125" spans="2:35">
      <c r="B1125" s="273"/>
      <c r="C1125" s="110"/>
      <c r="E1125" s="220"/>
      <c r="L1125" s="277"/>
      <c r="N1125" s="147"/>
      <c r="O1125" s="148"/>
      <c r="S1125" s="277"/>
      <c r="T1125" s="68"/>
      <c r="V1125" s="279"/>
      <c r="X1125" s="277"/>
      <c r="Y1125" s="453"/>
      <c r="Z1125" s="280"/>
      <c r="AA1125" s="277"/>
      <c r="AB1125" s="277"/>
      <c r="AC1125" s="277"/>
      <c r="AD1125" s="110"/>
      <c r="AE1125" s="147"/>
      <c r="AF1125" s="147"/>
      <c r="AG1125" s="281"/>
      <c r="AH1125" s="111"/>
      <c r="AI1125" s="111"/>
    </row>
    <row r="1126" spans="2:35">
      <c r="B1126" s="273"/>
      <c r="C1126" s="110"/>
      <c r="E1126" s="220"/>
      <c r="L1126" s="277"/>
      <c r="N1126" s="147"/>
      <c r="O1126" s="148"/>
      <c r="S1126" s="277"/>
      <c r="T1126" s="68"/>
      <c r="V1126" s="279"/>
      <c r="X1126" s="277"/>
      <c r="Y1126" s="453"/>
      <c r="Z1126" s="280"/>
      <c r="AA1126" s="277"/>
      <c r="AB1126" s="277"/>
      <c r="AC1126" s="277"/>
      <c r="AD1126" s="110"/>
      <c r="AE1126" s="147"/>
      <c r="AF1126" s="147"/>
      <c r="AG1126" s="281"/>
      <c r="AH1126" s="111"/>
      <c r="AI1126" s="111"/>
    </row>
  </sheetData>
  <autoFilter ref="A1:AG126" xr:uid="{00000000-0009-0000-0000-000000000000}"/>
  <conditionalFormatting sqref="D56 D71:D73">
    <cfRule type="expression" dxfId="13" priority="1">
      <formula>#REF!=1</formula>
    </cfRule>
  </conditionalFormatting>
  <conditionalFormatting sqref="D56 D71:D73">
    <cfRule type="expression" dxfId="12" priority="2">
      <formula>#REF!=2</formula>
    </cfRule>
  </conditionalFormatting>
  <conditionalFormatting sqref="D56 D71:D73">
    <cfRule type="expression" dxfId="11" priority="3">
      <formula>#REF!=3</formula>
    </cfRule>
  </conditionalFormatting>
  <conditionalFormatting sqref="D45:D50">
    <cfRule type="expression" dxfId="10" priority="4">
      <formula>#REF!=1</formula>
    </cfRule>
  </conditionalFormatting>
  <conditionalFormatting sqref="D45:D50">
    <cfRule type="expression" dxfId="9" priority="5">
      <formula>#REF!=2</formula>
    </cfRule>
  </conditionalFormatting>
  <conditionalFormatting sqref="D45:D50">
    <cfRule type="expression" dxfId="8" priority="6">
      <formula>#REF!=3</formula>
    </cfRule>
  </conditionalFormatting>
  <conditionalFormatting sqref="D16:D22 D24:D41 D43 D45:D50 D52:D58 D60:D73">
    <cfRule type="expression" dxfId="7" priority="7">
      <formula>"D7=1"</formula>
    </cfRule>
  </conditionalFormatting>
  <conditionalFormatting sqref="D16:D22 D24:D41 D43 D52:D58 D60:D70 D72">
    <cfRule type="expression" dxfId="6" priority="8">
      <formula>#REF!=1</formula>
    </cfRule>
  </conditionalFormatting>
  <conditionalFormatting sqref="D16:D22 D24:D41 D43 D52:D58 D60:D70 D72">
    <cfRule type="expression" dxfId="5" priority="9">
      <formula>#REF!=2</formula>
    </cfRule>
  </conditionalFormatting>
  <conditionalFormatting sqref="D16:D22 D24:D41 D43 D52:D58 D60:D70 D72">
    <cfRule type="expression" dxfId="4" priority="10">
      <formula>#REF!=3</formula>
    </cfRule>
  </conditionalFormatting>
  <conditionalFormatting sqref="I1">
    <cfRule type="containsBlanks" dxfId="3" priority="11">
      <formula>LEN(TRIM(I1))=0</formula>
    </cfRule>
  </conditionalFormatting>
  <conditionalFormatting sqref="I2:I1126">
    <cfRule type="containsText" dxfId="2" priority="12" operator="containsText" text="HJXXIII">
      <formula>NOT(ISERROR(SEARCH(("HJXXIII"),(I2))))</formula>
    </cfRule>
  </conditionalFormatting>
  <conditionalFormatting sqref="C6">
    <cfRule type="notContainsBlanks" dxfId="1" priority="14">
      <formula>LEN(TRIM(C6))&gt;0</formula>
    </cfRule>
  </conditionalFormatting>
  <dataValidations count="16">
    <dataValidation type="list" allowBlank="1" showErrorMessage="1" sqref="J4" xr:uid="{00000000-0002-0000-0000-000000000000}">
      <formula1>"FHEMIG,UFMG,EINSTEIN,UI PAULSTA BOTUCATU,CIENCIAS MÉDICAS,FELUMA,HCFMUSP,FIOCRUZ,FUNDAÇÃO GERALDO CORREA,HCOR,HUPES/UFBA/EBSERH,UNIV PROF ED ANT VEL UNIFENAS,HOSPITAL SÍRIO LIBANÊS,INSTITUTO DO CANCET E PEDIAD ESPECIALIZADA(ICPE),INSTITUTO DO CANCER INFAN"&amp;"TIL E PEDITARIA ESPECIALIZADA (ICIPE)"</formula1>
    </dataValidation>
    <dataValidation type="list" allowBlank="1" showErrorMessage="1" sqref="AF35 AD2:AD1126" xr:uid="{00000000-0002-0000-0000-000001000000}">
      <formula1>"SIM,NÃO,NÃO SE APLICA( RELATOS DE CASO PRONTOS),NA"</formula1>
    </dataValidation>
    <dataValidation type="list" allowBlank="1" showErrorMessage="1" sqref="V4 V7:V8 V85" xr:uid="{00000000-0002-0000-0000-000002000000}">
      <formula1>"Aprovado no 1 PT,Aprovado no 3 PT,Aprovado no 2 PT,Aprovado no 4 PT,Pendência ,Reprovado,Anuência FHEMIG,EMENDA/NÃO SE APLICA,PT + TAnuencia"</formula1>
    </dataValidation>
    <dataValidation type="list" allowBlank="1" showInputMessage="1" showErrorMessage="1" prompt="Clique e digite um valor da lista de itens" sqref="H4 H7:H8" xr:uid="{00000000-0002-0000-0000-000003000000}">
      <formula1>"SERVIDOR,PESQ EXTERNO,RESIDENTE MULTI,RESIDENTE BUCO,RESIDENTE MÉDIC"</formula1>
    </dataValidation>
    <dataValidation type="custom" allowBlank="1" showDropDown="1" sqref="Q36" xr:uid="{00000000-0002-0000-0000-000004000000}">
      <formula1>OR(NOT(ISERROR(DATEVALUE(Q36))), AND(ISNUMBER(Q36), LEFT(CELL("format", Q36))="D"))</formula1>
    </dataValidation>
    <dataValidation type="list" allowBlank="1" showErrorMessage="1" sqref="I2:I1126" xr:uid="{00000000-0002-0000-0000-000005000000}">
      <formula1>"HJXXIII,HIJPII,HMAL,FHEMIG CENTRAL,NT"</formula1>
    </dataValidation>
    <dataValidation type="list" allowBlank="1" showErrorMessage="1" sqref="L64" xr:uid="{00000000-0002-0000-0000-000006000000}">
      <formula1>"Relato de experiência,Relato de caso,Série de casos ,Qualitativa ,Transversal retrospectivo,Transversal prospectivo,Observacional prospectivo,Observacional retrospectivo,Observacional descritivo ,Expermental pareado,Estudo clínico fase 1,Survey,ECCR "</formula1>
    </dataValidation>
    <dataValidation type="list" allowBlank="1" showErrorMessage="1" sqref="AE68 AE81:AE1126" xr:uid="{00000000-0002-0000-0000-000007000000}">
      <formula1>"SIM,SUBMETIDO A REVISTA,EM ESCRITA DO ARTIGO,NÃO,NA"</formula1>
    </dataValidation>
    <dataValidation type="list" allowBlank="1" showErrorMessage="1" sqref="A4 A7:A8" xr:uid="{00000000-0002-0000-0000-000008000000}">
      <formula1>"APROVADO,REPROVADO,CHECAR CEP FHEMIG,APROVADO CEP FHEMIG,APROVADO CEP PROP,EM APRECIACAO CIP,EM COLETA DE DADOS,EM APRECIACAO CEP PROP,AGUARDANDO FR ASS,AGUARDANDO TA ASS,PENDENCIA CIP,AGUARDANDO CEP PROPONENTE,ASSINAT DIRETOR?,DADOS COLETADOS,FOLHA DE RO"&amp;"STO ERRADA,PARECER CEP FHEMIG??,NOVA VERSÃO?,CHECAR PUBLICAÇÃO,PUBLICADO,PROJETO  SUSPENSO?"</formula1>
    </dataValidation>
    <dataValidation type="list" allowBlank="1" showErrorMessage="1" sqref="AE7:AE8 AE39" xr:uid="{00000000-0002-0000-0000-000009000000}">
      <formula1>"SIM,SUBMETIDO A REVISTA,EM ESCRITA DO ARTIGO,NA"</formula1>
    </dataValidation>
    <dataValidation type="list" allowBlank="1" showErrorMessage="1" sqref="L2:L63 L65:L1126" xr:uid="{00000000-0002-0000-0000-00000A000000}">
      <formula1>"Relato de experiência,Relato de caso,Série de casos ,Qualitativa ,Transversal retrospectivo,Observacional prospectivo,Observacional retrospectivo,Survey,Estudo clínico fase 1,ECCR ,Transversal retrospectivo,Observacional descritivo ,Transversal prospectiv"&amp;"o,Expermental pareado,Coorte Prospectivo,Internacional prospec observ multicent  ,Ensaio Clínico ,Coorte retrospectivo,NT,Quase experimental"</formula1>
    </dataValidation>
    <dataValidation type="list" allowBlank="1" showInputMessage="1" showErrorMessage="1" prompt="Clique e digite um valor da lista de itens" sqref="H2:H3 H5:H6 H9:H1126" xr:uid="{00000000-0002-0000-0000-00000B000000}">
      <formula1>"SERVIDOR,PESQ EXTERNO,RESIDENTE MULTI,RESIDENTE BUCO,RESIDENTE MÉDIC,NT"</formula1>
    </dataValidation>
    <dataValidation type="list" allowBlank="1" showErrorMessage="1" sqref="J2:J3 J5:J1126" xr:uid="{00000000-0002-0000-0000-00000C000000}">
      <formula1>"FHEMIG,UFMG,EINSTEIN,UI PAULSTA BOTUCATU,CIENCIAS MÉDICAS,FELUMA,HCFMUSP,FIOCRUZ,FUNDAÇÃO GERALDO CORREA,HCOR,HUPES/UFBA/EBSERH,UNIV PROF ED ANT VEL UNIFENAS,HOSPITAL SÍRIO LIBANÊS,INSTITUTO DO CANCET E PEDIAD ESPECIALIZADA(ICPE),INSTITUTO DO CANCER INFAN"&amp;"TIL E PEDITARIA ESPECIALIZADA (ICIPE),PUC-MG,UNIFESP,UNIFENAS,PUCPR -PARANA,NT,UEMG"</formula1>
    </dataValidation>
    <dataValidation type="list" allowBlank="1" showErrorMessage="1" sqref="K2:K1126" xr:uid="{00000000-0002-0000-0000-00000D000000}">
      <formula1>"CONGRESSO/DIVULGAÇÃO/PUBLICAÇÃO,TCC,TCR,MESTRADO,BOLSISTA FAPEMIG,DOUTORADO,EMENDA PROJ INTERNO,EMENDA PROJ EXTERNO,EMENDA ,NT"</formula1>
    </dataValidation>
    <dataValidation type="list" allowBlank="1" showErrorMessage="1" sqref="A2:A3 A5:A6 D35 A9:A1126" xr:uid="{00000000-0002-0000-0000-00000E000000}">
      <formula1>"ASSINAT DIRETOR?,EM APRECIACAO CIP,PEND CIP/NOVA VERSÃO,APROVADO CIP,REPROVADO CIP,AGUARDANDO FR ASS,AGUARDANDO TA ASS,APREC CEP PROPON,APROVADO CEP PROP,CHECAR CEP FHEMIG,APROVADO CEP FHEMIG,PARECER CEP FHEMIG??,EM COLETA DE DADOS,DADOS COLETADOS,CHECAR "&amp;"PUBLICAÇÃO,PUBLICADO,AGUARDANDO DOC DAS PESQ,MUDARAM A PROPONENTE,EMENDA,NT,NÃO ENVIOU PARECER CONSUBSTANCIADO CEP,DESISTIRAM DA PESQUISA,PEND DOCUMENTAL"</formula1>
    </dataValidation>
    <dataValidation type="list" allowBlank="1" showErrorMessage="1" sqref="V2:V3 V5:V6 V9:V84 V86:V1126" xr:uid="{00000000-0002-0000-0000-00000F000000}">
      <formula1>"Aprovado no 1 PT,Aprovado no 3 PT,Aprovado no 2 PT,Aprovado no 4 PT,Pendência,Reprovado,Anuência FHEMIG,EMENDA/NÃO SE APLICA,PT + TAnuencia,NA"</formula1>
    </dataValidation>
  </dataValidations>
  <hyperlinks>
    <hyperlink ref="O7" r:id="rId1" xr:uid="{00000000-0004-0000-0000-000000000000}"/>
    <hyperlink ref="O9" r:id="rId2" xr:uid="{00000000-0004-0000-0000-000001000000}"/>
    <hyperlink ref="O15" r:id="rId3" xr:uid="{00000000-0004-0000-0000-000002000000}"/>
    <hyperlink ref="O31" r:id="rId4" xr:uid="{00000000-0004-0000-0000-000003000000}"/>
    <hyperlink ref="O32" r:id="rId5" xr:uid="{00000000-0004-0000-0000-000004000000}"/>
    <hyperlink ref="O36" r:id="rId6" xr:uid="{00000000-0004-0000-0000-000005000000}"/>
    <hyperlink ref="O37" r:id="rId7" xr:uid="{00000000-0004-0000-0000-000006000000}"/>
    <hyperlink ref="O39" r:id="rId8" xr:uid="{00000000-0004-0000-0000-000007000000}"/>
    <hyperlink ref="O40" r:id="rId9" xr:uid="{00000000-0004-0000-0000-000008000000}"/>
    <hyperlink ref="O61" r:id="rId10" xr:uid="{00000000-0004-0000-0000-000009000000}"/>
    <hyperlink ref="O66" r:id="rId11" xr:uid="{00000000-0004-0000-0000-00000A000000}"/>
    <hyperlink ref="O74" r:id="rId12" xr:uid="{00000000-0004-0000-0000-00000B000000}"/>
    <hyperlink ref="O88" r:id="rId13" xr:uid="{00000000-0004-0000-0000-00000C000000}"/>
    <hyperlink ref="O111" r:id="rId14" xr:uid="{00000000-0004-0000-0000-00000D000000}"/>
    <hyperlink ref="O123" r:id="rId15" xr:uid="{00000000-0004-0000-0000-00000E000000}"/>
  </hyperlinks>
  <pageMargins left="0.25" right="0.25" top="0.75" bottom="0.75" header="0" footer="0"/>
  <pageSetup paperSize="9" scale="70" orientation="landscape"/>
  <legacy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66"/>
  <sheetViews>
    <sheetView tabSelected="1" topLeftCell="A23" workbookViewId="0">
      <selection activeCell="F43" sqref="F43"/>
    </sheetView>
  </sheetViews>
  <sheetFormatPr defaultColWidth="12.5703125" defaultRowHeight="15" customHeight="1"/>
  <cols>
    <col min="1" max="1" width="24.28515625" customWidth="1"/>
    <col min="2" max="2" width="23.42578125" customWidth="1"/>
    <col min="3" max="3" width="17.140625" style="328" customWidth="1"/>
    <col min="4" max="4" width="19.5703125" customWidth="1"/>
    <col min="5" max="5" width="23.140625" customWidth="1"/>
    <col min="6" max="6" width="22.140625" customWidth="1"/>
    <col min="7" max="7" width="18.140625" customWidth="1"/>
    <col min="8" max="8" width="16.85546875" customWidth="1"/>
    <col min="9" max="9" width="19.140625" customWidth="1"/>
    <col min="10" max="10" width="20" customWidth="1"/>
    <col min="11" max="11" width="21.140625" customWidth="1"/>
  </cols>
  <sheetData>
    <row r="1" spans="1:11" ht="95.25" customHeight="1">
      <c r="A1" s="282" t="s">
        <v>991</v>
      </c>
      <c r="B1" s="283" t="s">
        <v>992</v>
      </c>
      <c r="C1" s="284" t="s">
        <v>993</v>
      </c>
      <c r="D1" s="285" t="s">
        <v>994</v>
      </c>
      <c r="E1" s="286" t="s">
        <v>995</v>
      </c>
      <c r="F1" s="287" t="s">
        <v>996</v>
      </c>
      <c r="G1" s="288" t="s">
        <v>997</v>
      </c>
      <c r="H1" s="289" t="s">
        <v>998</v>
      </c>
      <c r="I1" s="290" t="s">
        <v>999</v>
      </c>
      <c r="J1" s="291" t="s">
        <v>1000</v>
      </c>
      <c r="K1" s="292" t="s">
        <v>1001</v>
      </c>
    </row>
    <row r="2" spans="1:11" ht="12.75">
      <c r="A2" s="293" t="s">
        <v>37</v>
      </c>
      <c r="B2" s="294" t="s">
        <v>41</v>
      </c>
      <c r="C2" s="295">
        <f ca="1">IFERROR(__xludf.UNSUPPORTED(IMPORTRANGE('[1]PlANILHA PESQ 2025'!$F$2)),45810)</f>
        <v>45810</v>
      </c>
      <c r="D2" s="296" t="s">
        <v>1002</v>
      </c>
      <c r="E2" s="297" t="s">
        <v>1002</v>
      </c>
      <c r="F2" s="298" t="s">
        <v>1002</v>
      </c>
      <c r="G2" s="299" t="s">
        <v>1002</v>
      </c>
      <c r="H2" s="300">
        <f ca="1">IFERROR(__xludf.UNSUPPORTED(IMPORTRANGE('[2]PlANILHA PESQ 2025'!$AB$2)),45809)</f>
        <v>45809</v>
      </c>
      <c r="I2" s="301">
        <v>0</v>
      </c>
      <c r="J2" s="302">
        <v>0</v>
      </c>
      <c r="K2" s="470">
        <v>0</v>
      </c>
    </row>
    <row r="3" spans="1:11" ht="12.75">
      <c r="A3" s="293" t="str">
        <f ca="1">IFERROR(__xludf.UNSUPPORTED(IMPORTRANGE('[2]PlANILHA PESQ 2025'!$E$3)),"2270.01.0033347/2025-96")</f>
        <v>2270.01.0033347/2025-96</v>
      </c>
      <c r="B3" s="294" t="str">
        <f ca="1">IFERROR(__xludf.UNSUPPORTED(IMPORTRANGE('[2]PlANILHA PESQ 2025'!$J$3)),"FHEMIG")</f>
        <v>FHEMIG</v>
      </c>
      <c r="C3" s="295">
        <f ca="1">IFERROR(__xludf.UNSUPPORTED(IMPORTRANGE('[2]PlANILHA PESQ 2025'!$F$3)),43965)</f>
        <v>43965</v>
      </c>
      <c r="D3" s="303"/>
      <c r="E3" s="304"/>
      <c r="F3" s="305"/>
      <c r="G3" s="299"/>
      <c r="H3" s="306">
        <f ca="1">IFERROR(__xludf.UNSUPPORTED(IMPORTRANGE('[2]PlANILHA PESQ 2025'!$AB$3)),45600)</f>
        <v>45600</v>
      </c>
      <c r="I3" s="301">
        <v>0</v>
      </c>
      <c r="J3" s="302">
        <v>0</v>
      </c>
      <c r="K3" s="470">
        <v>0</v>
      </c>
    </row>
    <row r="4" spans="1:11" ht="36">
      <c r="A4" s="293" t="str">
        <f ca="1">IFERROR(__xludf.UNSUPPORTED(IMPORTRANGE('[2]PlANILHA PESQ 2025'!$E$4)),"2270.01.0033347/2025-97")</f>
        <v>2270.01.0033347/2025-97</v>
      </c>
      <c r="B4" s="294" t="str">
        <f ca="1">IFERROR(__xludf.UNSUPPORTED(IMPORTRANGE('[2]PlANILHA PESQ 2025'!$J$4)),"INSTITUTO DO CANCER INFANTIL E PEDITARIA ESPECIALIZADA (ICIPE)")</f>
        <v>INSTITUTO DO CANCER INFANTIL E PEDITARIA ESPECIALIZADA (ICIPE)</v>
      </c>
      <c r="C4" s="295">
        <f ca="1">IFERROR(__xludf.UNSUPPORTED(IMPORTRANGE('[2]PlANILHA PESQ 2025'!$F$4)),45639)</f>
        <v>45639</v>
      </c>
      <c r="D4" s="307">
        <f ca="1">IFERROR(__xludf.UNSUPPORTED(IMPORTRANGE('[2]PlANILHA PESQ 2025'!$R$4)),45644)</f>
        <v>45644</v>
      </c>
      <c r="E4" s="308">
        <f ca="1">IFERROR(__xludf.UNSUPPORTED(IMPORTRANGE('[2]PlANILHA PESQ 2025'!$T$4)),45649)</f>
        <v>45649</v>
      </c>
      <c r="F4" s="305">
        <f ca="1">IFERROR(__xludf.UNSUPPORTED(IMPORTRANGE('[2]PlANILHA PESQ 2025'!$W$4)),45652)</f>
        <v>45652</v>
      </c>
      <c r="G4" s="309">
        <f ca="1">IFERROR(__xludf.UNSUPPORTED(IMPORTRANGE('[2]PlANILHA PESQ 2025'!$X$4)),45652)</f>
        <v>45652</v>
      </c>
      <c r="H4" s="306">
        <f ca="1">IFERROR(__xludf.UNSUPPORTED(IMPORTRANGE('[2]PlANILHA PESQ 2025'!$AB$4)),45942)</f>
        <v>45942</v>
      </c>
      <c r="I4" s="301">
        <f t="shared" ref="I4:I5" ca="1" si="0">(D4-C4)</f>
        <v>5</v>
      </c>
      <c r="J4" s="302">
        <f t="shared" ref="J4:J6" ca="1" si="1">(F4-E4)</f>
        <v>3</v>
      </c>
      <c r="K4" s="470">
        <f t="shared" ref="K4:K5" ca="1" si="2">(H4-C4)</f>
        <v>303</v>
      </c>
    </row>
    <row r="5" spans="1:11" ht="12.75">
      <c r="A5" s="293" t="str">
        <f ca="1">IFERROR(__xludf.UNSUPPORTED(IMPORTRANGE('[2]PlANILHA PESQ 2025'!$E$5)),"2270.01.0033347/2025-98")</f>
        <v>2270.01.0033347/2025-98</v>
      </c>
      <c r="B5" s="294" t="str">
        <f ca="1">IFERROR(__xludf.UNSUPPORTED(IMPORTRANGE('[2]PlANILHA PESQ 2025'!$J$5)),"UFMG")</f>
        <v>UFMG</v>
      </c>
      <c r="C5" s="295">
        <f ca="1">IFERROR(__xludf.UNSUPPORTED(IMPORTRANGE('[2]PlANILHA PESQ 2025'!$F$5)),45579)</f>
        <v>45579</v>
      </c>
      <c r="D5" s="295">
        <f ca="1">IFERROR(__xludf.UNSUPPORTED(IMPORTRANGE('[2]PlANILHA PESQ 2025'!$R$5)),45581)</f>
        <v>45581</v>
      </c>
      <c r="E5" s="310">
        <f ca="1">IFERROR(__xludf.UNSUPPORTED(IMPORTRANGE('[2]PlANILHA PESQ 2025'!$T$5)),45595)</f>
        <v>45595</v>
      </c>
      <c r="F5" s="311">
        <f ca="1">IFERROR(__xludf.UNSUPPORTED(IMPORTRANGE('[2]PlANILHA PESQ 2025'!$W$5)),45602)</f>
        <v>45602</v>
      </c>
      <c r="G5" s="309">
        <f ca="1">IFERROR(__xludf.UNSUPPORTED(IMPORTRANGE('[2]PlANILHA PESQ 2025'!$X$5)),45596)</f>
        <v>45596</v>
      </c>
      <c r="H5" s="300">
        <f ca="1">IFERROR(__xludf.UNSUPPORTED(IMPORTRANGE('[2]PlANILHA PESQ 2025'!$AB$5)),45770)</f>
        <v>45770</v>
      </c>
      <c r="I5" s="301">
        <f t="shared" ca="1" si="0"/>
        <v>2</v>
      </c>
      <c r="J5" s="302">
        <f t="shared" ca="1" si="1"/>
        <v>7</v>
      </c>
      <c r="K5" s="470">
        <f t="shared" ca="1" si="2"/>
        <v>191</v>
      </c>
    </row>
    <row r="6" spans="1:11" ht="12.75">
      <c r="A6" s="293" t="str">
        <f ca="1">IFERROR(__xludf.UNSUPPORTED(IMPORTRANGE('[2]PlANILHA PESQ 2025'!$E$6)),"2270.01.0033347/2025-99")</f>
        <v>2270.01.0033347/2025-99</v>
      </c>
      <c r="B6" s="294" t="str">
        <f ca="1">IFERROR(__xludf.UNSUPPORTED(IMPORTRANGE('[2]PlANILHA PESQ 2025'!$J$6)),"UNIFENAS")</f>
        <v>UNIFENAS</v>
      </c>
      <c r="C6" s="295">
        <f ca="1">IFERROR(__xludf.UNSUPPORTED(IMPORTRANGE('[2]PlANILHA PESQ 2025'!$F$6)),45617)</f>
        <v>45617</v>
      </c>
      <c r="D6" s="295"/>
      <c r="E6" s="310">
        <f ca="1">IFERROR(__xludf.UNSUPPORTED(IMPORTRANGE('[2]PlANILHA PESQ 2025'!$T$6)),45342)</f>
        <v>45342</v>
      </c>
      <c r="F6" s="305">
        <f ca="1">IFERROR(__xludf.UNSUPPORTED(IMPORTRANGE('[2]PlANILHA PESQ 2025'!$W$6)),45667)</f>
        <v>45667</v>
      </c>
      <c r="G6" s="309">
        <f ca="1">IFERROR(__xludf.UNSUPPORTED(IMPORTRANGE('[2]PlANILHA PESQ 2025'!$X$6)),45670)</f>
        <v>45670</v>
      </c>
      <c r="H6" s="300"/>
      <c r="I6" s="301">
        <v>0</v>
      </c>
      <c r="J6" s="302">
        <f t="shared" ca="1" si="1"/>
        <v>325</v>
      </c>
      <c r="K6" s="470">
        <v>0</v>
      </c>
    </row>
    <row r="7" spans="1:11" ht="12.75">
      <c r="A7" s="293" t="str">
        <f ca="1">IFERROR(__xludf.UNSUPPORTED(IMPORTRANGE('[2]PlANILHA PESQ 2025'!$E$7)),"2270.01.0033347/2025-100")</f>
        <v>2270.01.0033347/2025-100</v>
      </c>
      <c r="B7" s="294"/>
      <c r="C7" s="295">
        <f ca="1">IFERROR(__xludf.UNSUPPORTED(IMPORTRANGE('[2]PlANILHA PESQ 2025'!$F$7)),45638)</f>
        <v>45638</v>
      </c>
      <c r="D7" s="295"/>
      <c r="E7" s="308"/>
      <c r="F7" s="311"/>
      <c r="G7" s="309"/>
      <c r="H7" s="300"/>
      <c r="I7" s="301">
        <v>0</v>
      </c>
      <c r="J7" s="302"/>
      <c r="K7" s="470">
        <v>0</v>
      </c>
    </row>
    <row r="8" spans="1:11" ht="12.75">
      <c r="A8" s="293" t="str">
        <f ca="1">IFERROR(__xludf.UNSUPPORTED(IMPORTRANGE('[2]PlANILHA PESQ 2025'!$E$8)),"2270.01.0033347/2025-101")</f>
        <v>2270.01.0033347/2025-101</v>
      </c>
      <c r="B8" s="294" t="str">
        <f ca="1">IFERROR(__xludf.UNSUPPORTED(IMPORTRANGE('[2]PlANILHA PESQ 2025'!$J$8)),"FHEMIG")</f>
        <v>FHEMIG</v>
      </c>
      <c r="C8" s="295">
        <f ca="1">IFERROR(__xludf.UNSUPPORTED(IMPORTRANGE('[2]PlANILHA PESQ 2025'!$F$8)),45639)</f>
        <v>45639</v>
      </c>
      <c r="D8" s="295"/>
      <c r="E8" s="310">
        <f ca="1">IFERROR(__xludf.UNSUPPORTED(IMPORTRANGE('[2]PlANILHA PESQ 2025'!$T$8)),45667)</f>
        <v>45667</v>
      </c>
      <c r="F8" s="311">
        <f ca="1">IFERROR(__xludf.UNSUPPORTED(IMPORTRANGE('[2]PlANILHA PESQ 2025'!$W$8)),45671)</f>
        <v>45671</v>
      </c>
      <c r="G8" s="309">
        <f ca="1">IFERROR(__xludf.UNSUPPORTED(IMPORTRANGE('[2]PlANILHA PESQ 2025'!$X$8)),45672)</f>
        <v>45672</v>
      </c>
      <c r="H8" s="300"/>
      <c r="I8" s="301">
        <v>0</v>
      </c>
      <c r="J8" s="302">
        <f t="shared" ref="J8:J60" ca="1" si="3">(F8-E8)</f>
        <v>4</v>
      </c>
      <c r="K8" s="470">
        <v>0</v>
      </c>
    </row>
    <row r="9" spans="1:11" ht="12.75">
      <c r="A9" s="293" t="str">
        <f ca="1">IFERROR(__xludf.UNSUPPORTED(IMPORTRANGE('[2]PlANILHA PESQ 2025'!$E$9)),"2270.01.0033347/2025-102")</f>
        <v>2270.01.0033347/2025-102</v>
      </c>
      <c r="B9" s="294" t="s">
        <v>41</v>
      </c>
      <c r="C9" s="295">
        <f ca="1">IFERROR(__xludf.UNSUPPORTED(IMPORTRANGE('[2]PlANILHA PESQ 2025'!$F$9)),45667)</f>
        <v>45667</v>
      </c>
      <c r="D9" s="295"/>
      <c r="E9" s="310">
        <f ca="1">IFERROR(__xludf.UNSUPPORTED(IMPORTRANGE('[2]PlANILHA PESQ 2025'!$T$9)),45670)</f>
        <v>45670</v>
      </c>
      <c r="F9" s="311">
        <f ca="1">IFERROR(__xludf.UNSUPPORTED(IMPORTRANGE('[2]PlANILHA PESQ 2025'!$W$9)),45671)</f>
        <v>45671</v>
      </c>
      <c r="G9" s="309">
        <f ca="1">IFERROR(__xludf.UNSUPPORTED(IMPORTRANGE('[2]PlANILHA PESQ 2025'!$X$9)),45671)</f>
        <v>45671</v>
      </c>
      <c r="H9" s="300"/>
      <c r="I9" s="301">
        <v>0</v>
      </c>
      <c r="J9" s="302">
        <f t="shared" ca="1" si="3"/>
        <v>1</v>
      </c>
      <c r="K9" s="470">
        <v>0</v>
      </c>
    </row>
    <row r="10" spans="1:11" ht="12.75">
      <c r="A10" s="293" t="str">
        <f ca="1">IFERROR(__xludf.UNSUPPORTED(IMPORTRANGE('[2]PlANILHA PESQ 2025'!$E$10)),"2270.01.0033347/2025-103")</f>
        <v>2270.01.0033347/2025-103</v>
      </c>
      <c r="B10" s="294" t="s">
        <v>41</v>
      </c>
      <c r="C10" s="312">
        <v>45674</v>
      </c>
      <c r="D10" s="295"/>
      <c r="E10" s="310">
        <v>45686</v>
      </c>
      <c r="F10" s="311">
        <v>45693</v>
      </c>
      <c r="G10" s="313">
        <v>45694</v>
      </c>
      <c r="H10" s="300"/>
      <c r="I10" s="301">
        <v>0</v>
      </c>
      <c r="J10" s="302">
        <f t="shared" si="3"/>
        <v>7</v>
      </c>
      <c r="K10" s="470">
        <v>0</v>
      </c>
    </row>
    <row r="11" spans="1:11" ht="12.75">
      <c r="A11" s="293" t="s">
        <v>130</v>
      </c>
      <c r="B11" s="294" t="s">
        <v>41</v>
      </c>
      <c r="C11" s="312">
        <v>45674</v>
      </c>
      <c r="D11" s="295"/>
      <c r="E11" s="310">
        <v>45701</v>
      </c>
      <c r="F11" s="311">
        <v>45716</v>
      </c>
      <c r="G11" s="313">
        <v>45716</v>
      </c>
      <c r="H11" s="300">
        <v>45737</v>
      </c>
      <c r="I11" s="301">
        <v>0</v>
      </c>
      <c r="J11" s="302">
        <f t="shared" si="3"/>
        <v>15</v>
      </c>
      <c r="K11" s="470">
        <f t="shared" ref="K10:K65" si="4">(H11-C11)</f>
        <v>63</v>
      </c>
    </row>
    <row r="12" spans="1:11" ht="12.75">
      <c r="A12" s="293" t="s">
        <v>139</v>
      </c>
      <c r="B12" s="294" t="s">
        <v>41</v>
      </c>
      <c r="C12" s="312">
        <v>45680</v>
      </c>
      <c r="D12" s="295"/>
      <c r="E12" s="310">
        <v>45691</v>
      </c>
      <c r="F12" s="311">
        <v>45709</v>
      </c>
      <c r="G12" s="313">
        <v>45709</v>
      </c>
      <c r="H12" s="300"/>
      <c r="I12" s="301">
        <v>0</v>
      </c>
      <c r="J12" s="302">
        <f t="shared" si="3"/>
        <v>18</v>
      </c>
      <c r="K12" s="470">
        <v>0</v>
      </c>
    </row>
    <row r="13" spans="1:11" ht="12.75">
      <c r="A13" s="293" t="s">
        <v>144</v>
      </c>
      <c r="B13" s="294" t="s">
        <v>79</v>
      </c>
      <c r="C13" s="312">
        <v>45714</v>
      </c>
      <c r="D13" s="295"/>
      <c r="E13" s="310">
        <v>45698</v>
      </c>
      <c r="F13" s="311">
        <v>45842</v>
      </c>
      <c r="G13" s="313">
        <v>45845</v>
      </c>
      <c r="H13" s="300"/>
      <c r="I13" s="301">
        <v>0</v>
      </c>
      <c r="J13" s="302">
        <f t="shared" si="3"/>
        <v>144</v>
      </c>
      <c r="K13" s="470">
        <v>0</v>
      </c>
    </row>
    <row r="14" spans="1:11" ht="12.75">
      <c r="A14" s="293" t="s">
        <v>152</v>
      </c>
      <c r="B14" s="294" t="s">
        <v>41</v>
      </c>
      <c r="C14" s="312">
        <v>45715</v>
      </c>
      <c r="D14" s="295"/>
      <c r="E14" s="310">
        <v>45737</v>
      </c>
      <c r="F14" s="311">
        <v>45743</v>
      </c>
      <c r="G14" s="313">
        <v>45744</v>
      </c>
      <c r="H14" s="300"/>
      <c r="I14" s="301">
        <v>0</v>
      </c>
      <c r="J14" s="302">
        <f t="shared" si="3"/>
        <v>6</v>
      </c>
      <c r="K14" s="470">
        <v>0</v>
      </c>
    </row>
    <row r="15" spans="1:11" ht="12.75">
      <c r="A15" s="293" t="s">
        <v>159</v>
      </c>
      <c r="B15" s="294" t="s">
        <v>41</v>
      </c>
      <c r="C15" s="312">
        <v>45736</v>
      </c>
      <c r="D15" s="295"/>
      <c r="E15" s="310">
        <v>45754</v>
      </c>
      <c r="F15" s="311">
        <v>45760</v>
      </c>
      <c r="G15" s="313">
        <v>45761</v>
      </c>
      <c r="H15" s="300">
        <v>45771</v>
      </c>
      <c r="I15" s="301">
        <v>0</v>
      </c>
      <c r="J15" s="302">
        <f t="shared" si="3"/>
        <v>6</v>
      </c>
      <c r="K15" s="470">
        <f t="shared" si="4"/>
        <v>35</v>
      </c>
    </row>
    <row r="16" spans="1:11" ht="12.75">
      <c r="A16" s="293" t="s">
        <v>167</v>
      </c>
      <c r="B16" s="294" t="s">
        <v>41</v>
      </c>
      <c r="C16" s="312">
        <v>45674</v>
      </c>
      <c r="D16" s="295"/>
      <c r="E16" s="310">
        <v>45687</v>
      </c>
      <c r="F16" s="311">
        <v>45713</v>
      </c>
      <c r="G16" s="313">
        <v>45761</v>
      </c>
      <c r="H16" s="300"/>
      <c r="I16" s="301">
        <v>0</v>
      </c>
      <c r="J16" s="302">
        <f t="shared" si="3"/>
        <v>26</v>
      </c>
      <c r="K16" s="470">
        <v>0</v>
      </c>
    </row>
    <row r="17" spans="1:11" ht="12.75">
      <c r="A17" s="293" t="s">
        <v>173</v>
      </c>
      <c r="B17" s="294" t="s">
        <v>79</v>
      </c>
      <c r="C17" s="312">
        <v>45686</v>
      </c>
      <c r="D17" s="295">
        <v>45687</v>
      </c>
      <c r="E17" s="310">
        <v>45693</v>
      </c>
      <c r="F17" s="311">
        <v>45695</v>
      </c>
      <c r="G17" s="313">
        <v>45698</v>
      </c>
      <c r="H17" s="314"/>
      <c r="I17" s="301">
        <f t="shared" ref="I10:I60" si="5">(D17-C17)</f>
        <v>1</v>
      </c>
      <c r="J17" s="302">
        <f t="shared" si="3"/>
        <v>2</v>
      </c>
      <c r="K17" s="470">
        <v>0</v>
      </c>
    </row>
    <row r="18" spans="1:11" ht="12.75">
      <c r="A18" s="293" t="s">
        <v>182</v>
      </c>
      <c r="B18" s="294" t="s">
        <v>41</v>
      </c>
      <c r="C18" s="312">
        <v>45777</v>
      </c>
      <c r="D18" s="295"/>
      <c r="E18" s="308"/>
      <c r="F18" s="311"/>
      <c r="G18" s="313"/>
      <c r="H18" s="300"/>
      <c r="I18" s="301">
        <v>0</v>
      </c>
      <c r="J18" s="302">
        <f t="shared" si="3"/>
        <v>0</v>
      </c>
      <c r="K18" s="470">
        <v>0</v>
      </c>
    </row>
    <row r="19" spans="1:11" ht="12.75">
      <c r="A19" s="293" t="s">
        <v>188</v>
      </c>
      <c r="B19" s="294" t="s">
        <v>41</v>
      </c>
      <c r="C19" s="312">
        <v>45783</v>
      </c>
      <c r="D19" s="295"/>
      <c r="E19" s="310">
        <v>45798</v>
      </c>
      <c r="F19" s="311">
        <v>45804</v>
      </c>
      <c r="G19" s="313">
        <v>45805</v>
      </c>
      <c r="H19" s="300">
        <v>45814</v>
      </c>
      <c r="I19" s="301">
        <v>0</v>
      </c>
      <c r="J19" s="302">
        <f t="shared" si="3"/>
        <v>6</v>
      </c>
      <c r="K19" s="470">
        <f t="shared" si="4"/>
        <v>31</v>
      </c>
    </row>
    <row r="20" spans="1:11" ht="12.75">
      <c r="A20" s="293" t="s">
        <v>196</v>
      </c>
      <c r="B20" s="294" t="s">
        <v>41</v>
      </c>
      <c r="C20" s="312">
        <v>45660</v>
      </c>
      <c r="D20" s="295"/>
      <c r="E20" s="310">
        <v>45300</v>
      </c>
      <c r="F20" s="311">
        <v>45304</v>
      </c>
      <c r="G20" s="313">
        <v>45670</v>
      </c>
      <c r="H20" s="300"/>
      <c r="I20" s="301">
        <v>0</v>
      </c>
      <c r="J20" s="302">
        <f t="shared" si="3"/>
        <v>4</v>
      </c>
      <c r="K20" s="470">
        <v>0</v>
      </c>
    </row>
    <row r="21" spans="1:11" ht="12.75">
      <c r="A21" s="293" t="s">
        <v>203</v>
      </c>
      <c r="B21" s="294" t="s">
        <v>41</v>
      </c>
      <c r="C21" s="312">
        <v>45660</v>
      </c>
      <c r="D21" s="295"/>
      <c r="E21" s="310">
        <v>45666</v>
      </c>
      <c r="F21" s="311">
        <v>45670</v>
      </c>
      <c r="G21" s="313">
        <v>45670</v>
      </c>
      <c r="H21" s="300">
        <v>45694</v>
      </c>
      <c r="I21" s="301">
        <v>0</v>
      </c>
      <c r="J21" s="302">
        <f t="shared" si="3"/>
        <v>4</v>
      </c>
      <c r="K21" s="470">
        <f t="shared" si="4"/>
        <v>34</v>
      </c>
    </row>
    <row r="22" spans="1:11" ht="12.75">
      <c r="A22" s="293" t="s">
        <v>209</v>
      </c>
      <c r="B22" s="294" t="s">
        <v>41</v>
      </c>
      <c r="C22" s="312">
        <v>45665</v>
      </c>
      <c r="D22" s="295"/>
      <c r="E22" s="310">
        <v>45670</v>
      </c>
      <c r="F22" s="311">
        <v>45671</v>
      </c>
      <c r="G22" s="313">
        <v>45672</v>
      </c>
      <c r="H22" s="300"/>
      <c r="I22" s="301">
        <v>0</v>
      </c>
      <c r="J22" s="302">
        <f t="shared" si="3"/>
        <v>1</v>
      </c>
      <c r="K22" s="470">
        <v>0</v>
      </c>
    </row>
    <row r="23" spans="1:11" ht="12.75">
      <c r="A23" s="293" t="s">
        <v>216</v>
      </c>
      <c r="B23" s="294" t="s">
        <v>41</v>
      </c>
      <c r="C23" s="312">
        <v>45665</v>
      </c>
      <c r="D23" s="295"/>
      <c r="E23" s="310">
        <v>45666</v>
      </c>
      <c r="F23" s="311">
        <v>45670</v>
      </c>
      <c r="G23" s="313">
        <v>45670</v>
      </c>
      <c r="H23" s="300"/>
      <c r="I23" s="301">
        <v>0</v>
      </c>
      <c r="J23" s="302">
        <f t="shared" si="3"/>
        <v>4</v>
      </c>
      <c r="K23" s="470">
        <v>0</v>
      </c>
    </row>
    <row r="24" spans="1:11" ht="12.75">
      <c r="A24" s="293" t="s">
        <v>223</v>
      </c>
      <c r="B24" s="294" t="s">
        <v>225</v>
      </c>
      <c r="C24" s="312">
        <v>45666</v>
      </c>
      <c r="D24" s="295"/>
      <c r="E24" s="310">
        <v>45670</v>
      </c>
      <c r="F24" s="311">
        <v>45671</v>
      </c>
      <c r="G24" s="313">
        <v>45672</v>
      </c>
      <c r="H24" s="300">
        <v>45770</v>
      </c>
      <c r="I24" s="301">
        <v>0</v>
      </c>
      <c r="J24" s="302">
        <f t="shared" si="3"/>
        <v>1</v>
      </c>
      <c r="K24" s="470">
        <f t="shared" si="4"/>
        <v>104</v>
      </c>
    </row>
    <row r="25" spans="1:11" ht="12.75">
      <c r="A25" s="293" t="s">
        <v>231</v>
      </c>
      <c r="B25" s="294" t="s">
        <v>41</v>
      </c>
      <c r="C25" s="312">
        <v>45671</v>
      </c>
      <c r="D25" s="295"/>
      <c r="E25" s="310">
        <v>45706</v>
      </c>
      <c r="F25" s="311">
        <v>45709</v>
      </c>
      <c r="G25" s="313">
        <v>45709</v>
      </c>
      <c r="H25" s="300">
        <v>45737</v>
      </c>
      <c r="I25" s="301">
        <v>0</v>
      </c>
      <c r="J25" s="302">
        <f t="shared" si="3"/>
        <v>3</v>
      </c>
      <c r="K25" s="470">
        <f t="shared" si="4"/>
        <v>66</v>
      </c>
    </row>
    <row r="26" spans="1:11" ht="12.75">
      <c r="A26" s="293" t="s">
        <v>240</v>
      </c>
      <c r="B26" s="294" t="s">
        <v>41</v>
      </c>
      <c r="C26" s="312">
        <v>45672</v>
      </c>
      <c r="D26" s="295"/>
      <c r="E26" s="310">
        <v>45706</v>
      </c>
      <c r="F26" s="311">
        <v>45709</v>
      </c>
      <c r="G26" s="313">
        <v>45712</v>
      </c>
      <c r="H26" s="300"/>
      <c r="I26" s="301">
        <v>0</v>
      </c>
      <c r="J26" s="302">
        <f t="shared" si="3"/>
        <v>3</v>
      </c>
      <c r="K26" s="470">
        <v>0</v>
      </c>
    </row>
    <row r="27" spans="1:11" ht="12.75">
      <c r="A27" s="293" t="s">
        <v>250</v>
      </c>
      <c r="B27" s="294" t="s">
        <v>41</v>
      </c>
      <c r="C27" s="312">
        <v>45673</v>
      </c>
      <c r="D27" s="295"/>
      <c r="E27" s="310">
        <v>45707</v>
      </c>
      <c r="F27" s="311">
        <v>45716</v>
      </c>
      <c r="G27" s="313">
        <v>45716</v>
      </c>
      <c r="H27" s="300">
        <v>45723</v>
      </c>
      <c r="I27" s="301">
        <v>0</v>
      </c>
      <c r="J27" s="302">
        <f t="shared" si="3"/>
        <v>9</v>
      </c>
      <c r="K27" s="470">
        <f t="shared" si="4"/>
        <v>50</v>
      </c>
    </row>
    <row r="28" spans="1:11" ht="12.75">
      <c r="A28" s="293" t="s">
        <v>257</v>
      </c>
      <c r="B28" s="294" t="s">
        <v>41</v>
      </c>
      <c r="C28" s="312">
        <v>45694</v>
      </c>
      <c r="D28" s="295"/>
      <c r="E28" s="310"/>
      <c r="F28" s="311"/>
      <c r="G28" s="313"/>
      <c r="H28" s="300">
        <v>45741</v>
      </c>
      <c r="I28" s="301">
        <v>0</v>
      </c>
      <c r="J28" s="302">
        <f t="shared" si="3"/>
        <v>0</v>
      </c>
      <c r="K28" s="470">
        <f t="shared" si="4"/>
        <v>47</v>
      </c>
    </row>
    <row r="29" spans="1:11" ht="12.75">
      <c r="A29" s="293" t="s">
        <v>263</v>
      </c>
      <c r="B29" s="294" t="s">
        <v>79</v>
      </c>
      <c r="C29" s="295">
        <v>45705</v>
      </c>
      <c r="D29" s="295">
        <v>45713</v>
      </c>
      <c r="E29" s="310">
        <v>45716</v>
      </c>
      <c r="F29" s="311">
        <v>45734</v>
      </c>
      <c r="G29" s="313">
        <v>45734</v>
      </c>
      <c r="H29" s="300"/>
      <c r="I29" s="301">
        <f t="shared" si="5"/>
        <v>8</v>
      </c>
      <c r="J29" s="302">
        <f t="shared" si="3"/>
        <v>18</v>
      </c>
      <c r="K29" s="470">
        <v>0</v>
      </c>
    </row>
    <row r="30" spans="1:11" ht="12.75">
      <c r="A30" s="293" t="s">
        <v>270</v>
      </c>
      <c r="B30" s="294" t="s">
        <v>41</v>
      </c>
      <c r="C30" s="312">
        <v>45673</v>
      </c>
      <c r="D30" s="295"/>
      <c r="E30" s="310">
        <v>45692</v>
      </c>
      <c r="F30" s="311">
        <v>45693</v>
      </c>
      <c r="G30" s="313">
        <v>45694</v>
      </c>
      <c r="H30" s="300"/>
      <c r="I30" s="301">
        <v>0</v>
      </c>
      <c r="J30" s="302">
        <f t="shared" si="3"/>
        <v>1</v>
      </c>
      <c r="K30" s="470">
        <v>0</v>
      </c>
    </row>
    <row r="31" spans="1:11" ht="12.75">
      <c r="A31" s="293" t="s">
        <v>278</v>
      </c>
      <c r="B31" s="294" t="s">
        <v>41</v>
      </c>
      <c r="C31" s="312">
        <v>45674</v>
      </c>
      <c r="D31" s="295"/>
      <c r="E31" s="310">
        <v>45706</v>
      </c>
      <c r="F31" s="311">
        <v>45713</v>
      </c>
      <c r="G31" s="313">
        <v>45713</v>
      </c>
      <c r="H31" s="300">
        <v>45769</v>
      </c>
      <c r="I31" s="301">
        <v>0</v>
      </c>
      <c r="J31" s="302">
        <f t="shared" si="3"/>
        <v>7</v>
      </c>
      <c r="K31" s="470">
        <f t="shared" si="4"/>
        <v>95</v>
      </c>
    </row>
    <row r="32" spans="1:11" ht="12.75">
      <c r="A32" s="293" t="s">
        <v>285</v>
      </c>
      <c r="B32" s="294" t="s">
        <v>41</v>
      </c>
      <c r="C32" s="312">
        <v>45674</v>
      </c>
      <c r="D32" s="295"/>
      <c r="E32" s="310">
        <v>45706</v>
      </c>
      <c r="F32" s="311">
        <v>45709</v>
      </c>
      <c r="G32" s="313">
        <v>45712</v>
      </c>
      <c r="H32" s="300">
        <v>45723</v>
      </c>
      <c r="I32" s="301">
        <v>0</v>
      </c>
      <c r="J32" s="302">
        <f t="shared" si="3"/>
        <v>3</v>
      </c>
      <c r="K32" s="470">
        <f t="shared" si="4"/>
        <v>49</v>
      </c>
    </row>
    <row r="33" spans="1:11" ht="12.75">
      <c r="A33" s="293" t="s">
        <v>292</v>
      </c>
      <c r="B33" s="294" t="s">
        <v>41</v>
      </c>
      <c r="C33" s="312">
        <v>45680</v>
      </c>
      <c r="D33" s="295"/>
      <c r="E33" s="310">
        <v>45706</v>
      </c>
      <c r="F33" s="311">
        <v>45709</v>
      </c>
      <c r="G33" s="313">
        <v>45709</v>
      </c>
      <c r="H33" s="300">
        <v>45722</v>
      </c>
      <c r="I33" s="301">
        <v>0</v>
      </c>
      <c r="J33" s="302">
        <f t="shared" si="3"/>
        <v>3</v>
      </c>
      <c r="K33" s="470">
        <f t="shared" si="4"/>
        <v>42</v>
      </c>
    </row>
    <row r="34" spans="1:11" ht="12.75">
      <c r="A34" s="293" t="s">
        <v>299</v>
      </c>
      <c r="B34" s="294" t="s">
        <v>41</v>
      </c>
      <c r="C34" s="312">
        <v>45710</v>
      </c>
      <c r="D34" s="295"/>
      <c r="E34" s="310">
        <v>45734</v>
      </c>
      <c r="F34" s="311">
        <v>45743</v>
      </c>
      <c r="G34" s="313">
        <v>45744</v>
      </c>
      <c r="H34" s="300">
        <v>45748</v>
      </c>
      <c r="I34" s="301">
        <v>0</v>
      </c>
      <c r="J34" s="302">
        <f t="shared" si="3"/>
        <v>9</v>
      </c>
      <c r="K34" s="470">
        <f t="shared" si="4"/>
        <v>38</v>
      </c>
    </row>
    <row r="35" spans="1:11" ht="12.75">
      <c r="A35" s="293" t="s">
        <v>307</v>
      </c>
      <c r="B35" s="294" t="s">
        <v>41</v>
      </c>
      <c r="C35" s="312">
        <v>45680</v>
      </c>
      <c r="D35" s="295"/>
      <c r="E35" s="310">
        <v>45686</v>
      </c>
      <c r="F35" s="311">
        <v>45693</v>
      </c>
      <c r="G35" s="313">
        <v>45694</v>
      </c>
      <c r="H35" s="300">
        <v>45795</v>
      </c>
      <c r="I35" s="301">
        <v>0</v>
      </c>
      <c r="J35" s="302">
        <f t="shared" si="3"/>
        <v>7</v>
      </c>
      <c r="K35" s="470">
        <f t="shared" si="4"/>
        <v>115</v>
      </c>
    </row>
    <row r="36" spans="1:11" ht="12.75">
      <c r="A36" s="293" t="s">
        <v>315</v>
      </c>
      <c r="B36" s="294" t="s">
        <v>41</v>
      </c>
      <c r="C36" s="312">
        <v>45686</v>
      </c>
      <c r="D36" s="295"/>
      <c r="E36" s="310">
        <v>45692</v>
      </c>
      <c r="F36" s="311">
        <v>45693</v>
      </c>
      <c r="G36" s="313">
        <v>45694</v>
      </c>
      <c r="H36" s="300"/>
      <c r="I36" s="301">
        <v>0</v>
      </c>
      <c r="J36" s="302">
        <f t="shared" si="3"/>
        <v>1</v>
      </c>
      <c r="K36" s="470">
        <v>0</v>
      </c>
    </row>
    <row r="37" spans="1:11" ht="12.75">
      <c r="A37" s="293" t="s">
        <v>323</v>
      </c>
      <c r="B37" s="294" t="s">
        <v>41</v>
      </c>
      <c r="C37" s="312">
        <v>45691</v>
      </c>
      <c r="D37" s="295"/>
      <c r="E37" s="310">
        <v>45694</v>
      </c>
      <c r="F37" s="311"/>
      <c r="G37" s="313"/>
      <c r="H37" s="300"/>
      <c r="I37" s="301">
        <v>0</v>
      </c>
      <c r="J37" s="302">
        <v>0</v>
      </c>
      <c r="K37" s="470">
        <v>0</v>
      </c>
    </row>
    <row r="38" spans="1:11" ht="12.75">
      <c r="A38" s="293" t="s">
        <v>333</v>
      </c>
      <c r="B38" s="294" t="s">
        <v>41</v>
      </c>
      <c r="C38" s="312">
        <v>45691</v>
      </c>
      <c r="D38" s="295"/>
      <c r="E38" s="310">
        <v>45722</v>
      </c>
      <c r="F38" s="311">
        <v>45698</v>
      </c>
      <c r="G38" s="313">
        <v>45699</v>
      </c>
      <c r="H38" s="300">
        <v>45708</v>
      </c>
      <c r="I38" s="301">
        <v>0</v>
      </c>
      <c r="J38" s="302">
        <v>0</v>
      </c>
      <c r="K38" s="470">
        <f t="shared" si="4"/>
        <v>17</v>
      </c>
    </row>
    <row r="39" spans="1:11" ht="12.75">
      <c r="A39" s="293" t="s">
        <v>340</v>
      </c>
      <c r="B39" s="294" t="s">
        <v>41</v>
      </c>
      <c r="C39" s="312">
        <v>45694</v>
      </c>
      <c r="D39" s="295"/>
      <c r="E39" s="310">
        <v>45702</v>
      </c>
      <c r="F39" s="311">
        <v>45713</v>
      </c>
      <c r="G39" s="313">
        <v>45713</v>
      </c>
      <c r="H39" s="300">
        <v>45722</v>
      </c>
      <c r="I39" s="301">
        <v>0</v>
      </c>
      <c r="J39" s="302">
        <f t="shared" si="3"/>
        <v>11</v>
      </c>
      <c r="K39" s="470">
        <f t="shared" si="4"/>
        <v>28</v>
      </c>
    </row>
    <row r="40" spans="1:11" ht="12.75">
      <c r="A40" s="293" t="s">
        <v>350</v>
      </c>
      <c r="B40" s="294" t="s">
        <v>41</v>
      </c>
      <c r="C40" s="312">
        <v>45694</v>
      </c>
      <c r="D40" s="296"/>
      <c r="E40" s="310">
        <v>45748</v>
      </c>
      <c r="F40" s="311">
        <v>45760</v>
      </c>
      <c r="G40" s="313">
        <v>45783</v>
      </c>
      <c r="H40" s="300">
        <v>45795</v>
      </c>
      <c r="I40" s="470">
        <v>0</v>
      </c>
      <c r="J40" s="302">
        <f t="shared" si="3"/>
        <v>12</v>
      </c>
      <c r="K40" s="470">
        <f t="shared" si="4"/>
        <v>101</v>
      </c>
    </row>
    <row r="41" spans="1:11" ht="12.75">
      <c r="A41" s="293" t="s">
        <v>357</v>
      </c>
      <c r="B41" s="294" t="s">
        <v>41</v>
      </c>
      <c r="C41" s="312">
        <v>45695</v>
      </c>
      <c r="D41" s="295"/>
      <c r="E41" s="310">
        <v>45706</v>
      </c>
      <c r="F41" s="311">
        <v>45715</v>
      </c>
      <c r="G41" s="313">
        <v>45716</v>
      </c>
      <c r="H41" s="300"/>
      <c r="I41" s="301">
        <v>0</v>
      </c>
      <c r="J41" s="302">
        <f t="shared" si="3"/>
        <v>9</v>
      </c>
      <c r="K41" s="470">
        <v>0</v>
      </c>
    </row>
    <row r="42" spans="1:11" ht="12.75">
      <c r="A42" s="293" t="s">
        <v>364</v>
      </c>
      <c r="B42" s="294" t="s">
        <v>41</v>
      </c>
      <c r="C42" s="312">
        <v>45695</v>
      </c>
      <c r="D42" s="295"/>
      <c r="E42" s="310">
        <v>45706</v>
      </c>
      <c r="F42" s="311">
        <v>45713</v>
      </c>
      <c r="G42" s="313">
        <v>45713</v>
      </c>
      <c r="H42" s="300">
        <v>45751</v>
      </c>
      <c r="I42" s="301">
        <v>0</v>
      </c>
      <c r="J42" s="302">
        <f t="shared" si="3"/>
        <v>7</v>
      </c>
      <c r="K42" s="470">
        <f t="shared" si="4"/>
        <v>56</v>
      </c>
    </row>
    <row r="43" spans="1:11" ht="12.75">
      <c r="A43" s="293" t="s">
        <v>372</v>
      </c>
      <c r="B43" s="294" t="s">
        <v>41</v>
      </c>
      <c r="C43" s="312">
        <v>45699</v>
      </c>
      <c r="D43" s="295"/>
      <c r="E43" s="310">
        <v>45705</v>
      </c>
      <c r="F43" s="311">
        <v>45713</v>
      </c>
      <c r="G43" s="313">
        <v>45713</v>
      </c>
      <c r="H43" s="300"/>
      <c r="I43" s="301">
        <v>0</v>
      </c>
      <c r="J43" s="302">
        <f t="shared" si="3"/>
        <v>8</v>
      </c>
      <c r="K43" s="470">
        <v>0</v>
      </c>
    </row>
    <row r="44" spans="1:11" ht="12.75">
      <c r="A44" s="293" t="s">
        <v>380</v>
      </c>
      <c r="B44" s="294" t="s">
        <v>41</v>
      </c>
      <c r="C44" s="312">
        <v>45699</v>
      </c>
      <c r="D44" s="295"/>
      <c r="E44" s="310">
        <v>45705</v>
      </c>
      <c r="F44" s="311">
        <v>45713</v>
      </c>
      <c r="G44" s="313">
        <v>45713</v>
      </c>
      <c r="H44" s="300"/>
      <c r="I44" s="301">
        <v>0</v>
      </c>
      <c r="J44" s="302">
        <f t="shared" si="3"/>
        <v>8</v>
      </c>
      <c r="K44" s="470">
        <v>0</v>
      </c>
    </row>
    <row r="45" spans="1:11" ht="12.75">
      <c r="A45" s="293" t="s">
        <v>387</v>
      </c>
      <c r="B45" s="294" t="s">
        <v>41</v>
      </c>
      <c r="C45" s="312">
        <v>45700</v>
      </c>
      <c r="D45" s="295"/>
      <c r="E45" s="310">
        <v>45748</v>
      </c>
      <c r="F45" s="311">
        <v>45760</v>
      </c>
      <c r="G45" s="313">
        <v>45761</v>
      </c>
      <c r="H45" s="300">
        <v>45797</v>
      </c>
      <c r="I45" s="301">
        <v>0</v>
      </c>
      <c r="J45" s="302">
        <f t="shared" si="3"/>
        <v>12</v>
      </c>
      <c r="K45" s="470">
        <f t="shared" si="4"/>
        <v>97</v>
      </c>
    </row>
    <row r="46" spans="1:11" ht="12.75">
      <c r="A46" s="293" t="s">
        <v>394</v>
      </c>
      <c r="B46" s="294" t="s">
        <v>396</v>
      </c>
      <c r="C46" s="312">
        <v>45701</v>
      </c>
      <c r="D46" s="295"/>
      <c r="E46" s="310">
        <v>45748</v>
      </c>
      <c r="F46" s="311">
        <v>45734</v>
      </c>
      <c r="G46" s="313">
        <v>45777</v>
      </c>
      <c r="H46" s="300"/>
      <c r="I46" s="301">
        <v>0</v>
      </c>
      <c r="J46" s="302">
        <v>0</v>
      </c>
      <c r="K46" s="470">
        <v>0</v>
      </c>
    </row>
    <row r="47" spans="1:11" ht="12.75">
      <c r="A47" s="293" t="s">
        <v>402</v>
      </c>
      <c r="B47" s="294" t="s">
        <v>41</v>
      </c>
      <c r="C47" s="312">
        <v>45701</v>
      </c>
      <c r="D47" s="295"/>
      <c r="E47" s="310">
        <v>45713</v>
      </c>
      <c r="F47" s="311">
        <v>45715</v>
      </c>
      <c r="G47" s="313">
        <v>45716</v>
      </c>
      <c r="H47" s="300"/>
      <c r="I47" s="301">
        <v>0</v>
      </c>
      <c r="J47" s="302">
        <f t="shared" si="3"/>
        <v>2</v>
      </c>
      <c r="K47" s="470">
        <v>0</v>
      </c>
    </row>
    <row r="48" spans="1:11" ht="12.75">
      <c r="A48" s="293" t="s">
        <v>409</v>
      </c>
      <c r="B48" s="294" t="s">
        <v>79</v>
      </c>
      <c r="C48" s="312">
        <v>45701</v>
      </c>
      <c r="D48" s="295"/>
      <c r="E48" s="310">
        <v>45705</v>
      </c>
      <c r="F48" s="311">
        <v>45713</v>
      </c>
      <c r="G48" s="313">
        <v>45713</v>
      </c>
      <c r="H48" s="300"/>
      <c r="I48" s="301">
        <v>0</v>
      </c>
      <c r="J48" s="302">
        <f t="shared" si="3"/>
        <v>8</v>
      </c>
      <c r="K48" s="470">
        <v>0</v>
      </c>
    </row>
    <row r="49" spans="1:11" ht="12.75">
      <c r="A49" s="293" t="s">
        <v>417</v>
      </c>
      <c r="B49" s="294" t="s">
        <v>396</v>
      </c>
      <c r="C49" s="312">
        <v>45702</v>
      </c>
      <c r="D49" s="295"/>
      <c r="E49" s="310">
        <v>45709</v>
      </c>
      <c r="F49" s="311">
        <v>45716</v>
      </c>
      <c r="G49" s="313">
        <v>45716</v>
      </c>
      <c r="H49" s="300">
        <v>45785</v>
      </c>
      <c r="I49" s="301">
        <v>0</v>
      </c>
      <c r="J49" s="302">
        <f t="shared" si="3"/>
        <v>7</v>
      </c>
      <c r="K49" s="470">
        <f t="shared" si="4"/>
        <v>83</v>
      </c>
    </row>
    <row r="50" spans="1:11" ht="12.75">
      <c r="A50" s="293" t="s">
        <v>426</v>
      </c>
      <c r="B50" s="294" t="s">
        <v>428</v>
      </c>
      <c r="C50" s="312">
        <v>45706</v>
      </c>
      <c r="D50" s="295">
        <v>45714</v>
      </c>
      <c r="E50" s="310">
        <v>45716</v>
      </c>
      <c r="F50" s="311">
        <v>45734</v>
      </c>
      <c r="G50" s="313">
        <v>45734</v>
      </c>
      <c r="H50" s="300">
        <v>46071</v>
      </c>
      <c r="I50" s="301">
        <f t="shared" si="5"/>
        <v>8</v>
      </c>
      <c r="J50" s="302">
        <f t="shared" si="3"/>
        <v>18</v>
      </c>
      <c r="K50" s="470">
        <f t="shared" si="4"/>
        <v>365</v>
      </c>
    </row>
    <row r="51" spans="1:11" ht="12.75">
      <c r="A51" s="293" t="s">
        <v>435</v>
      </c>
      <c r="B51" s="294" t="s">
        <v>41</v>
      </c>
      <c r="C51" s="312">
        <v>45707</v>
      </c>
      <c r="D51" s="295"/>
      <c r="E51" s="310">
        <v>45716</v>
      </c>
      <c r="F51" s="311">
        <v>45734</v>
      </c>
      <c r="G51" s="313">
        <v>45734</v>
      </c>
      <c r="H51" s="300"/>
      <c r="I51" s="301">
        <v>0</v>
      </c>
      <c r="J51" s="302">
        <f t="shared" si="3"/>
        <v>18</v>
      </c>
      <c r="K51" s="470">
        <v>0</v>
      </c>
    </row>
    <row r="52" spans="1:11" ht="12.75">
      <c r="A52" s="293" t="s">
        <v>442</v>
      </c>
      <c r="B52" s="294" t="s">
        <v>41</v>
      </c>
      <c r="C52" s="312">
        <v>45708</v>
      </c>
      <c r="D52" s="295"/>
      <c r="E52" s="310">
        <v>45716</v>
      </c>
      <c r="F52" s="311">
        <v>45716</v>
      </c>
      <c r="G52" s="313">
        <v>45734</v>
      </c>
      <c r="H52" s="300">
        <v>45750</v>
      </c>
      <c r="I52" s="301">
        <v>0</v>
      </c>
      <c r="J52" s="302">
        <f t="shared" si="3"/>
        <v>0</v>
      </c>
      <c r="K52" s="470">
        <f t="shared" si="4"/>
        <v>42</v>
      </c>
    </row>
    <row r="53" spans="1:11" ht="12.75">
      <c r="A53" s="293" t="s">
        <v>451</v>
      </c>
      <c r="B53" s="294" t="s">
        <v>41</v>
      </c>
      <c r="C53" s="312">
        <v>45712</v>
      </c>
      <c r="D53" s="295"/>
      <c r="E53" s="310">
        <v>45754</v>
      </c>
      <c r="F53" s="311">
        <v>45707</v>
      </c>
      <c r="G53" s="313">
        <v>45761</v>
      </c>
      <c r="H53" s="300">
        <v>45809</v>
      </c>
      <c r="I53" s="301">
        <v>0</v>
      </c>
      <c r="J53" s="302">
        <v>0</v>
      </c>
      <c r="K53" s="470">
        <f t="shared" si="4"/>
        <v>97</v>
      </c>
    </row>
    <row r="54" spans="1:11" ht="12.75">
      <c r="A54" s="293" t="s">
        <v>461</v>
      </c>
      <c r="B54" s="294" t="s">
        <v>41</v>
      </c>
      <c r="C54" s="312">
        <v>45712</v>
      </c>
      <c r="D54" s="295">
        <v>45714</v>
      </c>
      <c r="E54" s="310">
        <v>45716</v>
      </c>
      <c r="F54" s="311">
        <v>45734</v>
      </c>
      <c r="G54" s="313">
        <v>45734</v>
      </c>
      <c r="H54" s="300">
        <v>45750</v>
      </c>
      <c r="I54" s="301">
        <f t="shared" si="5"/>
        <v>2</v>
      </c>
      <c r="J54" s="302">
        <f t="shared" si="3"/>
        <v>18</v>
      </c>
      <c r="K54" s="470">
        <f t="shared" si="4"/>
        <v>38</v>
      </c>
    </row>
    <row r="55" spans="1:11" ht="12.75">
      <c r="A55" s="293" t="s">
        <v>469</v>
      </c>
      <c r="B55" s="294" t="s">
        <v>41</v>
      </c>
      <c r="C55" s="312">
        <v>45715</v>
      </c>
      <c r="D55" s="295"/>
      <c r="E55" s="310">
        <v>45728</v>
      </c>
      <c r="F55" s="311">
        <v>45743</v>
      </c>
      <c r="G55" s="313">
        <v>45744</v>
      </c>
      <c r="H55" s="300">
        <v>45769</v>
      </c>
      <c r="I55" s="301">
        <v>0</v>
      </c>
      <c r="J55" s="302">
        <f t="shared" si="3"/>
        <v>15</v>
      </c>
      <c r="K55" s="470">
        <f t="shared" si="4"/>
        <v>54</v>
      </c>
    </row>
    <row r="56" spans="1:11" ht="12.75">
      <c r="A56" s="293" t="s">
        <v>476</v>
      </c>
      <c r="B56" s="294" t="s">
        <v>41</v>
      </c>
      <c r="C56" s="312">
        <v>45733</v>
      </c>
      <c r="D56" s="295">
        <v>45733</v>
      </c>
      <c r="E56" s="310">
        <v>45737</v>
      </c>
      <c r="F56" s="311">
        <v>45743</v>
      </c>
      <c r="G56" s="313">
        <v>45744</v>
      </c>
      <c r="H56" s="300">
        <v>45795</v>
      </c>
      <c r="I56" s="301">
        <f t="shared" si="5"/>
        <v>0</v>
      </c>
      <c r="J56" s="302">
        <f t="shared" si="3"/>
        <v>6</v>
      </c>
      <c r="K56" s="470">
        <f t="shared" si="4"/>
        <v>62</v>
      </c>
    </row>
    <row r="57" spans="1:11" ht="12.75">
      <c r="A57" s="293" t="s">
        <v>483</v>
      </c>
      <c r="B57" s="294" t="s">
        <v>41</v>
      </c>
      <c r="C57" s="312">
        <v>45733</v>
      </c>
      <c r="D57" s="295"/>
      <c r="E57" s="310">
        <v>45748</v>
      </c>
      <c r="F57" s="311">
        <v>45760</v>
      </c>
      <c r="G57" s="313">
        <v>45761</v>
      </c>
      <c r="H57" s="300"/>
      <c r="I57" s="301">
        <v>0</v>
      </c>
      <c r="J57" s="302">
        <f t="shared" si="3"/>
        <v>12</v>
      </c>
      <c r="K57" s="470">
        <v>0</v>
      </c>
    </row>
    <row r="58" spans="1:11" ht="12.75">
      <c r="A58" s="293" t="s">
        <v>489</v>
      </c>
      <c r="B58" s="294" t="s">
        <v>491</v>
      </c>
      <c r="C58" s="312">
        <v>45750</v>
      </c>
      <c r="D58" s="295">
        <v>45754</v>
      </c>
      <c r="E58" s="310"/>
      <c r="F58" s="311"/>
      <c r="G58" s="313"/>
      <c r="H58" s="300"/>
      <c r="I58" s="301">
        <f t="shared" si="5"/>
        <v>4</v>
      </c>
      <c r="J58" s="302">
        <f t="shared" si="3"/>
        <v>0</v>
      </c>
      <c r="K58" s="470">
        <v>0</v>
      </c>
    </row>
    <row r="59" spans="1:11" ht="12.75">
      <c r="A59" s="293" t="s">
        <v>500</v>
      </c>
      <c r="B59" s="294" t="s">
        <v>41</v>
      </c>
      <c r="C59" s="312">
        <v>45754</v>
      </c>
      <c r="D59" s="295">
        <v>45756</v>
      </c>
      <c r="E59" s="310">
        <v>45763</v>
      </c>
      <c r="F59" s="311">
        <v>45776</v>
      </c>
      <c r="G59" s="313">
        <v>45777</v>
      </c>
      <c r="H59" s="300">
        <v>45809</v>
      </c>
      <c r="I59" s="301">
        <f t="shared" si="5"/>
        <v>2</v>
      </c>
      <c r="J59" s="302">
        <f t="shared" si="3"/>
        <v>13</v>
      </c>
      <c r="K59" s="470">
        <f t="shared" si="4"/>
        <v>55</v>
      </c>
    </row>
    <row r="60" spans="1:11" ht="12.75">
      <c r="A60" s="293" t="s">
        <v>509</v>
      </c>
      <c r="B60" s="294" t="s">
        <v>41</v>
      </c>
      <c r="C60" s="312">
        <v>45754</v>
      </c>
      <c r="D60" s="295">
        <v>45756</v>
      </c>
      <c r="E60" s="310">
        <v>45762</v>
      </c>
      <c r="F60" s="311">
        <v>45776</v>
      </c>
      <c r="G60" s="313">
        <v>45777</v>
      </c>
      <c r="H60" s="300">
        <v>45814</v>
      </c>
      <c r="I60" s="301">
        <f t="shared" si="5"/>
        <v>2</v>
      </c>
      <c r="J60" s="302">
        <f t="shared" si="3"/>
        <v>14</v>
      </c>
      <c r="K60" s="470">
        <f t="shared" si="4"/>
        <v>60</v>
      </c>
    </row>
    <row r="61" spans="1:11" ht="12.75">
      <c r="A61" s="293" t="s">
        <v>518</v>
      </c>
      <c r="B61" s="294" t="s">
        <v>41</v>
      </c>
      <c r="C61" s="312">
        <v>45771</v>
      </c>
      <c r="D61" s="296" t="s">
        <v>1002</v>
      </c>
      <c r="E61" s="315" t="s">
        <v>1002</v>
      </c>
      <c r="F61" s="298" t="s">
        <v>1002</v>
      </c>
      <c r="G61" s="316" t="s">
        <v>1002</v>
      </c>
      <c r="H61" s="300">
        <v>45702</v>
      </c>
      <c r="I61" s="301">
        <v>0</v>
      </c>
      <c r="J61" s="302">
        <v>0</v>
      </c>
      <c r="K61" s="470">
        <v>0</v>
      </c>
    </row>
    <row r="62" spans="1:11" ht="12.75">
      <c r="A62" s="293" t="s">
        <v>525</v>
      </c>
      <c r="B62" s="294" t="s">
        <v>41</v>
      </c>
      <c r="C62" s="312">
        <v>45777</v>
      </c>
      <c r="D62" s="295">
        <v>45782</v>
      </c>
      <c r="E62" s="310">
        <v>45817</v>
      </c>
      <c r="F62" s="311">
        <v>45835</v>
      </c>
      <c r="G62" s="313">
        <v>45838</v>
      </c>
      <c r="H62" s="300"/>
      <c r="I62" s="301">
        <f t="shared" ref="I62:I127" si="6">(D62-C62)</f>
        <v>5</v>
      </c>
      <c r="J62" s="302">
        <f t="shared" ref="J62:J65" si="7">(F62-E62)</f>
        <v>18</v>
      </c>
      <c r="K62" s="470">
        <v>0</v>
      </c>
    </row>
    <row r="63" spans="1:11" ht="12.75">
      <c r="A63" s="317"/>
      <c r="B63" s="294" t="s">
        <v>41</v>
      </c>
      <c r="C63" s="312">
        <v>45791</v>
      </c>
      <c r="D63" s="295"/>
      <c r="E63" s="310">
        <v>45817</v>
      </c>
      <c r="F63" s="311">
        <v>45823</v>
      </c>
      <c r="G63" s="313">
        <v>45824</v>
      </c>
      <c r="H63" s="300"/>
      <c r="I63" s="301">
        <v>0</v>
      </c>
      <c r="J63" s="302">
        <f t="shared" si="7"/>
        <v>6</v>
      </c>
      <c r="K63" s="470">
        <v>0</v>
      </c>
    </row>
    <row r="64" spans="1:11" ht="12.75">
      <c r="A64" s="293" t="s">
        <v>540</v>
      </c>
      <c r="B64" s="294" t="s">
        <v>41</v>
      </c>
      <c r="C64" s="312">
        <v>45393</v>
      </c>
      <c r="D64" s="318">
        <v>45581</v>
      </c>
      <c r="E64" s="310">
        <v>45758</v>
      </c>
      <c r="F64" s="311"/>
      <c r="G64" s="313"/>
      <c r="H64" s="300"/>
      <c r="I64" s="301">
        <f t="shared" si="6"/>
        <v>188</v>
      </c>
      <c r="J64" s="302">
        <v>0</v>
      </c>
      <c r="K64" s="470">
        <v>0</v>
      </c>
    </row>
    <row r="65" spans="1:11" ht="12.75">
      <c r="A65" s="293" t="s">
        <v>548</v>
      </c>
      <c r="B65" s="294" t="s">
        <v>79</v>
      </c>
      <c r="C65" s="312">
        <v>45701</v>
      </c>
      <c r="D65" s="295"/>
      <c r="E65" s="310">
        <v>45777</v>
      </c>
      <c r="F65" s="311"/>
      <c r="G65" s="313"/>
      <c r="H65" s="300"/>
      <c r="I65" s="301">
        <v>0</v>
      </c>
      <c r="J65" s="302">
        <v>0</v>
      </c>
      <c r="K65" s="470">
        <v>0</v>
      </c>
    </row>
    <row r="66" spans="1:11" ht="12.75">
      <c r="A66" s="293" t="s">
        <v>556</v>
      </c>
      <c r="B66" s="294" t="s">
        <v>41</v>
      </c>
      <c r="C66" s="312">
        <v>45638</v>
      </c>
      <c r="D66" s="295">
        <v>45659</v>
      </c>
      <c r="E66" s="315" t="s">
        <v>1003</v>
      </c>
      <c r="F66" s="298" t="s">
        <v>1003</v>
      </c>
      <c r="G66" s="316" t="s">
        <v>1003</v>
      </c>
      <c r="H66" s="319" t="s">
        <v>1003</v>
      </c>
      <c r="I66" s="301">
        <f t="shared" si="6"/>
        <v>21</v>
      </c>
      <c r="J66" s="302">
        <v>0</v>
      </c>
      <c r="K66" s="470">
        <v>0</v>
      </c>
    </row>
    <row r="67" spans="1:11" ht="24">
      <c r="A67" s="293" t="s">
        <v>562</v>
      </c>
      <c r="B67" s="294" t="s">
        <v>41</v>
      </c>
      <c r="C67" s="312">
        <v>45804</v>
      </c>
      <c r="D67" s="295"/>
      <c r="E67" s="310"/>
      <c r="F67" s="311"/>
      <c r="G67" s="313"/>
      <c r="H67" s="300"/>
      <c r="I67" s="301">
        <v>0</v>
      </c>
      <c r="J67" s="302">
        <f t="shared" ref="J67:J76" si="8">(F67-E67)</f>
        <v>0</v>
      </c>
      <c r="K67" s="470">
        <v>0</v>
      </c>
    </row>
    <row r="68" spans="1:11" ht="12.75">
      <c r="A68" s="293" t="s">
        <v>570</v>
      </c>
      <c r="B68" s="294" t="s">
        <v>572</v>
      </c>
      <c r="C68" s="312">
        <v>45790</v>
      </c>
      <c r="D68" s="295"/>
      <c r="E68" s="310">
        <v>45846</v>
      </c>
      <c r="F68" s="311">
        <v>45846</v>
      </c>
      <c r="G68" s="313"/>
      <c r="H68" s="300"/>
      <c r="I68" s="301">
        <v>0</v>
      </c>
      <c r="J68" s="302">
        <f t="shared" si="8"/>
        <v>0</v>
      </c>
      <c r="K68" s="470">
        <v>0</v>
      </c>
    </row>
    <row r="69" spans="1:11" ht="12.75">
      <c r="A69" s="293" t="s">
        <v>579</v>
      </c>
      <c r="B69" s="294" t="s">
        <v>41</v>
      </c>
      <c r="C69" s="312">
        <v>45806</v>
      </c>
      <c r="D69" s="295">
        <v>45811</v>
      </c>
      <c r="E69" s="310">
        <v>45832</v>
      </c>
      <c r="F69" s="311">
        <v>45835</v>
      </c>
      <c r="G69" s="313">
        <v>45838</v>
      </c>
      <c r="H69" s="300">
        <v>45848</v>
      </c>
      <c r="I69" s="301">
        <f t="shared" si="6"/>
        <v>5</v>
      </c>
      <c r="J69" s="302">
        <f t="shared" si="8"/>
        <v>3</v>
      </c>
      <c r="K69" s="470">
        <f t="shared" ref="K67:K74" si="9">(H69-C69)</f>
        <v>42</v>
      </c>
    </row>
    <row r="70" spans="1:11" ht="12.75">
      <c r="A70" s="293" t="s">
        <v>588</v>
      </c>
      <c r="B70" s="294" t="s">
        <v>41</v>
      </c>
      <c r="C70" s="312">
        <v>45807</v>
      </c>
      <c r="D70" s="295">
        <v>45811</v>
      </c>
      <c r="E70" s="310">
        <v>45817</v>
      </c>
      <c r="F70" s="311">
        <v>45824</v>
      </c>
      <c r="G70" s="313">
        <v>45825</v>
      </c>
      <c r="H70" s="300">
        <v>45835</v>
      </c>
      <c r="I70" s="301">
        <f t="shared" si="6"/>
        <v>4</v>
      </c>
      <c r="J70" s="302">
        <f t="shared" si="8"/>
        <v>7</v>
      </c>
      <c r="K70" s="470">
        <f t="shared" si="9"/>
        <v>28</v>
      </c>
    </row>
    <row r="71" spans="1:11" ht="12.75">
      <c r="A71" s="293" t="s">
        <v>595</v>
      </c>
      <c r="B71" s="294" t="s">
        <v>41</v>
      </c>
      <c r="C71" s="312">
        <v>45807</v>
      </c>
      <c r="D71" s="295">
        <v>45811</v>
      </c>
      <c r="E71" s="310">
        <v>45812</v>
      </c>
      <c r="F71" s="311">
        <v>45823</v>
      </c>
      <c r="G71" s="313">
        <v>45824</v>
      </c>
      <c r="H71" s="300">
        <v>45831</v>
      </c>
      <c r="I71" s="301">
        <f t="shared" si="6"/>
        <v>4</v>
      </c>
      <c r="J71" s="302">
        <f t="shared" si="8"/>
        <v>11</v>
      </c>
      <c r="K71" s="470">
        <f t="shared" si="9"/>
        <v>24</v>
      </c>
    </row>
    <row r="72" spans="1:11" ht="12.75">
      <c r="A72" s="293" t="s">
        <v>603</v>
      </c>
      <c r="B72" s="294" t="s">
        <v>41</v>
      </c>
      <c r="C72" s="312">
        <v>45810</v>
      </c>
      <c r="D72" s="295">
        <v>45811</v>
      </c>
      <c r="E72" s="310">
        <v>45855</v>
      </c>
      <c r="F72" s="311">
        <v>45866</v>
      </c>
      <c r="G72" s="313">
        <v>45868</v>
      </c>
      <c r="H72" s="300">
        <v>45891</v>
      </c>
      <c r="I72" s="301">
        <f t="shared" si="6"/>
        <v>1</v>
      </c>
      <c r="J72" s="302">
        <f t="shared" si="8"/>
        <v>11</v>
      </c>
      <c r="K72" s="470">
        <f t="shared" si="9"/>
        <v>81</v>
      </c>
    </row>
    <row r="73" spans="1:11" ht="12.75">
      <c r="A73" s="320" t="s">
        <v>611</v>
      </c>
      <c r="B73" s="294" t="s">
        <v>41</v>
      </c>
      <c r="C73" s="312">
        <v>45821</v>
      </c>
      <c r="D73" s="295">
        <v>45821</v>
      </c>
      <c r="E73" s="310">
        <v>45821</v>
      </c>
      <c r="F73" s="311">
        <v>45824</v>
      </c>
      <c r="G73" s="313">
        <v>45824</v>
      </c>
      <c r="H73" s="300">
        <v>45825</v>
      </c>
      <c r="I73" s="301">
        <f t="shared" si="6"/>
        <v>0</v>
      </c>
      <c r="J73" s="302">
        <f t="shared" si="8"/>
        <v>3</v>
      </c>
      <c r="K73" s="470">
        <f t="shared" si="9"/>
        <v>4</v>
      </c>
    </row>
    <row r="74" spans="1:11" ht="12.75">
      <c r="A74" s="293" t="s">
        <v>617</v>
      </c>
      <c r="B74" s="294" t="s">
        <v>41</v>
      </c>
      <c r="C74" s="312">
        <v>45831</v>
      </c>
      <c r="D74" s="295"/>
      <c r="E74" s="310">
        <v>45846</v>
      </c>
      <c r="F74" s="311">
        <v>45846</v>
      </c>
      <c r="G74" s="313">
        <v>45847</v>
      </c>
      <c r="H74" s="300"/>
      <c r="I74" s="301">
        <v>0</v>
      </c>
      <c r="J74" s="302">
        <f t="shared" si="8"/>
        <v>0</v>
      </c>
      <c r="K74" s="470">
        <v>0</v>
      </c>
    </row>
    <row r="75" spans="1:11" ht="12.75">
      <c r="A75" s="320" t="s">
        <v>625</v>
      </c>
      <c r="B75" s="294" t="s">
        <v>41</v>
      </c>
      <c r="C75" s="312">
        <v>45833</v>
      </c>
      <c r="D75" s="295">
        <v>45838</v>
      </c>
      <c r="E75" s="310">
        <v>45841</v>
      </c>
      <c r="F75" s="311">
        <v>45846</v>
      </c>
      <c r="G75" s="313">
        <v>45847</v>
      </c>
      <c r="H75" s="319" t="s">
        <v>1004</v>
      </c>
      <c r="I75" s="301">
        <f t="shared" si="6"/>
        <v>5</v>
      </c>
      <c r="J75" s="302">
        <f t="shared" si="8"/>
        <v>5</v>
      </c>
      <c r="K75" s="470">
        <v>0</v>
      </c>
    </row>
    <row r="76" spans="1:11" ht="12.75">
      <c r="A76" s="321" t="s">
        <v>632</v>
      </c>
      <c r="B76" s="294" t="s">
        <v>41</v>
      </c>
      <c r="C76" s="312">
        <v>45845</v>
      </c>
      <c r="D76" s="295">
        <v>45846</v>
      </c>
      <c r="E76" s="310">
        <v>45909</v>
      </c>
      <c r="F76" s="311">
        <v>45915</v>
      </c>
      <c r="G76" s="313">
        <v>45916</v>
      </c>
      <c r="H76" s="319" t="s">
        <v>1004</v>
      </c>
      <c r="I76" s="301">
        <f t="shared" si="6"/>
        <v>1</v>
      </c>
      <c r="J76" s="302">
        <f t="shared" si="8"/>
        <v>6</v>
      </c>
      <c r="K76" s="470">
        <v>0</v>
      </c>
    </row>
    <row r="77" spans="1:11" ht="12.75">
      <c r="A77" s="293" t="s">
        <v>641</v>
      </c>
      <c r="B77" s="294" t="s">
        <v>41</v>
      </c>
      <c r="C77" s="312">
        <v>45845</v>
      </c>
      <c r="D77" s="295">
        <v>45847</v>
      </c>
      <c r="E77" s="315" t="s">
        <v>1003</v>
      </c>
      <c r="F77" s="298" t="s">
        <v>1003</v>
      </c>
      <c r="G77" s="316" t="s">
        <v>1003</v>
      </c>
      <c r="H77" s="319" t="s">
        <v>1003</v>
      </c>
      <c r="I77" s="301">
        <f t="shared" si="6"/>
        <v>2</v>
      </c>
      <c r="J77" s="302">
        <v>0</v>
      </c>
      <c r="K77" s="470">
        <v>0</v>
      </c>
    </row>
    <row r="78" spans="1:11" ht="12.75">
      <c r="A78" s="293" t="s">
        <v>649</v>
      </c>
      <c r="B78" s="294" t="s">
        <v>79</v>
      </c>
      <c r="C78" s="312">
        <v>45852</v>
      </c>
      <c r="D78" s="295">
        <v>45883</v>
      </c>
      <c r="E78" s="310">
        <v>45968</v>
      </c>
      <c r="F78" s="322">
        <v>45978</v>
      </c>
      <c r="G78" s="323">
        <v>45980</v>
      </c>
      <c r="H78" s="300"/>
      <c r="I78" s="301">
        <f t="shared" si="6"/>
        <v>31</v>
      </c>
      <c r="J78" s="302">
        <f t="shared" ref="J78:J85" si="10">(F78-E78)</f>
        <v>10</v>
      </c>
      <c r="K78" s="470">
        <v>0</v>
      </c>
    </row>
    <row r="79" spans="1:11" ht="12.75">
      <c r="A79" s="293" t="s">
        <v>656</v>
      </c>
      <c r="B79" s="294" t="s">
        <v>79</v>
      </c>
      <c r="C79" s="312">
        <v>45856</v>
      </c>
      <c r="D79" s="295">
        <v>45861</v>
      </c>
      <c r="E79" s="310">
        <v>45864</v>
      </c>
      <c r="F79" s="311">
        <v>45866</v>
      </c>
      <c r="G79" s="313">
        <v>45866</v>
      </c>
      <c r="H79" s="324">
        <v>46012</v>
      </c>
      <c r="I79" s="301">
        <f t="shared" si="6"/>
        <v>5</v>
      </c>
      <c r="J79" s="302">
        <f t="shared" si="10"/>
        <v>2</v>
      </c>
      <c r="K79" s="470">
        <f t="shared" ref="K78:K84" si="11">(H79-C79)</f>
        <v>156</v>
      </c>
    </row>
    <row r="80" spans="1:11" ht="12.75">
      <c r="A80" s="293" t="s">
        <v>665</v>
      </c>
      <c r="B80" s="294" t="s">
        <v>41</v>
      </c>
      <c r="C80" s="312">
        <v>45853</v>
      </c>
      <c r="D80" s="295">
        <v>45856</v>
      </c>
      <c r="E80" s="310">
        <v>45862</v>
      </c>
      <c r="F80" s="311">
        <v>45877</v>
      </c>
      <c r="G80" s="313">
        <v>45880</v>
      </c>
      <c r="H80" s="300">
        <v>45912</v>
      </c>
      <c r="I80" s="301">
        <f t="shared" si="6"/>
        <v>3</v>
      </c>
      <c r="J80" s="302">
        <f t="shared" si="10"/>
        <v>15</v>
      </c>
      <c r="K80" s="470">
        <f t="shared" si="11"/>
        <v>59</v>
      </c>
    </row>
    <row r="81" spans="1:28" ht="12.75">
      <c r="A81" s="293" t="s">
        <v>673</v>
      </c>
      <c r="B81" s="294" t="s">
        <v>41</v>
      </c>
      <c r="C81" s="312">
        <v>45852</v>
      </c>
      <c r="D81" s="295">
        <v>45859</v>
      </c>
      <c r="E81" s="310">
        <v>45883</v>
      </c>
      <c r="F81" s="311">
        <v>45898</v>
      </c>
      <c r="G81" s="313">
        <v>45901</v>
      </c>
      <c r="H81" s="300">
        <v>45918</v>
      </c>
      <c r="I81" s="301">
        <f t="shared" si="6"/>
        <v>7</v>
      </c>
      <c r="J81" s="302">
        <f t="shared" si="10"/>
        <v>15</v>
      </c>
      <c r="K81" s="470">
        <f t="shared" si="11"/>
        <v>66</v>
      </c>
    </row>
    <row r="82" spans="1:28" ht="12.75">
      <c r="A82" s="320" t="s">
        <v>679</v>
      </c>
      <c r="B82" s="294" t="s">
        <v>41</v>
      </c>
      <c r="C82" s="312">
        <v>45852</v>
      </c>
      <c r="D82" s="325">
        <v>45856</v>
      </c>
      <c r="E82" s="310">
        <v>45862</v>
      </c>
      <c r="F82" s="311">
        <v>45896</v>
      </c>
      <c r="G82" s="313">
        <v>45896</v>
      </c>
      <c r="H82" s="300">
        <v>45918</v>
      </c>
      <c r="I82" s="301">
        <f t="shared" si="6"/>
        <v>4</v>
      </c>
      <c r="J82" s="302">
        <f t="shared" si="10"/>
        <v>34</v>
      </c>
      <c r="K82" s="470">
        <f t="shared" si="11"/>
        <v>66</v>
      </c>
    </row>
    <row r="83" spans="1:28" ht="12.75">
      <c r="A83" s="293" t="s">
        <v>682</v>
      </c>
      <c r="B83" s="294" t="s">
        <v>41</v>
      </c>
      <c r="C83" s="312">
        <v>45863</v>
      </c>
      <c r="D83" s="295">
        <v>45909</v>
      </c>
      <c r="E83" s="310">
        <v>45882</v>
      </c>
      <c r="F83" s="311">
        <v>45915</v>
      </c>
      <c r="G83" s="313">
        <v>45916</v>
      </c>
      <c r="H83" s="300"/>
      <c r="I83" s="301">
        <f t="shared" si="6"/>
        <v>46</v>
      </c>
      <c r="J83" s="302">
        <f t="shared" si="10"/>
        <v>33</v>
      </c>
      <c r="K83" s="470">
        <v>0</v>
      </c>
    </row>
    <row r="84" spans="1:28" ht="12.75">
      <c r="A84" s="293" t="s">
        <v>690</v>
      </c>
      <c r="B84" s="294" t="s">
        <v>41</v>
      </c>
      <c r="C84" s="312">
        <v>45863</v>
      </c>
      <c r="D84" s="295">
        <v>45882</v>
      </c>
      <c r="E84" s="310">
        <v>45888</v>
      </c>
      <c r="F84" s="311">
        <v>45894</v>
      </c>
      <c r="G84" s="313">
        <v>45895</v>
      </c>
      <c r="H84" s="300">
        <v>45915</v>
      </c>
      <c r="I84" s="301">
        <f t="shared" si="6"/>
        <v>19</v>
      </c>
      <c r="J84" s="302">
        <f t="shared" si="10"/>
        <v>6</v>
      </c>
      <c r="K84" s="470">
        <f t="shared" si="11"/>
        <v>52</v>
      </c>
    </row>
    <row r="85" spans="1:28" ht="12.75">
      <c r="A85" s="293" t="s">
        <v>697</v>
      </c>
      <c r="B85" s="294" t="s">
        <v>41</v>
      </c>
      <c r="C85" s="312">
        <v>45880</v>
      </c>
      <c r="D85" s="295">
        <v>45880</v>
      </c>
      <c r="E85" s="310">
        <v>45931</v>
      </c>
      <c r="F85" s="311">
        <v>45932</v>
      </c>
      <c r="G85" s="313">
        <v>45933</v>
      </c>
      <c r="H85" s="319" t="s">
        <v>1004</v>
      </c>
      <c r="I85" s="301">
        <f t="shared" si="6"/>
        <v>0</v>
      </c>
      <c r="J85" s="302">
        <f t="shared" si="10"/>
        <v>1</v>
      </c>
      <c r="K85" s="470">
        <v>0</v>
      </c>
    </row>
    <row r="86" spans="1:28" ht="12.75">
      <c r="A86" s="293" t="s">
        <v>706</v>
      </c>
      <c r="B86" s="294" t="s">
        <v>79</v>
      </c>
      <c r="C86" s="312">
        <v>45883</v>
      </c>
      <c r="D86" s="295">
        <v>45888</v>
      </c>
      <c r="E86" s="315" t="s">
        <v>1003</v>
      </c>
      <c r="F86" s="298" t="s">
        <v>1003</v>
      </c>
      <c r="G86" s="316" t="s">
        <v>1003</v>
      </c>
      <c r="H86" s="319" t="s">
        <v>1005</v>
      </c>
      <c r="I86" s="301">
        <f t="shared" si="6"/>
        <v>5</v>
      </c>
      <c r="J86" s="302">
        <v>0</v>
      </c>
      <c r="K86" s="470">
        <v>0</v>
      </c>
    </row>
    <row r="87" spans="1:28" ht="12.75">
      <c r="A87" s="326" t="s">
        <v>712</v>
      </c>
      <c r="B87" s="294" t="s">
        <v>79</v>
      </c>
      <c r="C87" s="312"/>
      <c r="D87" s="295">
        <v>45889</v>
      </c>
      <c r="E87" s="310">
        <v>45903</v>
      </c>
      <c r="F87" s="311"/>
      <c r="G87" s="313"/>
      <c r="H87" s="300"/>
      <c r="I87" s="301">
        <v>0</v>
      </c>
      <c r="J87" s="302">
        <v>0</v>
      </c>
      <c r="K87" s="470">
        <v>0</v>
      </c>
    </row>
    <row r="88" spans="1:28" ht="12.75">
      <c r="A88" s="320" t="s">
        <v>718</v>
      </c>
      <c r="B88" s="294" t="s">
        <v>41</v>
      </c>
      <c r="C88" s="312">
        <v>45896</v>
      </c>
      <c r="D88" s="295">
        <v>45898</v>
      </c>
      <c r="E88" s="327">
        <v>45959</v>
      </c>
      <c r="F88" s="322">
        <v>45960</v>
      </c>
      <c r="G88" s="323">
        <v>45961</v>
      </c>
      <c r="H88" s="319" t="s">
        <v>1004</v>
      </c>
      <c r="I88" s="301">
        <f t="shared" si="6"/>
        <v>2</v>
      </c>
      <c r="J88" s="302">
        <f t="shared" ref="J87:J127" si="12">(F88-E88)</f>
        <v>1</v>
      </c>
      <c r="K88" s="470">
        <v>0</v>
      </c>
    </row>
    <row r="89" spans="1:28" ht="12.75">
      <c r="A89" s="293" t="s">
        <v>725</v>
      </c>
      <c r="B89" s="294" t="s">
        <v>41</v>
      </c>
      <c r="C89" s="312">
        <v>45902</v>
      </c>
      <c r="D89" s="295">
        <v>45903</v>
      </c>
      <c r="E89" s="310"/>
      <c r="F89" s="311"/>
      <c r="G89" s="313"/>
      <c r="H89" s="319"/>
      <c r="I89" s="301">
        <f t="shared" si="6"/>
        <v>1</v>
      </c>
      <c r="J89" s="302">
        <f t="shared" si="12"/>
        <v>0</v>
      </c>
      <c r="K89" s="470">
        <v>0</v>
      </c>
      <c r="L89" s="454"/>
      <c r="M89" s="454"/>
      <c r="N89" s="454"/>
      <c r="O89" s="454"/>
      <c r="P89" s="454"/>
      <c r="Q89" s="454"/>
      <c r="R89" s="454"/>
      <c r="S89" s="454"/>
      <c r="T89" s="454"/>
      <c r="U89" s="454"/>
      <c r="V89" s="454"/>
      <c r="W89" s="454"/>
      <c r="X89" s="454"/>
      <c r="Y89" s="454"/>
      <c r="Z89" s="454"/>
      <c r="AA89" s="454"/>
      <c r="AB89" s="454"/>
    </row>
    <row r="90" spans="1:28" ht="12.75">
      <c r="A90" s="293" t="s">
        <v>730</v>
      </c>
      <c r="B90" s="294" t="s">
        <v>41</v>
      </c>
      <c r="C90" s="312">
        <v>45902</v>
      </c>
      <c r="D90" s="295">
        <v>45904</v>
      </c>
      <c r="E90" s="310"/>
      <c r="F90" s="311"/>
      <c r="G90" s="313"/>
      <c r="H90" s="319"/>
      <c r="I90" s="301">
        <f t="shared" si="6"/>
        <v>2</v>
      </c>
      <c r="J90" s="302">
        <f t="shared" si="12"/>
        <v>0</v>
      </c>
      <c r="K90" s="470">
        <v>0</v>
      </c>
      <c r="L90" s="455"/>
      <c r="M90" s="454"/>
      <c r="N90" s="454"/>
      <c r="O90" s="454"/>
      <c r="P90" s="454"/>
      <c r="Q90" s="454"/>
      <c r="R90" s="454"/>
      <c r="S90" s="454"/>
      <c r="T90" s="454"/>
      <c r="U90" s="454"/>
      <c r="V90" s="454"/>
      <c r="W90" s="454"/>
      <c r="X90" s="454"/>
      <c r="Y90" s="454"/>
      <c r="Z90" s="454"/>
      <c r="AA90" s="454"/>
      <c r="AB90" s="454"/>
    </row>
    <row r="91" spans="1:28" ht="12.75">
      <c r="A91" s="320" t="s">
        <v>738</v>
      </c>
      <c r="B91" s="294" t="s">
        <v>41</v>
      </c>
      <c r="C91" s="312">
        <v>45903</v>
      </c>
      <c r="D91" s="295">
        <v>45904</v>
      </c>
      <c r="E91" s="310">
        <v>45904</v>
      </c>
      <c r="F91" s="311">
        <v>45905</v>
      </c>
      <c r="G91" s="313">
        <v>45905</v>
      </c>
      <c r="H91" s="319"/>
      <c r="I91" s="301">
        <f t="shared" si="6"/>
        <v>1</v>
      </c>
      <c r="J91" s="302">
        <f t="shared" si="12"/>
        <v>1</v>
      </c>
      <c r="K91" s="470">
        <v>0</v>
      </c>
      <c r="L91" s="454"/>
      <c r="M91" s="454"/>
      <c r="N91" s="454"/>
      <c r="O91" s="454"/>
      <c r="P91" s="454"/>
      <c r="Q91" s="454"/>
      <c r="R91" s="454"/>
      <c r="S91" s="454"/>
      <c r="T91" s="454"/>
      <c r="U91" s="454"/>
      <c r="V91" s="454"/>
      <c r="W91" s="454"/>
      <c r="X91" s="454"/>
      <c r="Y91" s="454"/>
      <c r="Z91" s="454"/>
      <c r="AA91" s="454"/>
      <c r="AB91" s="454"/>
    </row>
    <row r="92" spans="1:28" ht="12.75">
      <c r="A92" s="293" t="s">
        <v>744</v>
      </c>
      <c r="B92" s="294" t="s">
        <v>41</v>
      </c>
      <c r="C92" s="312">
        <v>45903</v>
      </c>
      <c r="D92" s="325">
        <v>45904</v>
      </c>
      <c r="E92" s="310">
        <v>45909</v>
      </c>
      <c r="F92" s="311">
        <v>45915</v>
      </c>
      <c r="G92" s="313">
        <v>45917</v>
      </c>
      <c r="H92" s="300">
        <v>45932</v>
      </c>
      <c r="I92" s="301">
        <f t="shared" si="6"/>
        <v>1</v>
      </c>
      <c r="J92" s="302">
        <f t="shared" si="12"/>
        <v>6</v>
      </c>
      <c r="K92" s="470">
        <f t="shared" ref="K89:K92" si="13">(H92-C92)</f>
        <v>29</v>
      </c>
      <c r="L92" s="454"/>
      <c r="M92" s="454"/>
      <c r="N92" s="454"/>
      <c r="O92" s="454"/>
      <c r="P92" s="454"/>
      <c r="Q92" s="454"/>
      <c r="R92" s="454"/>
      <c r="S92" s="454"/>
      <c r="T92" s="454"/>
      <c r="U92" s="454"/>
      <c r="V92" s="454"/>
      <c r="W92" s="454"/>
      <c r="X92" s="454"/>
      <c r="Y92" s="454"/>
      <c r="Z92" s="454"/>
      <c r="AA92" s="454"/>
      <c r="AB92" s="454"/>
    </row>
    <row r="93" spans="1:28" ht="12.75">
      <c r="A93" s="293" t="s">
        <v>750</v>
      </c>
      <c r="B93" s="294" t="s">
        <v>41</v>
      </c>
      <c r="C93" s="312">
        <v>45903</v>
      </c>
      <c r="D93" s="295">
        <v>45904</v>
      </c>
      <c r="E93" s="310">
        <v>45929</v>
      </c>
      <c r="F93" s="311">
        <v>45929</v>
      </c>
      <c r="G93" s="313">
        <v>45930</v>
      </c>
      <c r="H93" s="319" t="s">
        <v>1004</v>
      </c>
      <c r="I93" s="301">
        <f t="shared" si="6"/>
        <v>1</v>
      </c>
      <c r="J93" s="302">
        <f t="shared" si="12"/>
        <v>0</v>
      </c>
      <c r="K93" s="470">
        <v>0</v>
      </c>
      <c r="L93" s="454"/>
      <c r="M93" s="454"/>
      <c r="N93" s="454"/>
      <c r="O93" s="454"/>
      <c r="P93" s="454"/>
      <c r="Q93" s="454"/>
      <c r="R93" s="454"/>
      <c r="S93" s="454"/>
      <c r="T93" s="454"/>
      <c r="U93" s="454"/>
      <c r="V93" s="454"/>
      <c r="W93" s="454"/>
      <c r="X93" s="454"/>
      <c r="Y93" s="454"/>
      <c r="Z93" s="454"/>
      <c r="AA93" s="454"/>
      <c r="AB93" s="454"/>
    </row>
    <row r="94" spans="1:28" ht="12.75">
      <c r="A94" s="293" t="s">
        <v>757</v>
      </c>
      <c r="B94" s="294" t="s">
        <v>41</v>
      </c>
      <c r="C94" s="312">
        <v>45909</v>
      </c>
      <c r="D94" s="295">
        <v>45916</v>
      </c>
      <c r="E94" s="327">
        <v>46013</v>
      </c>
      <c r="F94" s="311">
        <v>46066</v>
      </c>
      <c r="G94" s="313">
        <v>46072</v>
      </c>
      <c r="H94" s="300">
        <v>46096</v>
      </c>
      <c r="I94" s="301">
        <f t="shared" si="6"/>
        <v>7</v>
      </c>
      <c r="J94" s="302">
        <f t="shared" si="12"/>
        <v>53</v>
      </c>
      <c r="K94" s="470">
        <f t="shared" ref="K94:K114" si="14">(H94-C94)</f>
        <v>187</v>
      </c>
      <c r="L94" s="454"/>
      <c r="M94" s="454"/>
      <c r="N94" s="454"/>
      <c r="O94" s="454"/>
      <c r="P94" s="454"/>
      <c r="Q94" s="454"/>
      <c r="R94" s="454"/>
      <c r="S94" s="454"/>
      <c r="T94" s="454"/>
      <c r="U94" s="454"/>
      <c r="V94" s="454"/>
      <c r="W94" s="454"/>
      <c r="X94" s="454"/>
      <c r="Y94" s="454"/>
      <c r="Z94" s="454"/>
      <c r="AA94" s="454"/>
      <c r="AB94" s="454"/>
    </row>
    <row r="95" spans="1:28" ht="12.75">
      <c r="A95" s="293" t="s">
        <v>764</v>
      </c>
      <c r="B95" s="294" t="s">
        <v>41</v>
      </c>
      <c r="C95" s="312">
        <v>45908</v>
      </c>
      <c r="D95" s="295">
        <v>45916</v>
      </c>
      <c r="E95" s="310">
        <v>45919</v>
      </c>
      <c r="F95" s="311">
        <v>45929</v>
      </c>
      <c r="G95" s="313">
        <v>45930</v>
      </c>
      <c r="H95" s="319"/>
      <c r="I95" s="301">
        <f t="shared" si="6"/>
        <v>8</v>
      </c>
      <c r="J95" s="302">
        <f t="shared" si="12"/>
        <v>10</v>
      </c>
      <c r="K95" s="470">
        <v>0</v>
      </c>
      <c r="L95" s="454"/>
      <c r="M95" s="454"/>
      <c r="N95" s="454"/>
      <c r="O95" s="454"/>
      <c r="P95" s="454"/>
      <c r="Q95" s="454"/>
      <c r="R95" s="454"/>
      <c r="S95" s="454"/>
      <c r="T95" s="454"/>
      <c r="U95" s="454"/>
      <c r="V95" s="454"/>
      <c r="W95" s="454"/>
      <c r="X95" s="454"/>
      <c r="Y95" s="454"/>
      <c r="Z95" s="454"/>
      <c r="AA95" s="454"/>
      <c r="AB95" s="454"/>
    </row>
    <row r="96" spans="1:28" ht="12.75">
      <c r="A96" s="320" t="s">
        <v>770</v>
      </c>
      <c r="B96" s="294" t="s">
        <v>225</v>
      </c>
      <c r="C96" s="312">
        <v>45915</v>
      </c>
      <c r="D96" s="295">
        <v>45916</v>
      </c>
      <c r="E96" s="310">
        <v>45930</v>
      </c>
      <c r="F96" s="311">
        <v>45930</v>
      </c>
      <c r="G96" s="313"/>
      <c r="H96" s="319"/>
      <c r="I96" s="301">
        <f t="shared" si="6"/>
        <v>1</v>
      </c>
      <c r="J96" s="302">
        <f t="shared" si="12"/>
        <v>0</v>
      </c>
      <c r="K96" s="470">
        <v>0</v>
      </c>
      <c r="L96" s="454"/>
      <c r="M96" s="454"/>
      <c r="N96" s="454"/>
      <c r="O96" s="454"/>
      <c r="P96" s="454"/>
      <c r="Q96" s="454"/>
      <c r="R96" s="454"/>
      <c r="S96" s="454"/>
      <c r="T96" s="454"/>
      <c r="U96" s="454"/>
      <c r="V96" s="454"/>
      <c r="W96" s="454"/>
      <c r="X96" s="454"/>
      <c r="Y96" s="454"/>
      <c r="Z96" s="454"/>
      <c r="AA96" s="454"/>
      <c r="AB96" s="454"/>
    </row>
    <row r="97" spans="1:28" ht="12.75">
      <c r="A97" s="293" t="s">
        <v>777</v>
      </c>
      <c r="B97" s="294" t="s">
        <v>779</v>
      </c>
      <c r="C97" s="312">
        <v>45915</v>
      </c>
      <c r="D97" s="295">
        <v>45916</v>
      </c>
      <c r="E97" s="310">
        <v>45968</v>
      </c>
      <c r="F97" s="311">
        <v>45968</v>
      </c>
      <c r="G97" s="323">
        <v>45971</v>
      </c>
      <c r="H97" s="319"/>
      <c r="I97" s="301">
        <f t="shared" si="6"/>
        <v>1</v>
      </c>
      <c r="J97" s="302">
        <f t="shared" si="12"/>
        <v>0</v>
      </c>
      <c r="K97" s="470">
        <v>0</v>
      </c>
      <c r="L97" s="454"/>
      <c r="M97" s="454"/>
      <c r="N97" s="454"/>
      <c r="O97" s="454"/>
      <c r="P97" s="454"/>
      <c r="Q97" s="454"/>
      <c r="R97" s="454"/>
      <c r="S97" s="454"/>
      <c r="T97" s="454"/>
      <c r="U97" s="454"/>
      <c r="V97" s="454"/>
      <c r="W97" s="454"/>
      <c r="X97" s="454"/>
      <c r="Y97" s="454"/>
      <c r="Z97" s="454"/>
      <c r="AA97" s="454"/>
      <c r="AB97" s="454"/>
    </row>
    <row r="98" spans="1:28" ht="12.75">
      <c r="A98" s="293" t="s">
        <v>785</v>
      </c>
      <c r="B98" s="294" t="s">
        <v>41</v>
      </c>
      <c r="C98" s="312">
        <v>45918</v>
      </c>
      <c r="D98" s="295">
        <v>45926</v>
      </c>
      <c r="E98" s="327">
        <v>45989</v>
      </c>
      <c r="F98" s="311">
        <v>45995</v>
      </c>
      <c r="G98" s="313">
        <v>45996</v>
      </c>
      <c r="H98" s="319"/>
      <c r="I98" s="301">
        <f t="shared" si="6"/>
        <v>8</v>
      </c>
      <c r="J98" s="302">
        <f t="shared" si="12"/>
        <v>6</v>
      </c>
      <c r="K98" s="470">
        <v>0</v>
      </c>
      <c r="L98" s="454"/>
      <c r="M98" s="454"/>
      <c r="N98" s="454"/>
      <c r="O98" s="454"/>
      <c r="P98" s="454"/>
      <c r="Q98" s="454"/>
      <c r="R98" s="454"/>
      <c r="S98" s="454"/>
      <c r="T98" s="454"/>
      <c r="U98" s="454"/>
      <c r="V98" s="454"/>
      <c r="W98" s="454"/>
      <c r="X98" s="454"/>
      <c r="Y98" s="454"/>
      <c r="Z98" s="454"/>
      <c r="AA98" s="454"/>
      <c r="AB98" s="454"/>
    </row>
    <row r="99" spans="1:28" ht="12.75">
      <c r="A99" s="293" t="s">
        <v>794</v>
      </c>
      <c r="B99" s="294" t="s">
        <v>41</v>
      </c>
      <c r="C99" s="312">
        <v>45918</v>
      </c>
      <c r="D99" s="295">
        <v>45922</v>
      </c>
      <c r="E99" s="327">
        <v>45958</v>
      </c>
      <c r="F99" s="322">
        <v>45958</v>
      </c>
      <c r="G99" s="323">
        <v>45958</v>
      </c>
      <c r="H99" s="300">
        <v>46038</v>
      </c>
      <c r="I99" s="301">
        <f t="shared" si="6"/>
        <v>4</v>
      </c>
      <c r="J99" s="302">
        <f t="shared" si="12"/>
        <v>0</v>
      </c>
      <c r="K99" s="470">
        <f t="shared" si="14"/>
        <v>120</v>
      </c>
      <c r="L99" s="454"/>
      <c r="M99" s="454"/>
      <c r="N99" s="454"/>
      <c r="O99" s="454"/>
      <c r="P99" s="454"/>
      <c r="Q99" s="454"/>
      <c r="R99" s="454"/>
      <c r="S99" s="454"/>
      <c r="T99" s="454"/>
      <c r="U99" s="454"/>
      <c r="V99" s="454"/>
      <c r="W99" s="454"/>
      <c r="X99" s="454"/>
      <c r="Y99" s="454"/>
      <c r="Z99" s="454"/>
      <c r="AA99" s="454"/>
      <c r="AB99" s="454"/>
    </row>
    <row r="100" spans="1:28" ht="12.75">
      <c r="A100" s="293" t="s">
        <v>802</v>
      </c>
      <c r="B100" s="294" t="s">
        <v>41</v>
      </c>
      <c r="C100" s="312">
        <v>45918</v>
      </c>
      <c r="D100" s="295">
        <v>45922</v>
      </c>
      <c r="E100" s="310">
        <v>45925</v>
      </c>
      <c r="F100" s="311">
        <v>45929</v>
      </c>
      <c r="G100" s="313">
        <v>45930</v>
      </c>
      <c r="H100" s="324">
        <v>45988</v>
      </c>
      <c r="I100" s="301">
        <f t="shared" si="6"/>
        <v>4</v>
      </c>
      <c r="J100" s="302">
        <f t="shared" si="12"/>
        <v>4</v>
      </c>
      <c r="K100" s="470">
        <f t="shared" si="14"/>
        <v>70</v>
      </c>
      <c r="L100" s="454"/>
      <c r="M100" s="454"/>
      <c r="N100" s="454"/>
      <c r="O100" s="454"/>
      <c r="P100" s="454"/>
      <c r="Q100" s="454"/>
      <c r="R100" s="454"/>
      <c r="S100" s="454"/>
      <c r="T100" s="454"/>
      <c r="U100" s="454"/>
      <c r="V100" s="454"/>
      <c r="W100" s="454"/>
      <c r="X100" s="454"/>
      <c r="Y100" s="454"/>
      <c r="Z100" s="454"/>
      <c r="AA100" s="454"/>
      <c r="AB100" s="454"/>
    </row>
    <row r="101" spans="1:28" ht="12.75">
      <c r="A101" s="293" t="s">
        <v>809</v>
      </c>
      <c r="B101" s="294" t="s">
        <v>41</v>
      </c>
      <c r="C101" s="312">
        <v>45918</v>
      </c>
      <c r="D101" s="295">
        <v>45922</v>
      </c>
      <c r="E101" s="327">
        <v>45958</v>
      </c>
      <c r="F101" s="322">
        <v>45960</v>
      </c>
      <c r="G101" s="323">
        <v>45961</v>
      </c>
      <c r="H101" s="329"/>
      <c r="I101" s="301">
        <f t="shared" si="6"/>
        <v>4</v>
      </c>
      <c r="J101" s="302">
        <f t="shared" si="12"/>
        <v>2</v>
      </c>
      <c r="K101" s="470">
        <v>0</v>
      </c>
      <c r="L101" s="454"/>
      <c r="M101" s="454"/>
      <c r="N101" s="454"/>
      <c r="O101" s="454"/>
      <c r="P101" s="454"/>
      <c r="Q101" s="454"/>
      <c r="R101" s="454"/>
      <c r="S101" s="454"/>
      <c r="T101" s="454"/>
      <c r="U101" s="454"/>
      <c r="V101" s="454"/>
      <c r="W101" s="454"/>
      <c r="X101" s="454"/>
      <c r="Y101" s="454"/>
      <c r="Z101" s="454"/>
      <c r="AA101" s="454"/>
      <c r="AB101" s="454"/>
    </row>
    <row r="102" spans="1:28" ht="12.75">
      <c r="A102" s="293" t="s">
        <v>816</v>
      </c>
      <c r="B102" s="294" t="s">
        <v>79</v>
      </c>
      <c r="C102" s="312">
        <v>45919</v>
      </c>
      <c r="D102" s="295">
        <v>45924</v>
      </c>
      <c r="E102" s="310"/>
      <c r="F102" s="311"/>
      <c r="G102" s="313"/>
      <c r="H102" s="319"/>
      <c r="I102" s="301">
        <f t="shared" si="6"/>
        <v>5</v>
      </c>
      <c r="J102" s="302">
        <f t="shared" si="12"/>
        <v>0</v>
      </c>
      <c r="K102" s="470">
        <v>0</v>
      </c>
      <c r="L102" s="454"/>
      <c r="M102" s="454"/>
      <c r="N102" s="454"/>
      <c r="O102" s="454"/>
      <c r="P102" s="454"/>
      <c r="Q102" s="454"/>
      <c r="R102" s="454"/>
      <c r="S102" s="454"/>
      <c r="T102" s="454"/>
      <c r="U102" s="454"/>
      <c r="V102" s="454"/>
      <c r="W102" s="454"/>
      <c r="X102" s="454"/>
      <c r="Y102" s="454"/>
      <c r="Z102" s="454"/>
      <c r="AA102" s="454"/>
      <c r="AB102" s="454"/>
    </row>
    <row r="103" spans="1:28" ht="12.75">
      <c r="A103" s="293" t="s">
        <v>824</v>
      </c>
      <c r="B103" s="294" t="s">
        <v>41</v>
      </c>
      <c r="C103" s="312">
        <v>45959</v>
      </c>
      <c r="D103" s="318">
        <v>45960</v>
      </c>
      <c r="E103" s="310">
        <v>45968</v>
      </c>
      <c r="F103" s="322">
        <v>45978</v>
      </c>
      <c r="G103" s="323">
        <v>45980</v>
      </c>
      <c r="H103" s="324">
        <v>46008</v>
      </c>
      <c r="I103" s="301">
        <f t="shared" si="6"/>
        <v>1</v>
      </c>
      <c r="J103" s="302">
        <f t="shared" si="12"/>
        <v>10</v>
      </c>
      <c r="K103" s="470">
        <f t="shared" si="14"/>
        <v>49</v>
      </c>
      <c r="L103" s="454"/>
      <c r="M103" s="454"/>
      <c r="N103" s="454"/>
      <c r="O103" s="454"/>
      <c r="P103" s="454"/>
      <c r="Q103" s="454"/>
      <c r="R103" s="454"/>
      <c r="S103" s="454"/>
      <c r="T103" s="454"/>
      <c r="U103" s="454"/>
      <c r="V103" s="454"/>
      <c r="W103" s="454"/>
      <c r="X103" s="454"/>
      <c r="Y103" s="454"/>
      <c r="Z103" s="454"/>
      <c r="AA103" s="454"/>
      <c r="AB103" s="454"/>
    </row>
    <row r="104" spans="1:28" ht="12.75">
      <c r="A104" s="293" t="s">
        <v>831</v>
      </c>
      <c r="B104" s="294" t="s">
        <v>41</v>
      </c>
      <c r="C104" s="312">
        <v>45924</v>
      </c>
      <c r="D104" s="295">
        <v>45930</v>
      </c>
      <c r="E104" s="327">
        <v>45989</v>
      </c>
      <c r="F104" s="311"/>
      <c r="G104" s="313">
        <v>45996</v>
      </c>
      <c r="H104" s="324">
        <v>46008</v>
      </c>
      <c r="I104" s="301">
        <f t="shared" si="6"/>
        <v>6</v>
      </c>
      <c r="J104" s="302">
        <v>0</v>
      </c>
      <c r="K104" s="470">
        <f t="shared" si="14"/>
        <v>84</v>
      </c>
      <c r="L104" s="454"/>
      <c r="M104" s="454"/>
      <c r="N104" s="454"/>
      <c r="O104" s="454"/>
      <c r="P104" s="454"/>
      <c r="Q104" s="454"/>
      <c r="R104" s="454"/>
      <c r="S104" s="454"/>
      <c r="T104" s="454"/>
      <c r="U104" s="454"/>
      <c r="V104" s="454"/>
      <c r="W104" s="454"/>
      <c r="X104" s="454"/>
      <c r="Y104" s="454"/>
      <c r="Z104" s="454"/>
      <c r="AA104" s="454"/>
      <c r="AB104" s="454"/>
    </row>
    <row r="105" spans="1:28" ht="12.75">
      <c r="A105" s="293" t="s">
        <v>838</v>
      </c>
      <c r="B105" s="294" t="s">
        <v>41</v>
      </c>
      <c r="C105" s="312">
        <v>45931</v>
      </c>
      <c r="D105" s="295">
        <v>45936</v>
      </c>
      <c r="E105" s="310"/>
      <c r="F105" s="311"/>
      <c r="G105" s="313"/>
      <c r="H105" s="319"/>
      <c r="I105" s="301">
        <f t="shared" si="6"/>
        <v>5</v>
      </c>
      <c r="J105" s="302">
        <f t="shared" si="12"/>
        <v>0</v>
      </c>
      <c r="K105" s="470">
        <v>0</v>
      </c>
      <c r="L105" s="454"/>
      <c r="M105" s="454"/>
      <c r="N105" s="454"/>
      <c r="O105" s="454"/>
      <c r="P105" s="454"/>
      <c r="Q105" s="454"/>
      <c r="R105" s="454"/>
      <c r="S105" s="454"/>
      <c r="T105" s="454"/>
      <c r="U105" s="454"/>
      <c r="V105" s="454"/>
      <c r="W105" s="454"/>
      <c r="X105" s="454"/>
      <c r="Y105" s="454"/>
      <c r="Z105" s="454"/>
      <c r="AA105" s="454"/>
      <c r="AB105" s="454"/>
    </row>
    <row r="106" spans="1:28" ht="12.75">
      <c r="A106" s="293" t="s">
        <v>846</v>
      </c>
      <c r="B106" s="294" t="s">
        <v>41</v>
      </c>
      <c r="C106" s="312">
        <v>45931</v>
      </c>
      <c r="D106" s="295">
        <v>45936</v>
      </c>
      <c r="E106" s="327">
        <v>45958</v>
      </c>
      <c r="F106" s="322">
        <v>45960</v>
      </c>
      <c r="G106" s="323">
        <v>45961</v>
      </c>
      <c r="H106" s="319"/>
      <c r="I106" s="301">
        <f t="shared" si="6"/>
        <v>5</v>
      </c>
      <c r="J106" s="302">
        <f t="shared" si="12"/>
        <v>2</v>
      </c>
      <c r="K106" s="470">
        <v>0</v>
      </c>
      <c r="L106" s="454"/>
      <c r="M106" s="454"/>
      <c r="N106" s="454"/>
      <c r="O106" s="454"/>
      <c r="P106" s="454"/>
      <c r="Q106" s="454"/>
      <c r="R106" s="454"/>
      <c r="S106" s="454"/>
      <c r="T106" s="454"/>
      <c r="U106" s="454"/>
      <c r="V106" s="454"/>
      <c r="W106" s="454"/>
      <c r="X106" s="454"/>
      <c r="Y106" s="454"/>
      <c r="Z106" s="454"/>
      <c r="AA106" s="454"/>
      <c r="AB106" s="454"/>
    </row>
    <row r="107" spans="1:28" ht="12.75">
      <c r="A107" s="293" t="s">
        <v>854</v>
      </c>
      <c r="B107" s="294" t="s">
        <v>41</v>
      </c>
      <c r="C107" s="312">
        <v>45937</v>
      </c>
      <c r="D107" s="295">
        <v>45938</v>
      </c>
      <c r="E107" s="327">
        <v>45943</v>
      </c>
      <c r="F107" s="322">
        <v>45953</v>
      </c>
      <c r="G107" s="323">
        <v>45954</v>
      </c>
      <c r="H107" s="319"/>
      <c r="I107" s="301">
        <f t="shared" si="6"/>
        <v>1</v>
      </c>
      <c r="J107" s="302">
        <f t="shared" si="12"/>
        <v>10</v>
      </c>
      <c r="K107" s="470">
        <v>0</v>
      </c>
      <c r="L107" s="454"/>
      <c r="M107" s="454"/>
      <c r="N107" s="454"/>
      <c r="O107" s="454"/>
      <c r="P107" s="454"/>
      <c r="Q107" s="454"/>
      <c r="R107" s="454"/>
      <c r="S107" s="454"/>
      <c r="T107" s="454"/>
      <c r="U107" s="454"/>
      <c r="V107" s="454"/>
      <c r="W107" s="454"/>
      <c r="X107" s="454"/>
      <c r="Y107" s="454"/>
      <c r="Z107" s="454"/>
      <c r="AA107" s="454"/>
      <c r="AB107" s="454"/>
    </row>
    <row r="108" spans="1:28" ht="12.75">
      <c r="A108" s="293" t="s">
        <v>860</v>
      </c>
      <c r="B108" s="294" t="s">
        <v>41</v>
      </c>
      <c r="C108" s="312">
        <v>45937</v>
      </c>
      <c r="D108" s="295">
        <v>45938</v>
      </c>
      <c r="E108" s="327">
        <v>45958</v>
      </c>
      <c r="F108" s="311"/>
      <c r="G108" s="309"/>
      <c r="H108" s="329"/>
      <c r="I108" s="301">
        <f t="shared" si="6"/>
        <v>1</v>
      </c>
      <c r="J108" s="302">
        <v>0</v>
      </c>
      <c r="K108" s="470">
        <v>0</v>
      </c>
      <c r="L108" s="454"/>
      <c r="M108" s="454"/>
      <c r="N108" s="454"/>
      <c r="O108" s="454"/>
      <c r="P108" s="454"/>
      <c r="Q108" s="454"/>
      <c r="R108" s="454"/>
      <c r="S108" s="454"/>
      <c r="T108" s="454"/>
      <c r="U108" s="454"/>
      <c r="V108" s="454"/>
      <c r="W108" s="454"/>
      <c r="X108" s="454"/>
      <c r="Y108" s="454"/>
      <c r="Z108" s="454"/>
      <c r="AA108" s="454"/>
      <c r="AB108" s="454"/>
    </row>
    <row r="109" spans="1:28" ht="12.75">
      <c r="A109" s="293" t="s">
        <v>865</v>
      </c>
      <c r="B109" s="294" t="s">
        <v>41</v>
      </c>
      <c r="C109" s="312">
        <v>45938</v>
      </c>
      <c r="D109" s="318">
        <v>45961</v>
      </c>
      <c r="E109" s="310">
        <v>46055</v>
      </c>
      <c r="F109" s="311">
        <v>46059</v>
      </c>
      <c r="G109" s="313">
        <v>46059</v>
      </c>
      <c r="H109" s="319"/>
      <c r="I109" s="301">
        <f t="shared" si="6"/>
        <v>23</v>
      </c>
      <c r="J109" s="302">
        <f t="shared" si="12"/>
        <v>4</v>
      </c>
      <c r="K109" s="470">
        <v>0</v>
      </c>
      <c r="L109" s="454"/>
      <c r="M109" s="454"/>
      <c r="N109" s="454"/>
      <c r="O109" s="454"/>
      <c r="P109" s="454"/>
      <c r="Q109" s="454"/>
      <c r="R109" s="454"/>
      <c r="S109" s="454"/>
      <c r="T109" s="454"/>
      <c r="U109" s="454"/>
      <c r="V109" s="454"/>
      <c r="W109" s="454"/>
      <c r="X109" s="454"/>
      <c r="Y109" s="454"/>
      <c r="Z109" s="454"/>
      <c r="AA109" s="454"/>
      <c r="AB109" s="454"/>
    </row>
    <row r="110" spans="1:28" ht="12.75">
      <c r="A110" s="293" t="s">
        <v>1006</v>
      </c>
      <c r="B110" s="294" t="s">
        <v>79</v>
      </c>
      <c r="C110" s="330">
        <v>45940</v>
      </c>
      <c r="D110" s="295"/>
      <c r="E110" s="310"/>
      <c r="F110" s="311"/>
      <c r="G110" s="313"/>
      <c r="H110" s="319"/>
      <c r="I110" s="301">
        <v>0</v>
      </c>
      <c r="J110" s="302">
        <f t="shared" si="12"/>
        <v>0</v>
      </c>
      <c r="K110" s="470">
        <v>0</v>
      </c>
      <c r="L110" s="454"/>
      <c r="M110" s="454"/>
      <c r="N110" s="454"/>
      <c r="O110" s="454"/>
      <c r="P110" s="454"/>
      <c r="Q110" s="454"/>
      <c r="R110" s="454"/>
      <c r="S110" s="454"/>
      <c r="T110" s="454"/>
      <c r="U110" s="454"/>
      <c r="V110" s="454"/>
      <c r="W110" s="454"/>
      <c r="X110" s="454"/>
      <c r="Y110" s="454"/>
      <c r="Z110" s="454"/>
      <c r="AA110" s="454"/>
      <c r="AB110" s="454"/>
    </row>
    <row r="111" spans="1:28" ht="12.75">
      <c r="A111" s="293" t="s">
        <v>872</v>
      </c>
      <c r="B111" s="294" t="s">
        <v>41</v>
      </c>
      <c r="C111" s="330">
        <v>45945</v>
      </c>
      <c r="D111" s="318">
        <v>45947</v>
      </c>
      <c r="E111" s="327">
        <v>45958</v>
      </c>
      <c r="F111" s="322">
        <v>45960</v>
      </c>
      <c r="G111" s="323">
        <v>45961</v>
      </c>
      <c r="H111" s="319"/>
      <c r="I111" s="301">
        <f t="shared" si="6"/>
        <v>2</v>
      </c>
      <c r="J111" s="302">
        <f t="shared" si="12"/>
        <v>2</v>
      </c>
      <c r="K111" s="470">
        <v>0</v>
      </c>
      <c r="L111" s="454"/>
      <c r="M111" s="454"/>
      <c r="N111" s="454"/>
      <c r="O111" s="454"/>
      <c r="P111" s="454"/>
      <c r="Q111" s="454"/>
      <c r="R111" s="454"/>
      <c r="S111" s="454"/>
      <c r="T111" s="454"/>
      <c r="U111" s="454"/>
      <c r="V111" s="454"/>
      <c r="W111" s="454"/>
      <c r="X111" s="454"/>
      <c r="Y111" s="454"/>
      <c r="Z111" s="454"/>
      <c r="AA111" s="454"/>
      <c r="AB111" s="454"/>
    </row>
    <row r="112" spans="1:28" ht="12.75">
      <c r="A112" s="293" t="s">
        <v>880</v>
      </c>
      <c r="B112" s="294" t="s">
        <v>41</v>
      </c>
      <c r="C112" s="330">
        <v>45946</v>
      </c>
      <c r="D112" s="318">
        <v>45947</v>
      </c>
      <c r="E112" s="327">
        <v>45987</v>
      </c>
      <c r="F112" s="311"/>
      <c r="G112" s="313"/>
      <c r="H112" s="319"/>
      <c r="I112" s="301">
        <f t="shared" si="6"/>
        <v>1</v>
      </c>
      <c r="J112" s="302">
        <v>0</v>
      </c>
      <c r="K112" s="470">
        <v>0</v>
      </c>
      <c r="L112" s="454"/>
      <c r="M112" s="454"/>
      <c r="N112" s="454"/>
      <c r="O112" s="454"/>
      <c r="P112" s="454"/>
      <c r="Q112" s="454"/>
      <c r="R112" s="454"/>
      <c r="S112" s="454"/>
      <c r="T112" s="454"/>
      <c r="U112" s="454"/>
      <c r="V112" s="454"/>
      <c r="W112" s="454"/>
      <c r="X112" s="454"/>
      <c r="Y112" s="454"/>
      <c r="Z112" s="454"/>
      <c r="AA112" s="454"/>
      <c r="AB112" s="454"/>
    </row>
    <row r="113" spans="1:28" ht="12.75">
      <c r="A113" s="293" t="s">
        <v>888</v>
      </c>
      <c r="B113" s="294" t="s">
        <v>41</v>
      </c>
      <c r="C113" s="312">
        <v>45959</v>
      </c>
      <c r="D113" s="318">
        <v>45964</v>
      </c>
      <c r="E113" s="310"/>
      <c r="F113" s="311"/>
      <c r="G113" s="313"/>
      <c r="H113" s="319"/>
      <c r="I113" s="301">
        <f t="shared" si="6"/>
        <v>5</v>
      </c>
      <c r="J113" s="302">
        <f t="shared" si="12"/>
        <v>0</v>
      </c>
      <c r="K113" s="470">
        <v>0</v>
      </c>
      <c r="L113" s="454"/>
      <c r="M113" s="454"/>
      <c r="N113" s="454"/>
      <c r="O113" s="454"/>
      <c r="P113" s="454"/>
      <c r="Q113" s="454"/>
      <c r="R113" s="454"/>
      <c r="S113" s="454"/>
      <c r="T113" s="454"/>
      <c r="U113" s="454"/>
      <c r="V113" s="454"/>
      <c r="W113" s="454"/>
      <c r="X113" s="454"/>
      <c r="Y113" s="454"/>
      <c r="Z113" s="454"/>
      <c r="AA113" s="454"/>
      <c r="AB113" s="454"/>
    </row>
    <row r="114" spans="1:28" ht="12.75">
      <c r="A114" s="293" t="s">
        <v>893</v>
      </c>
      <c r="B114" s="294" t="s">
        <v>41</v>
      </c>
      <c r="C114" s="312">
        <v>45966</v>
      </c>
      <c r="D114" s="295">
        <v>45967</v>
      </c>
      <c r="E114" s="310">
        <v>45968</v>
      </c>
      <c r="F114" s="322">
        <v>45978</v>
      </c>
      <c r="G114" s="323">
        <v>45980</v>
      </c>
      <c r="H114" s="300">
        <v>45995</v>
      </c>
      <c r="I114" s="301">
        <f t="shared" si="6"/>
        <v>1</v>
      </c>
      <c r="J114" s="302">
        <f t="shared" si="12"/>
        <v>10</v>
      </c>
      <c r="K114" s="470">
        <f t="shared" si="14"/>
        <v>29</v>
      </c>
      <c r="L114" s="454"/>
      <c r="M114" s="454"/>
      <c r="N114" s="454"/>
      <c r="O114" s="454"/>
      <c r="P114" s="454"/>
      <c r="Q114" s="454"/>
      <c r="R114" s="454"/>
      <c r="S114" s="454"/>
      <c r="T114" s="454"/>
      <c r="U114" s="454"/>
      <c r="V114" s="454"/>
      <c r="W114" s="454"/>
      <c r="X114" s="454"/>
      <c r="Y114" s="454"/>
      <c r="Z114" s="454"/>
      <c r="AA114" s="454"/>
      <c r="AB114" s="454"/>
    </row>
    <row r="115" spans="1:28" ht="12.75">
      <c r="A115" s="293" t="s">
        <v>900</v>
      </c>
      <c r="B115" s="294" t="s">
        <v>41</v>
      </c>
      <c r="C115" s="330">
        <v>45971</v>
      </c>
      <c r="D115" s="318">
        <v>45973</v>
      </c>
      <c r="E115" s="327">
        <v>45977</v>
      </c>
      <c r="F115" s="322">
        <v>45986</v>
      </c>
      <c r="G115" s="323">
        <v>45987</v>
      </c>
      <c r="H115" s="319" t="s">
        <v>1004</v>
      </c>
      <c r="I115" s="301">
        <f t="shared" si="6"/>
        <v>2</v>
      </c>
      <c r="J115" s="302">
        <f t="shared" si="12"/>
        <v>9</v>
      </c>
      <c r="K115" s="470">
        <v>0</v>
      </c>
      <c r="L115" s="454"/>
      <c r="M115" s="454"/>
      <c r="N115" s="454"/>
      <c r="O115" s="454"/>
      <c r="P115" s="454"/>
      <c r="Q115" s="454"/>
      <c r="R115" s="454"/>
      <c r="S115" s="454"/>
      <c r="T115" s="454"/>
      <c r="U115" s="454"/>
      <c r="V115" s="454"/>
      <c r="W115" s="454"/>
      <c r="X115" s="454"/>
      <c r="Y115" s="454"/>
      <c r="Z115" s="454"/>
      <c r="AA115" s="454"/>
      <c r="AB115" s="454"/>
    </row>
    <row r="116" spans="1:28" ht="12.75">
      <c r="A116" s="293" t="s">
        <v>907</v>
      </c>
      <c r="B116" s="294" t="s">
        <v>41</v>
      </c>
      <c r="C116" s="330">
        <v>45973</v>
      </c>
      <c r="D116" s="318">
        <v>45974</v>
      </c>
      <c r="E116" s="327">
        <v>45988</v>
      </c>
      <c r="F116" s="322">
        <v>46020</v>
      </c>
      <c r="G116" s="313">
        <v>46027</v>
      </c>
      <c r="H116" s="319"/>
      <c r="I116" s="301">
        <f t="shared" si="6"/>
        <v>1</v>
      </c>
      <c r="J116" s="302">
        <f t="shared" si="12"/>
        <v>32</v>
      </c>
      <c r="K116" s="470">
        <v>0</v>
      </c>
      <c r="L116" s="454"/>
      <c r="M116" s="454"/>
      <c r="N116" s="454"/>
      <c r="O116" s="454"/>
      <c r="P116" s="454"/>
      <c r="Q116" s="454"/>
      <c r="R116" s="454"/>
      <c r="S116" s="454"/>
      <c r="T116" s="454"/>
      <c r="U116" s="454"/>
      <c r="V116" s="454"/>
      <c r="W116" s="454"/>
      <c r="X116" s="454"/>
      <c r="Y116" s="454"/>
      <c r="Z116" s="454"/>
      <c r="AA116" s="454"/>
      <c r="AB116" s="454"/>
    </row>
    <row r="117" spans="1:28" ht="12.75">
      <c r="A117" s="293" t="s">
        <v>915</v>
      </c>
      <c r="B117" s="294" t="s">
        <v>41</v>
      </c>
      <c r="C117" s="330">
        <v>45978</v>
      </c>
      <c r="D117" s="318">
        <v>45980</v>
      </c>
      <c r="E117" s="310">
        <v>45995</v>
      </c>
      <c r="F117" s="322">
        <v>46007</v>
      </c>
      <c r="G117" s="323">
        <v>46008</v>
      </c>
      <c r="H117" s="319"/>
      <c r="I117" s="301">
        <f t="shared" si="6"/>
        <v>2</v>
      </c>
      <c r="J117" s="302">
        <f t="shared" si="12"/>
        <v>12</v>
      </c>
      <c r="K117" s="470">
        <v>0</v>
      </c>
      <c r="L117" s="454"/>
      <c r="M117" s="454"/>
      <c r="N117" s="454"/>
      <c r="O117" s="454"/>
      <c r="P117" s="454"/>
      <c r="Q117" s="454"/>
      <c r="R117" s="454"/>
      <c r="S117" s="454"/>
      <c r="T117" s="454"/>
      <c r="U117" s="454"/>
      <c r="V117" s="454"/>
      <c r="W117" s="454"/>
      <c r="X117" s="454"/>
      <c r="Y117" s="454"/>
      <c r="Z117" s="454"/>
      <c r="AA117" s="454"/>
      <c r="AB117" s="454"/>
    </row>
    <row r="118" spans="1:28" ht="12.75">
      <c r="A118" s="293" t="s">
        <v>925</v>
      </c>
      <c r="B118" s="294" t="s">
        <v>41</v>
      </c>
      <c r="C118" s="330">
        <v>45985</v>
      </c>
      <c r="D118" s="295"/>
      <c r="E118" s="310"/>
      <c r="F118" s="311"/>
      <c r="G118" s="313"/>
      <c r="H118" s="319"/>
      <c r="I118" s="301">
        <v>0</v>
      </c>
      <c r="J118" s="302">
        <f t="shared" si="12"/>
        <v>0</v>
      </c>
      <c r="K118" s="470">
        <v>0</v>
      </c>
      <c r="L118" s="454"/>
      <c r="M118" s="454"/>
      <c r="N118" s="454"/>
      <c r="O118" s="454"/>
      <c r="P118" s="454"/>
      <c r="Q118" s="454"/>
      <c r="R118" s="454"/>
      <c r="S118" s="454"/>
      <c r="T118" s="454"/>
      <c r="U118" s="454"/>
      <c r="V118" s="454"/>
      <c r="W118" s="454"/>
      <c r="X118" s="454"/>
      <c r="Y118" s="454"/>
      <c r="Z118" s="454"/>
      <c r="AA118" s="454"/>
      <c r="AB118" s="454"/>
    </row>
    <row r="119" spans="1:28" ht="12.75">
      <c r="A119" s="293" t="s">
        <v>933</v>
      </c>
      <c r="B119" s="294" t="s">
        <v>41</v>
      </c>
      <c r="C119" s="330">
        <v>45985</v>
      </c>
      <c r="D119" s="318">
        <v>45987</v>
      </c>
      <c r="E119" s="310">
        <v>45992</v>
      </c>
      <c r="F119" s="311">
        <v>45995</v>
      </c>
      <c r="G119" s="323">
        <v>45996</v>
      </c>
      <c r="H119" s="324">
        <v>46008</v>
      </c>
      <c r="I119" s="301">
        <f t="shared" si="6"/>
        <v>2</v>
      </c>
      <c r="J119" s="302">
        <f t="shared" si="12"/>
        <v>3</v>
      </c>
      <c r="K119" s="470">
        <f t="shared" ref="K116:K127" si="15">(H119-C119)</f>
        <v>23</v>
      </c>
      <c r="L119" s="454"/>
      <c r="M119" s="454"/>
      <c r="N119" s="454"/>
      <c r="O119" s="454"/>
      <c r="P119" s="454"/>
      <c r="Q119" s="454"/>
      <c r="R119" s="454"/>
      <c r="S119" s="454"/>
      <c r="T119" s="454"/>
      <c r="U119" s="454"/>
      <c r="V119" s="454"/>
      <c r="W119" s="454"/>
      <c r="X119" s="454"/>
      <c r="Y119" s="454"/>
      <c r="Z119" s="454"/>
      <c r="AA119" s="454"/>
      <c r="AB119" s="454"/>
    </row>
    <row r="120" spans="1:28" ht="12.75">
      <c r="A120" s="293" t="s">
        <v>940</v>
      </c>
      <c r="B120" s="294" t="s">
        <v>41</v>
      </c>
      <c r="C120" s="330">
        <v>45988</v>
      </c>
      <c r="D120" s="318">
        <v>46006</v>
      </c>
      <c r="E120" s="327">
        <v>46008</v>
      </c>
      <c r="F120" s="311">
        <v>46030</v>
      </c>
      <c r="G120" s="313">
        <v>46030</v>
      </c>
      <c r="H120" s="329"/>
      <c r="I120" s="301">
        <f t="shared" si="6"/>
        <v>18</v>
      </c>
      <c r="J120" s="302">
        <f t="shared" si="12"/>
        <v>22</v>
      </c>
      <c r="K120" s="470">
        <v>0</v>
      </c>
      <c r="L120" s="454"/>
      <c r="M120" s="454"/>
      <c r="N120" s="454"/>
      <c r="O120" s="454"/>
      <c r="P120" s="454"/>
      <c r="Q120" s="454"/>
      <c r="R120" s="454"/>
      <c r="S120" s="454"/>
      <c r="T120" s="454"/>
      <c r="U120" s="454"/>
      <c r="V120" s="454"/>
      <c r="W120" s="454"/>
      <c r="X120" s="454"/>
      <c r="Y120" s="454"/>
      <c r="Z120" s="454"/>
      <c r="AA120" s="454"/>
      <c r="AB120" s="454"/>
    </row>
    <row r="121" spans="1:28" ht="12.75">
      <c r="A121" s="293" t="s">
        <v>944</v>
      </c>
      <c r="B121" s="294" t="s">
        <v>41</v>
      </c>
      <c r="C121" s="330">
        <v>45992</v>
      </c>
      <c r="D121" s="318">
        <v>46006</v>
      </c>
      <c r="E121" s="310"/>
      <c r="F121" s="311">
        <v>46028</v>
      </c>
      <c r="G121" s="313">
        <v>46029</v>
      </c>
      <c r="H121" s="300">
        <v>46051</v>
      </c>
      <c r="I121" s="301">
        <f t="shared" si="6"/>
        <v>14</v>
      </c>
      <c r="J121" s="302">
        <v>0</v>
      </c>
      <c r="K121" s="470">
        <f t="shared" si="15"/>
        <v>59</v>
      </c>
      <c r="L121" s="454"/>
      <c r="M121" s="454"/>
      <c r="N121" s="454"/>
      <c r="O121" s="454"/>
      <c r="P121" s="454"/>
      <c r="Q121" s="454"/>
      <c r="R121" s="454"/>
      <c r="S121" s="454"/>
      <c r="T121" s="454"/>
      <c r="U121" s="454"/>
      <c r="V121" s="454"/>
      <c r="W121" s="454"/>
      <c r="X121" s="454"/>
      <c r="Y121" s="454"/>
      <c r="Z121" s="454"/>
      <c r="AA121" s="454"/>
      <c r="AB121" s="454"/>
    </row>
    <row r="122" spans="1:28" ht="12.75">
      <c r="A122" s="293" t="s">
        <v>951</v>
      </c>
      <c r="B122" s="294" t="s">
        <v>79</v>
      </c>
      <c r="C122" s="330">
        <v>46001</v>
      </c>
      <c r="D122" s="318">
        <v>46009</v>
      </c>
      <c r="E122" s="310"/>
      <c r="F122" s="311"/>
      <c r="G122" s="313"/>
      <c r="H122" s="319"/>
      <c r="I122" s="301">
        <f t="shared" si="6"/>
        <v>8</v>
      </c>
      <c r="J122" s="302">
        <f t="shared" si="12"/>
        <v>0</v>
      </c>
      <c r="K122" s="470">
        <v>0</v>
      </c>
      <c r="L122" s="454"/>
      <c r="M122" s="454"/>
      <c r="N122" s="454"/>
      <c r="O122" s="454"/>
      <c r="P122" s="454"/>
      <c r="Q122" s="454"/>
      <c r="R122" s="454"/>
      <c r="S122" s="454"/>
      <c r="T122" s="454"/>
      <c r="U122" s="454"/>
      <c r="V122" s="454"/>
      <c r="W122" s="454"/>
      <c r="X122" s="454"/>
      <c r="Y122" s="454"/>
      <c r="Z122" s="454"/>
      <c r="AA122" s="454"/>
      <c r="AB122" s="454"/>
    </row>
    <row r="123" spans="1:28" ht="24">
      <c r="A123" s="293" t="s">
        <v>959</v>
      </c>
      <c r="B123" s="294" t="s">
        <v>41</v>
      </c>
      <c r="C123" s="330">
        <v>46013</v>
      </c>
      <c r="D123" s="295">
        <v>46034</v>
      </c>
      <c r="E123" s="310">
        <v>46036</v>
      </c>
      <c r="F123" s="311">
        <v>46044</v>
      </c>
      <c r="G123" s="313">
        <v>46044</v>
      </c>
      <c r="H123" s="319"/>
      <c r="I123" s="301">
        <f t="shared" si="6"/>
        <v>21</v>
      </c>
      <c r="J123" s="302">
        <f t="shared" si="12"/>
        <v>8</v>
      </c>
      <c r="K123" s="470">
        <v>0</v>
      </c>
      <c r="L123" s="454"/>
      <c r="M123" s="454"/>
      <c r="N123" s="454"/>
      <c r="O123" s="454"/>
      <c r="P123" s="454"/>
      <c r="Q123" s="454"/>
      <c r="R123" s="454"/>
      <c r="S123" s="454"/>
      <c r="T123" s="454"/>
      <c r="U123" s="454"/>
      <c r="V123" s="454"/>
      <c r="W123" s="454"/>
      <c r="X123" s="454"/>
      <c r="Y123" s="454"/>
      <c r="Z123" s="454"/>
      <c r="AA123" s="454"/>
      <c r="AB123" s="454"/>
    </row>
    <row r="124" spans="1:28" ht="12.75">
      <c r="A124" s="293" t="s">
        <v>967</v>
      </c>
      <c r="B124" s="294" t="s">
        <v>41</v>
      </c>
      <c r="C124" s="330">
        <v>46020</v>
      </c>
      <c r="D124" s="295"/>
      <c r="E124" s="310"/>
      <c r="F124" s="311"/>
      <c r="G124" s="313"/>
      <c r="H124" s="319"/>
      <c r="I124" s="301">
        <v>0</v>
      </c>
      <c r="J124" s="302">
        <f t="shared" si="12"/>
        <v>0</v>
      </c>
      <c r="K124" s="470">
        <v>0</v>
      </c>
      <c r="L124" s="454"/>
      <c r="M124" s="454"/>
      <c r="N124" s="454"/>
      <c r="O124" s="454"/>
      <c r="P124" s="454"/>
      <c r="Q124" s="454"/>
      <c r="R124" s="454"/>
      <c r="S124" s="454"/>
      <c r="T124" s="454"/>
      <c r="U124" s="454"/>
      <c r="V124" s="454"/>
      <c r="W124" s="454"/>
      <c r="X124" s="454"/>
      <c r="Y124" s="454"/>
      <c r="Z124" s="454"/>
      <c r="AA124" s="454"/>
      <c r="AB124" s="454"/>
    </row>
    <row r="125" spans="1:28" ht="12.75">
      <c r="A125" s="293" t="s">
        <v>974</v>
      </c>
      <c r="B125" s="294" t="s">
        <v>41</v>
      </c>
      <c r="C125" s="330">
        <v>46020</v>
      </c>
      <c r="D125" s="295"/>
      <c r="E125" s="310"/>
      <c r="F125" s="311"/>
      <c r="G125" s="313"/>
      <c r="H125" s="319"/>
      <c r="I125" s="301">
        <v>0</v>
      </c>
      <c r="J125" s="302">
        <f t="shared" si="12"/>
        <v>0</v>
      </c>
      <c r="K125" s="470">
        <v>0</v>
      </c>
      <c r="L125" s="454"/>
      <c r="M125" s="454"/>
      <c r="N125" s="454"/>
      <c r="O125" s="454"/>
      <c r="P125" s="454"/>
      <c r="Q125" s="454"/>
      <c r="R125" s="454"/>
      <c r="S125" s="454"/>
      <c r="T125" s="454"/>
      <c r="U125" s="454"/>
      <c r="V125" s="454"/>
      <c r="W125" s="454"/>
      <c r="X125" s="454"/>
      <c r="Y125" s="454"/>
      <c r="Z125" s="454"/>
      <c r="AA125" s="454"/>
      <c r="AB125" s="454"/>
    </row>
    <row r="126" spans="1:28" ht="12.75">
      <c r="A126" s="293" t="s">
        <v>980</v>
      </c>
      <c r="B126" s="294" t="s">
        <v>41</v>
      </c>
      <c r="C126" s="330">
        <v>46021</v>
      </c>
      <c r="D126" s="295"/>
      <c r="E126" s="310"/>
      <c r="F126" s="311"/>
      <c r="G126" s="313"/>
      <c r="H126" s="319"/>
      <c r="I126" s="301">
        <v>0</v>
      </c>
      <c r="J126" s="302">
        <f t="shared" si="12"/>
        <v>0</v>
      </c>
      <c r="K126" s="470">
        <v>0</v>
      </c>
      <c r="L126" s="454"/>
      <c r="M126" s="454"/>
      <c r="N126" s="454"/>
      <c r="O126" s="454"/>
      <c r="P126" s="454"/>
      <c r="Q126" s="454"/>
      <c r="R126" s="454"/>
      <c r="S126" s="454"/>
      <c r="T126" s="454"/>
      <c r="U126" s="454"/>
      <c r="V126" s="454"/>
      <c r="W126" s="454"/>
      <c r="X126" s="454"/>
      <c r="Y126" s="454"/>
      <c r="Z126" s="454"/>
      <c r="AA126" s="454"/>
      <c r="AB126" s="454"/>
    </row>
    <row r="127" spans="1:28" ht="12.75">
      <c r="A127" s="293" t="s">
        <v>986</v>
      </c>
      <c r="B127" s="294" t="s">
        <v>41</v>
      </c>
      <c r="C127" s="330">
        <v>46021</v>
      </c>
      <c r="D127" s="295"/>
      <c r="E127" s="310"/>
      <c r="F127" s="311"/>
      <c r="G127" s="313"/>
      <c r="H127" s="319"/>
      <c r="I127" s="301">
        <v>0</v>
      </c>
      <c r="J127" s="302">
        <f t="shared" si="12"/>
        <v>0</v>
      </c>
      <c r="K127" s="470">
        <v>0</v>
      </c>
      <c r="L127" s="454"/>
      <c r="M127" s="454"/>
      <c r="N127" s="454"/>
      <c r="O127" s="454"/>
      <c r="P127" s="454"/>
      <c r="Q127" s="454"/>
      <c r="R127" s="454"/>
      <c r="S127" s="454"/>
      <c r="T127" s="454"/>
      <c r="U127" s="454"/>
      <c r="V127" s="454"/>
      <c r="W127" s="454"/>
      <c r="X127" s="454"/>
      <c r="Y127" s="454"/>
      <c r="Z127" s="454"/>
      <c r="AA127" s="454"/>
      <c r="AB127" s="454"/>
    </row>
    <row r="128" spans="1:28">
      <c r="A128" s="331"/>
      <c r="B128" s="332"/>
      <c r="C128" s="454"/>
      <c r="D128" s="110"/>
      <c r="E128" s="333"/>
      <c r="F128" s="334"/>
      <c r="G128" s="334"/>
      <c r="H128" s="454"/>
      <c r="I128" s="456"/>
      <c r="J128" s="456"/>
      <c r="K128" s="456"/>
      <c r="L128" s="454"/>
      <c r="M128" s="454"/>
      <c r="N128" s="454"/>
      <c r="O128" s="454"/>
      <c r="P128" s="454"/>
      <c r="Q128" s="454"/>
      <c r="R128" s="454"/>
      <c r="S128" s="454"/>
      <c r="T128" s="454"/>
      <c r="U128" s="454"/>
      <c r="V128" s="454"/>
      <c r="W128" s="454"/>
      <c r="X128" s="454"/>
      <c r="Y128" s="454"/>
      <c r="Z128" s="454"/>
      <c r="AA128" s="454"/>
      <c r="AB128" s="454"/>
    </row>
    <row r="129" spans="1:28">
      <c r="A129" s="331"/>
      <c r="B129" s="332"/>
      <c r="C129" s="454"/>
      <c r="D129" s="334"/>
      <c r="E129" s="333"/>
      <c r="F129" s="334"/>
      <c r="G129" s="334"/>
      <c r="H129" s="454"/>
      <c r="I129" s="455"/>
      <c r="J129" s="456"/>
      <c r="K129" s="456"/>
      <c r="L129" s="454"/>
      <c r="M129" s="454"/>
      <c r="N129" s="454"/>
      <c r="O129" s="454"/>
      <c r="P129" s="454"/>
      <c r="Q129" s="454"/>
      <c r="R129" s="454"/>
      <c r="S129" s="454"/>
      <c r="T129" s="454"/>
      <c r="U129" s="454"/>
      <c r="V129" s="454"/>
      <c r="W129" s="454"/>
      <c r="X129" s="454"/>
      <c r="Y129" s="454"/>
      <c r="Z129" s="454"/>
      <c r="AA129" s="454"/>
      <c r="AB129" s="454"/>
    </row>
    <row r="130" spans="1:28">
      <c r="A130" s="331"/>
      <c r="B130" s="332"/>
      <c r="C130" s="454"/>
      <c r="D130" s="335"/>
      <c r="E130" s="333"/>
      <c r="F130" s="335"/>
      <c r="G130" s="335"/>
      <c r="H130" s="454"/>
      <c r="I130" s="455"/>
      <c r="J130" s="456"/>
      <c r="K130" s="456"/>
      <c r="L130" s="454"/>
      <c r="M130" s="454"/>
      <c r="N130" s="454"/>
      <c r="O130" s="454"/>
      <c r="P130" s="454"/>
      <c r="Q130" s="454"/>
      <c r="R130" s="454"/>
      <c r="S130" s="454"/>
      <c r="T130" s="454"/>
      <c r="U130" s="454"/>
      <c r="V130" s="454"/>
      <c r="W130" s="454"/>
      <c r="X130" s="454"/>
      <c r="Y130" s="454"/>
      <c r="Z130" s="454"/>
      <c r="AA130" s="454"/>
      <c r="AB130" s="454"/>
    </row>
    <row r="131" spans="1:28">
      <c r="A131" s="331"/>
      <c r="B131" s="332"/>
      <c r="C131" s="454"/>
      <c r="D131" s="334"/>
      <c r="E131" s="333"/>
      <c r="F131" s="334"/>
      <c r="G131" s="334"/>
      <c r="H131" s="454"/>
      <c r="I131" s="455"/>
      <c r="J131" s="456"/>
      <c r="K131" s="456"/>
      <c r="L131" s="454"/>
      <c r="M131" s="454"/>
      <c r="N131" s="454"/>
      <c r="O131" s="454"/>
      <c r="P131" s="454"/>
      <c r="Q131" s="454"/>
      <c r="R131" s="454"/>
      <c r="S131" s="454"/>
      <c r="T131" s="454"/>
      <c r="U131" s="454"/>
      <c r="V131" s="454"/>
      <c r="W131" s="454"/>
      <c r="X131" s="454"/>
      <c r="Y131" s="454"/>
      <c r="Z131" s="454"/>
      <c r="AA131" s="454"/>
      <c r="AB131" s="454"/>
    </row>
    <row r="132" spans="1:28">
      <c r="A132" s="331"/>
      <c r="B132" s="332"/>
      <c r="C132" s="454"/>
      <c r="D132" s="334"/>
      <c r="E132" s="333"/>
      <c r="F132" s="334"/>
      <c r="G132" s="334"/>
      <c r="H132" s="454"/>
      <c r="I132" s="455"/>
      <c r="J132" s="456"/>
      <c r="K132" s="456"/>
      <c r="L132" s="454"/>
      <c r="M132" s="454"/>
      <c r="N132" s="454"/>
      <c r="O132" s="454"/>
      <c r="P132" s="454"/>
      <c r="Q132" s="454"/>
      <c r="R132" s="454"/>
      <c r="S132" s="454"/>
      <c r="T132" s="454"/>
      <c r="U132" s="454"/>
      <c r="V132" s="454"/>
      <c r="W132" s="454"/>
      <c r="X132" s="454"/>
      <c r="Y132" s="454"/>
      <c r="Z132" s="454"/>
      <c r="AA132" s="454"/>
      <c r="AB132" s="454"/>
    </row>
    <row r="133" spans="1:28">
      <c r="A133" s="331"/>
      <c r="B133" s="332"/>
      <c r="C133" s="454"/>
      <c r="D133" s="334"/>
      <c r="E133" s="333"/>
      <c r="F133" s="334"/>
      <c r="G133" s="334"/>
      <c r="H133" s="454"/>
      <c r="I133" s="455"/>
      <c r="J133" s="456"/>
      <c r="K133" s="456"/>
      <c r="L133" s="454"/>
      <c r="M133" s="454"/>
      <c r="N133" s="454"/>
      <c r="O133" s="454"/>
      <c r="P133" s="454"/>
      <c r="Q133" s="454"/>
      <c r="R133" s="454"/>
      <c r="S133" s="454"/>
      <c r="T133" s="454"/>
      <c r="U133" s="454"/>
      <c r="V133" s="454"/>
      <c r="W133" s="454"/>
      <c r="X133" s="454"/>
      <c r="Y133" s="454"/>
      <c r="Z133" s="454"/>
      <c r="AA133" s="454"/>
      <c r="AB133" s="454"/>
    </row>
    <row r="134" spans="1:28">
      <c r="A134" s="331"/>
      <c r="B134" s="332"/>
      <c r="C134" s="454"/>
      <c r="D134" s="334"/>
      <c r="E134" s="333"/>
      <c r="F134" s="334"/>
      <c r="G134" s="334"/>
      <c r="H134" s="454"/>
      <c r="I134" s="455"/>
      <c r="J134" s="456"/>
      <c r="K134" s="456"/>
      <c r="L134" s="454"/>
      <c r="M134" s="454"/>
      <c r="N134" s="454"/>
      <c r="O134" s="454"/>
      <c r="P134" s="454"/>
      <c r="Q134" s="454"/>
      <c r="R134" s="454"/>
      <c r="S134" s="454"/>
      <c r="T134" s="454"/>
      <c r="U134" s="454"/>
      <c r="V134" s="454"/>
      <c r="W134" s="454"/>
      <c r="X134" s="454"/>
      <c r="Y134" s="454"/>
      <c r="Z134" s="454"/>
      <c r="AA134" s="454"/>
      <c r="AB134" s="454"/>
    </row>
    <row r="135" spans="1:28">
      <c r="A135" s="331"/>
      <c r="B135" s="332"/>
      <c r="C135" s="454"/>
      <c r="D135" s="334"/>
      <c r="E135" s="333"/>
      <c r="F135" s="334"/>
      <c r="G135" s="334"/>
      <c r="H135" s="454"/>
      <c r="I135" s="455"/>
      <c r="J135" s="456"/>
      <c r="K135" s="456"/>
      <c r="L135" s="454"/>
      <c r="M135" s="454"/>
      <c r="N135" s="454"/>
      <c r="O135" s="454"/>
      <c r="P135" s="454"/>
      <c r="Q135" s="454"/>
      <c r="R135" s="454"/>
      <c r="S135" s="454"/>
      <c r="T135" s="454"/>
      <c r="U135" s="454"/>
      <c r="V135" s="454"/>
      <c r="W135" s="454"/>
      <c r="X135" s="454"/>
      <c r="Y135" s="454"/>
      <c r="Z135" s="454"/>
      <c r="AA135" s="454"/>
      <c r="AB135" s="454"/>
    </row>
    <row r="136" spans="1:28">
      <c r="A136" s="331"/>
      <c r="B136" s="332"/>
      <c r="C136" s="454"/>
      <c r="D136" s="334"/>
      <c r="E136" s="333"/>
      <c r="F136" s="334"/>
      <c r="G136" s="334"/>
      <c r="H136" s="454"/>
      <c r="I136" s="455"/>
      <c r="J136" s="456"/>
      <c r="K136" s="456"/>
      <c r="L136" s="454"/>
      <c r="M136" s="454"/>
      <c r="N136" s="454"/>
      <c r="O136" s="454"/>
      <c r="P136" s="454"/>
      <c r="Q136" s="454"/>
      <c r="R136" s="454"/>
      <c r="S136" s="454"/>
      <c r="T136" s="454"/>
      <c r="U136" s="454"/>
      <c r="V136" s="454"/>
      <c r="W136" s="454"/>
      <c r="X136" s="454"/>
      <c r="Y136" s="454"/>
      <c r="Z136" s="454"/>
      <c r="AA136" s="454"/>
      <c r="AB136" s="454"/>
    </row>
    <row r="137" spans="1:28">
      <c r="A137" s="331"/>
      <c r="B137" s="332"/>
      <c r="C137" s="454"/>
      <c r="D137" s="334"/>
      <c r="E137" s="333"/>
      <c r="F137" s="334"/>
      <c r="G137" s="334"/>
      <c r="H137" s="454"/>
      <c r="I137" s="455"/>
      <c r="J137" s="456"/>
      <c r="K137" s="456"/>
      <c r="L137" s="454"/>
      <c r="M137" s="454"/>
      <c r="N137" s="454"/>
      <c r="O137" s="454"/>
      <c r="P137" s="454"/>
      <c r="Q137" s="454"/>
      <c r="R137" s="454"/>
      <c r="S137" s="454"/>
      <c r="T137" s="454"/>
      <c r="U137" s="454"/>
      <c r="V137" s="454"/>
      <c r="W137" s="454"/>
      <c r="X137" s="454"/>
      <c r="Y137" s="454"/>
      <c r="Z137" s="454"/>
      <c r="AA137" s="454"/>
      <c r="AB137" s="454"/>
    </row>
    <row r="138" spans="1:28">
      <c r="A138" s="331"/>
      <c r="B138" s="332"/>
      <c r="C138" s="454"/>
      <c r="D138" s="334"/>
      <c r="E138" s="333"/>
      <c r="F138" s="334"/>
      <c r="G138" s="334"/>
      <c r="H138" s="454"/>
      <c r="I138" s="455"/>
      <c r="J138" s="456"/>
      <c r="K138" s="456"/>
      <c r="L138" s="454"/>
      <c r="M138" s="454"/>
      <c r="N138" s="454"/>
      <c r="O138" s="454"/>
      <c r="P138" s="454"/>
      <c r="Q138" s="454"/>
      <c r="R138" s="454"/>
      <c r="S138" s="454"/>
      <c r="T138" s="454"/>
      <c r="U138" s="454"/>
      <c r="V138" s="454"/>
      <c r="W138" s="454"/>
      <c r="X138" s="454"/>
      <c r="Y138" s="454"/>
      <c r="Z138" s="454"/>
      <c r="AA138" s="454"/>
      <c r="AB138" s="454"/>
    </row>
    <row r="139" spans="1:28">
      <c r="A139" s="331"/>
      <c r="B139" s="332"/>
      <c r="C139" s="454"/>
      <c r="D139" s="334"/>
      <c r="E139" s="333"/>
      <c r="F139" s="334"/>
      <c r="G139" s="334"/>
      <c r="H139" s="454"/>
      <c r="I139" s="455"/>
      <c r="J139" s="456"/>
      <c r="K139" s="456"/>
      <c r="L139" s="454"/>
      <c r="M139" s="454"/>
      <c r="N139" s="454"/>
      <c r="O139" s="454"/>
      <c r="P139" s="454"/>
      <c r="Q139" s="454"/>
      <c r="R139" s="454"/>
      <c r="S139" s="454"/>
      <c r="T139" s="454"/>
      <c r="U139" s="454"/>
      <c r="V139" s="454"/>
      <c r="W139" s="454"/>
      <c r="X139" s="454"/>
      <c r="Y139" s="454"/>
      <c r="Z139" s="454"/>
      <c r="AA139" s="454"/>
      <c r="AB139" s="454"/>
    </row>
    <row r="140" spans="1:28">
      <c r="A140" s="331"/>
      <c r="B140" s="332"/>
      <c r="C140" s="454"/>
      <c r="D140" s="334"/>
      <c r="E140" s="333"/>
      <c r="F140" s="334"/>
      <c r="G140" s="334"/>
      <c r="H140" s="454"/>
      <c r="I140" s="455"/>
      <c r="J140" s="456"/>
      <c r="K140" s="456"/>
      <c r="L140" s="454"/>
      <c r="M140" s="454"/>
      <c r="N140" s="454"/>
      <c r="O140" s="454"/>
      <c r="P140" s="454"/>
      <c r="Q140" s="454"/>
      <c r="R140" s="454"/>
      <c r="S140" s="454"/>
      <c r="T140" s="454"/>
      <c r="U140" s="454"/>
      <c r="V140" s="454"/>
      <c r="W140" s="454"/>
      <c r="X140" s="454"/>
      <c r="Y140" s="454"/>
      <c r="Z140" s="454"/>
      <c r="AA140" s="454"/>
      <c r="AB140" s="454"/>
    </row>
    <row r="141" spans="1:28">
      <c r="A141" s="331"/>
      <c r="B141" s="332"/>
      <c r="C141" s="454"/>
      <c r="D141" s="334"/>
      <c r="E141" s="333"/>
      <c r="F141" s="334"/>
      <c r="G141" s="334"/>
      <c r="H141" s="454"/>
      <c r="I141" s="455"/>
      <c r="J141" s="456"/>
      <c r="K141" s="456"/>
      <c r="L141" s="454"/>
      <c r="M141" s="454"/>
      <c r="N141" s="454"/>
      <c r="O141" s="454"/>
      <c r="P141" s="454"/>
      <c r="Q141" s="454"/>
      <c r="R141" s="454"/>
      <c r="S141" s="454"/>
      <c r="T141" s="454"/>
      <c r="U141" s="454"/>
      <c r="V141" s="454"/>
      <c r="W141" s="454"/>
      <c r="X141" s="454"/>
      <c r="Y141" s="454"/>
      <c r="Z141" s="454"/>
      <c r="AA141" s="454"/>
      <c r="AB141" s="454"/>
    </row>
    <row r="142" spans="1:28">
      <c r="A142" s="331"/>
      <c r="B142" s="332"/>
      <c r="C142" s="454"/>
      <c r="D142" s="334"/>
      <c r="E142" s="333"/>
      <c r="F142" s="334"/>
      <c r="G142" s="334"/>
      <c r="H142" s="454"/>
      <c r="I142" s="455"/>
      <c r="J142" s="456"/>
      <c r="K142" s="456"/>
      <c r="L142" s="454"/>
      <c r="M142" s="454"/>
      <c r="N142" s="454"/>
      <c r="O142" s="454"/>
      <c r="P142" s="454"/>
      <c r="Q142" s="454"/>
      <c r="R142" s="454"/>
      <c r="S142" s="454"/>
      <c r="T142" s="454"/>
      <c r="U142" s="454"/>
      <c r="V142" s="454"/>
      <c r="W142" s="454"/>
      <c r="X142" s="454"/>
      <c r="Y142" s="454"/>
      <c r="Z142" s="454"/>
      <c r="AA142" s="454"/>
      <c r="AB142" s="454"/>
    </row>
    <row r="143" spans="1:28">
      <c r="A143" s="331"/>
      <c r="B143" s="332"/>
      <c r="C143" s="454"/>
      <c r="D143" s="334"/>
      <c r="E143" s="333"/>
      <c r="F143" s="334"/>
      <c r="G143" s="334"/>
      <c r="H143" s="454"/>
      <c r="I143" s="455"/>
      <c r="J143" s="456"/>
      <c r="K143" s="456"/>
      <c r="L143" s="454"/>
      <c r="M143" s="454"/>
      <c r="N143" s="454"/>
      <c r="O143" s="454"/>
      <c r="P143" s="454"/>
      <c r="Q143" s="454"/>
      <c r="R143" s="454"/>
      <c r="S143" s="454"/>
      <c r="T143" s="454"/>
      <c r="U143" s="454"/>
      <c r="V143" s="454"/>
      <c r="W143" s="454"/>
      <c r="X143" s="454"/>
      <c r="Y143" s="454"/>
      <c r="Z143" s="454"/>
      <c r="AA143" s="454"/>
      <c r="AB143" s="454"/>
    </row>
    <row r="144" spans="1:28">
      <c r="A144" s="331"/>
      <c r="B144" s="332"/>
      <c r="C144" s="454"/>
      <c r="D144" s="334"/>
      <c r="E144" s="333"/>
      <c r="F144" s="334"/>
      <c r="G144" s="334"/>
      <c r="H144" s="454"/>
      <c r="I144" s="455"/>
      <c r="J144" s="456"/>
      <c r="K144" s="456"/>
      <c r="L144" s="454"/>
      <c r="M144" s="454"/>
      <c r="N144" s="454"/>
      <c r="O144" s="454"/>
      <c r="P144" s="454"/>
      <c r="Q144" s="454"/>
      <c r="R144" s="454"/>
      <c r="S144" s="454"/>
      <c r="T144" s="454"/>
      <c r="U144" s="454"/>
      <c r="V144" s="454"/>
      <c r="W144" s="454"/>
      <c r="X144" s="454"/>
      <c r="Y144" s="454"/>
      <c r="Z144" s="454"/>
      <c r="AA144" s="454"/>
      <c r="AB144" s="454"/>
    </row>
    <row r="145" spans="1:28">
      <c r="A145" s="331"/>
      <c r="B145" s="332"/>
      <c r="C145" s="454"/>
      <c r="D145" s="334"/>
      <c r="E145" s="333"/>
      <c r="F145" s="334"/>
      <c r="G145" s="334"/>
      <c r="H145" s="454"/>
      <c r="I145" s="455"/>
      <c r="J145" s="456"/>
      <c r="K145" s="456"/>
      <c r="L145" s="454"/>
      <c r="M145" s="454"/>
      <c r="N145" s="454"/>
      <c r="O145" s="454"/>
      <c r="P145" s="454"/>
      <c r="Q145" s="454"/>
      <c r="R145" s="454"/>
      <c r="S145" s="454"/>
      <c r="T145" s="454"/>
      <c r="U145" s="454"/>
      <c r="V145" s="454"/>
      <c r="W145" s="454"/>
      <c r="X145" s="454"/>
      <c r="Y145" s="454"/>
      <c r="Z145" s="454"/>
      <c r="AA145" s="454"/>
      <c r="AB145" s="454"/>
    </row>
    <row r="146" spans="1:28">
      <c r="A146" s="331"/>
      <c r="B146" s="332"/>
      <c r="C146" s="454"/>
      <c r="D146" s="334"/>
      <c r="E146" s="333"/>
      <c r="F146" s="334"/>
      <c r="G146" s="334"/>
      <c r="H146" s="454"/>
      <c r="I146" s="455"/>
      <c r="J146" s="456"/>
      <c r="K146" s="456"/>
      <c r="L146" s="454"/>
      <c r="M146" s="454"/>
      <c r="N146" s="454"/>
      <c r="O146" s="454"/>
      <c r="P146" s="454"/>
      <c r="Q146" s="454"/>
      <c r="R146" s="454"/>
      <c r="S146" s="454"/>
      <c r="T146" s="454"/>
      <c r="U146" s="454"/>
      <c r="V146" s="454"/>
      <c r="W146" s="454"/>
      <c r="X146" s="454"/>
      <c r="Y146" s="454"/>
      <c r="Z146" s="454"/>
      <c r="AA146" s="454"/>
      <c r="AB146" s="454"/>
    </row>
    <row r="147" spans="1:28">
      <c r="A147" s="331"/>
      <c r="B147" s="332"/>
      <c r="C147" s="454"/>
      <c r="D147" s="334"/>
      <c r="E147" s="333"/>
      <c r="F147" s="334"/>
      <c r="G147" s="334"/>
      <c r="H147" s="454"/>
      <c r="I147" s="455"/>
      <c r="J147" s="456"/>
      <c r="K147" s="456"/>
      <c r="L147" s="454"/>
      <c r="M147" s="454"/>
      <c r="N147" s="454"/>
      <c r="O147" s="454"/>
      <c r="P147" s="454"/>
      <c r="Q147" s="454"/>
      <c r="R147" s="454"/>
      <c r="S147" s="454"/>
      <c r="T147" s="454"/>
      <c r="U147" s="454"/>
      <c r="V147" s="454"/>
      <c r="W147" s="454"/>
      <c r="X147" s="454"/>
      <c r="Y147" s="454"/>
      <c r="Z147" s="454"/>
      <c r="AA147" s="454"/>
      <c r="AB147" s="454"/>
    </row>
    <row r="148" spans="1:28">
      <c r="A148" s="331"/>
      <c r="B148" s="332"/>
      <c r="C148" s="454"/>
      <c r="D148" s="334"/>
      <c r="E148" s="333"/>
      <c r="F148" s="334"/>
      <c r="G148" s="334"/>
      <c r="H148" s="454"/>
      <c r="I148" s="455"/>
      <c r="J148" s="456"/>
      <c r="K148" s="456"/>
      <c r="L148" s="454"/>
      <c r="M148" s="454"/>
      <c r="N148" s="454"/>
      <c r="O148" s="454"/>
      <c r="P148" s="454"/>
      <c r="Q148" s="454"/>
      <c r="R148" s="454"/>
      <c r="S148" s="454"/>
      <c r="T148" s="454"/>
      <c r="U148" s="454"/>
      <c r="V148" s="454"/>
      <c r="W148" s="454"/>
      <c r="X148" s="454"/>
      <c r="Y148" s="454"/>
      <c r="Z148" s="454"/>
      <c r="AA148" s="454"/>
      <c r="AB148" s="454"/>
    </row>
    <row r="149" spans="1:28">
      <c r="A149" s="331"/>
      <c r="B149" s="332"/>
      <c r="C149" s="454"/>
      <c r="D149" s="334"/>
      <c r="E149" s="333"/>
      <c r="F149" s="334"/>
      <c r="G149" s="334"/>
      <c r="H149" s="454"/>
      <c r="I149" s="455"/>
      <c r="J149" s="456"/>
      <c r="K149" s="456"/>
      <c r="L149" s="454"/>
      <c r="M149" s="454"/>
      <c r="N149" s="454"/>
      <c r="O149" s="454"/>
      <c r="P149" s="454"/>
      <c r="Q149" s="454"/>
      <c r="R149" s="454"/>
      <c r="S149" s="454"/>
      <c r="T149" s="454"/>
      <c r="U149" s="454"/>
      <c r="V149" s="454"/>
      <c r="W149" s="454"/>
      <c r="X149" s="454"/>
      <c r="Y149" s="454"/>
      <c r="Z149" s="454"/>
      <c r="AA149" s="454"/>
      <c r="AB149" s="454"/>
    </row>
    <row r="150" spans="1:28">
      <c r="A150" s="331"/>
      <c r="B150" s="332"/>
      <c r="C150" s="454"/>
      <c r="D150" s="334"/>
      <c r="E150" s="333"/>
      <c r="F150" s="334"/>
      <c r="G150" s="336"/>
      <c r="H150" s="454"/>
      <c r="I150" s="455"/>
      <c r="J150" s="456"/>
      <c r="K150" s="456"/>
      <c r="L150" s="454"/>
      <c r="M150" s="454"/>
      <c r="N150" s="454"/>
      <c r="O150" s="454"/>
      <c r="P150" s="454"/>
      <c r="Q150" s="454"/>
      <c r="R150" s="454"/>
      <c r="S150" s="454"/>
      <c r="T150" s="454"/>
      <c r="U150" s="454"/>
      <c r="V150" s="454"/>
      <c r="W150" s="454"/>
      <c r="X150" s="454"/>
      <c r="Y150" s="454"/>
      <c r="Z150" s="454"/>
      <c r="AA150" s="454"/>
      <c r="AB150" s="454"/>
    </row>
    <row r="151" spans="1:28">
      <c r="A151" s="331"/>
      <c r="B151" s="332"/>
      <c r="C151" s="454"/>
      <c r="D151" s="334"/>
      <c r="E151" s="333"/>
      <c r="F151" s="333"/>
      <c r="G151" s="336"/>
      <c r="H151" s="454"/>
      <c r="I151" s="455"/>
      <c r="J151" s="456"/>
      <c r="K151" s="456"/>
      <c r="L151" s="454"/>
      <c r="M151" s="454"/>
      <c r="N151" s="454"/>
      <c r="O151" s="454"/>
      <c r="P151" s="454"/>
      <c r="Q151" s="454"/>
      <c r="R151" s="454"/>
      <c r="S151" s="454"/>
      <c r="T151" s="454"/>
      <c r="U151" s="454"/>
      <c r="V151" s="454"/>
      <c r="W151" s="454"/>
      <c r="X151" s="454"/>
      <c r="Y151" s="454"/>
      <c r="Z151" s="454"/>
      <c r="AA151" s="454"/>
      <c r="AB151" s="454"/>
    </row>
    <row r="152" spans="1:28">
      <c r="A152" s="331"/>
      <c r="B152" s="332"/>
      <c r="C152" s="454"/>
      <c r="D152" s="334"/>
      <c r="E152" s="333"/>
      <c r="F152" s="334"/>
      <c r="G152" s="336"/>
      <c r="H152" s="454"/>
      <c r="I152" s="455"/>
      <c r="J152" s="456"/>
      <c r="K152" s="456"/>
      <c r="L152" s="454"/>
      <c r="M152" s="454"/>
      <c r="N152" s="454"/>
      <c r="O152" s="454"/>
      <c r="P152" s="454"/>
      <c r="Q152" s="454"/>
      <c r="R152" s="454"/>
      <c r="S152" s="454"/>
      <c r="T152" s="454"/>
      <c r="U152" s="454"/>
      <c r="V152" s="454"/>
      <c r="W152" s="454"/>
      <c r="X152" s="454"/>
      <c r="Y152" s="454"/>
      <c r="Z152" s="454"/>
      <c r="AA152" s="454"/>
      <c r="AB152" s="454"/>
    </row>
    <row r="153" spans="1:28">
      <c r="A153" s="331"/>
      <c r="B153" s="332"/>
      <c r="C153" s="454"/>
      <c r="D153" s="334"/>
      <c r="E153" s="333"/>
      <c r="F153" s="334"/>
      <c r="G153" s="336"/>
      <c r="H153" s="454"/>
      <c r="I153" s="455"/>
      <c r="J153" s="456"/>
      <c r="K153" s="456"/>
      <c r="L153" s="454"/>
      <c r="M153" s="454"/>
      <c r="N153" s="454"/>
      <c r="O153" s="454"/>
      <c r="P153" s="454"/>
      <c r="Q153" s="454"/>
      <c r="R153" s="454"/>
      <c r="S153" s="454"/>
      <c r="T153" s="454"/>
      <c r="U153" s="454"/>
      <c r="V153" s="454"/>
      <c r="W153" s="454"/>
      <c r="X153" s="454"/>
      <c r="Y153" s="454"/>
      <c r="Z153" s="454"/>
      <c r="AA153" s="454"/>
      <c r="AB153" s="454"/>
    </row>
    <row r="154" spans="1:28">
      <c r="A154" s="331"/>
      <c r="B154" s="332"/>
      <c r="C154" s="454"/>
      <c r="D154" s="336"/>
      <c r="E154" s="333"/>
      <c r="F154" s="336"/>
      <c r="G154" s="336"/>
      <c r="H154" s="454"/>
      <c r="I154" s="455"/>
      <c r="J154" s="456"/>
      <c r="K154" s="456"/>
      <c r="L154" s="454"/>
      <c r="M154" s="454"/>
      <c r="N154" s="454"/>
      <c r="O154" s="454"/>
      <c r="P154" s="454"/>
      <c r="Q154" s="454"/>
      <c r="R154" s="454"/>
      <c r="S154" s="454"/>
      <c r="T154" s="454"/>
      <c r="U154" s="454"/>
      <c r="V154" s="454"/>
      <c r="W154" s="454"/>
      <c r="X154" s="454"/>
      <c r="Y154" s="454"/>
      <c r="Z154" s="454"/>
      <c r="AA154" s="454"/>
      <c r="AB154" s="454"/>
    </row>
    <row r="155" spans="1:28">
      <c r="A155" s="331"/>
      <c r="B155" s="332"/>
      <c r="C155" s="454"/>
      <c r="D155" s="334"/>
      <c r="E155" s="333"/>
      <c r="F155" s="334"/>
      <c r="G155" s="336"/>
      <c r="H155" s="454"/>
      <c r="I155" s="455"/>
      <c r="J155" s="456"/>
      <c r="K155" s="456"/>
      <c r="L155" s="454"/>
      <c r="M155" s="454"/>
      <c r="N155" s="454"/>
      <c r="O155" s="454"/>
      <c r="P155" s="454"/>
      <c r="Q155" s="454"/>
      <c r="R155" s="454"/>
      <c r="S155" s="454"/>
      <c r="T155" s="454"/>
      <c r="U155" s="454"/>
      <c r="V155" s="454"/>
      <c r="W155" s="454"/>
      <c r="X155" s="454"/>
      <c r="Y155" s="454"/>
      <c r="Z155" s="454"/>
      <c r="AA155" s="454"/>
      <c r="AB155" s="454"/>
    </row>
    <row r="156" spans="1:28">
      <c r="A156" s="331"/>
      <c r="B156" s="332"/>
      <c r="C156" s="454"/>
      <c r="D156" s="334"/>
      <c r="E156" s="333"/>
      <c r="F156" s="334"/>
      <c r="G156" s="334"/>
      <c r="H156" s="454"/>
      <c r="I156" s="455"/>
      <c r="J156" s="456"/>
      <c r="K156" s="456"/>
      <c r="L156" s="454"/>
      <c r="M156" s="454"/>
      <c r="N156" s="454"/>
      <c r="O156" s="454"/>
      <c r="P156" s="454"/>
      <c r="Q156" s="454"/>
      <c r="R156" s="454"/>
      <c r="S156" s="454"/>
      <c r="T156" s="454"/>
      <c r="U156" s="454"/>
      <c r="V156" s="454"/>
      <c r="W156" s="454"/>
      <c r="X156" s="454"/>
      <c r="Y156" s="454"/>
      <c r="Z156" s="454"/>
      <c r="AA156" s="454"/>
      <c r="AB156" s="454"/>
    </row>
    <row r="157" spans="1:28">
      <c r="A157" s="331"/>
      <c r="B157" s="332"/>
      <c r="C157" s="454"/>
      <c r="D157" s="334"/>
      <c r="E157" s="333"/>
      <c r="F157" s="334"/>
      <c r="G157" s="334"/>
      <c r="H157" s="454"/>
      <c r="I157" s="455"/>
      <c r="J157" s="456"/>
      <c r="K157" s="456"/>
      <c r="L157" s="454"/>
      <c r="M157" s="454"/>
      <c r="N157" s="454"/>
      <c r="O157" s="454"/>
      <c r="P157" s="454"/>
      <c r="Q157" s="454"/>
      <c r="R157" s="454"/>
      <c r="S157" s="454"/>
      <c r="T157" s="454"/>
      <c r="U157" s="454"/>
      <c r="V157" s="454"/>
      <c r="W157" s="454"/>
      <c r="X157" s="454"/>
      <c r="Y157" s="454"/>
      <c r="Z157" s="454"/>
      <c r="AA157" s="454"/>
      <c r="AB157" s="454"/>
    </row>
    <row r="158" spans="1:28">
      <c r="A158" s="331"/>
      <c r="B158" s="332"/>
      <c r="C158" s="454"/>
      <c r="D158" s="334"/>
      <c r="E158" s="333"/>
      <c r="F158" s="334"/>
      <c r="G158" s="334"/>
      <c r="H158" s="454"/>
      <c r="I158" s="455"/>
      <c r="J158" s="456"/>
      <c r="K158" s="456"/>
      <c r="L158" s="454"/>
      <c r="M158" s="454"/>
      <c r="N158" s="454"/>
      <c r="O158" s="454"/>
      <c r="P158" s="454"/>
      <c r="Q158" s="454"/>
      <c r="R158" s="454"/>
      <c r="S158" s="454"/>
      <c r="T158" s="454"/>
      <c r="U158" s="454"/>
      <c r="V158" s="454"/>
      <c r="W158" s="454"/>
      <c r="X158" s="454"/>
      <c r="Y158" s="454"/>
      <c r="Z158" s="454"/>
      <c r="AA158" s="454"/>
      <c r="AB158" s="454"/>
    </row>
    <row r="159" spans="1:28">
      <c r="A159" s="331"/>
      <c r="B159" s="332"/>
      <c r="C159" s="454"/>
      <c r="D159" s="334"/>
      <c r="E159" s="333"/>
      <c r="F159" s="334"/>
      <c r="G159" s="334"/>
      <c r="H159" s="454"/>
      <c r="I159" s="455"/>
      <c r="J159" s="456"/>
      <c r="K159" s="456"/>
      <c r="L159" s="454"/>
      <c r="M159" s="454"/>
      <c r="N159" s="454"/>
      <c r="O159" s="454"/>
      <c r="P159" s="454"/>
      <c r="Q159" s="454"/>
      <c r="R159" s="454"/>
      <c r="S159" s="454"/>
      <c r="T159" s="454"/>
      <c r="U159" s="454"/>
      <c r="V159" s="454"/>
      <c r="W159" s="454"/>
      <c r="X159" s="454"/>
      <c r="Y159" s="454"/>
      <c r="Z159" s="454"/>
      <c r="AA159" s="454"/>
      <c r="AB159" s="454"/>
    </row>
    <row r="160" spans="1:28">
      <c r="A160" s="331"/>
      <c r="B160" s="332"/>
      <c r="C160" s="454"/>
      <c r="D160" s="334"/>
      <c r="E160" s="333"/>
      <c r="F160" s="334"/>
      <c r="G160" s="334"/>
      <c r="H160" s="454"/>
      <c r="I160" s="455"/>
      <c r="J160" s="456"/>
      <c r="K160" s="456"/>
      <c r="L160" s="454"/>
      <c r="M160" s="454"/>
      <c r="N160" s="454"/>
      <c r="O160" s="454"/>
      <c r="P160" s="454"/>
      <c r="Q160" s="454"/>
      <c r="R160" s="454"/>
      <c r="S160" s="454"/>
      <c r="T160" s="454"/>
      <c r="U160" s="454"/>
      <c r="V160" s="454"/>
      <c r="W160" s="454"/>
      <c r="X160" s="454"/>
      <c r="Y160" s="454"/>
      <c r="Z160" s="454"/>
      <c r="AA160" s="454"/>
      <c r="AB160" s="454"/>
    </row>
    <row r="161" spans="1:28">
      <c r="A161" s="331"/>
      <c r="B161" s="332"/>
      <c r="C161" s="454"/>
      <c r="D161" s="333"/>
      <c r="E161" s="333"/>
      <c r="F161" s="333"/>
      <c r="G161" s="333"/>
      <c r="H161" s="454"/>
      <c r="I161" s="455"/>
      <c r="J161" s="456"/>
      <c r="K161" s="456"/>
      <c r="L161" s="454"/>
      <c r="M161" s="454"/>
      <c r="N161" s="454"/>
      <c r="O161" s="454"/>
      <c r="P161" s="454"/>
      <c r="Q161" s="454"/>
      <c r="R161" s="454"/>
      <c r="S161" s="454"/>
      <c r="T161" s="454"/>
      <c r="U161" s="454"/>
      <c r="V161" s="454"/>
      <c r="W161" s="454"/>
      <c r="X161" s="454"/>
      <c r="Y161" s="454"/>
      <c r="Z161" s="454"/>
      <c r="AA161" s="454"/>
      <c r="AB161" s="454"/>
    </row>
    <row r="162" spans="1:28">
      <c r="A162" s="331"/>
      <c r="B162" s="332"/>
      <c r="C162" s="454"/>
      <c r="D162" s="333"/>
      <c r="E162" s="333"/>
      <c r="F162" s="333"/>
      <c r="G162" s="333"/>
      <c r="H162" s="454"/>
      <c r="I162" s="455"/>
      <c r="J162" s="456"/>
      <c r="K162" s="456"/>
      <c r="L162" s="454"/>
      <c r="M162" s="454"/>
      <c r="N162" s="454"/>
      <c r="O162" s="454"/>
      <c r="P162" s="454"/>
      <c r="Q162" s="454"/>
      <c r="R162" s="454"/>
      <c r="S162" s="454"/>
      <c r="T162" s="454"/>
      <c r="U162" s="454"/>
      <c r="V162" s="454"/>
      <c r="W162" s="454"/>
      <c r="X162" s="454"/>
      <c r="Y162" s="454"/>
      <c r="Z162" s="454"/>
      <c r="AA162" s="454"/>
      <c r="AB162" s="454"/>
    </row>
    <row r="163" spans="1:28">
      <c r="A163" s="331"/>
      <c r="B163" s="332"/>
      <c r="C163" s="454"/>
      <c r="D163" s="333"/>
      <c r="E163" s="333"/>
      <c r="F163" s="333"/>
      <c r="G163" s="333"/>
      <c r="H163" s="454"/>
      <c r="I163" s="455"/>
      <c r="J163" s="456"/>
      <c r="K163" s="456"/>
      <c r="L163" s="454"/>
      <c r="M163" s="454"/>
      <c r="N163" s="454"/>
      <c r="O163" s="454"/>
      <c r="P163" s="454"/>
      <c r="Q163" s="454"/>
      <c r="R163" s="454"/>
      <c r="S163" s="454"/>
      <c r="T163" s="454"/>
      <c r="U163" s="454"/>
      <c r="V163" s="454"/>
      <c r="W163" s="454"/>
      <c r="X163" s="454"/>
      <c r="Y163" s="454"/>
      <c r="Z163" s="454"/>
      <c r="AA163" s="454"/>
      <c r="AB163" s="454"/>
    </row>
    <row r="164" spans="1:28">
      <c r="A164" s="331"/>
      <c r="B164" s="332"/>
      <c r="C164" s="454"/>
      <c r="D164" s="333"/>
      <c r="E164" s="333"/>
      <c r="F164" s="333"/>
      <c r="G164" s="333"/>
      <c r="H164" s="454"/>
      <c r="I164" s="455"/>
      <c r="J164" s="456"/>
      <c r="K164" s="456"/>
      <c r="L164" s="454"/>
      <c r="M164" s="454"/>
      <c r="N164" s="454"/>
      <c r="O164" s="454"/>
      <c r="P164" s="454"/>
      <c r="Q164" s="454"/>
      <c r="R164" s="454"/>
      <c r="S164" s="454"/>
      <c r="T164" s="454"/>
      <c r="U164" s="454"/>
      <c r="V164" s="454"/>
      <c r="W164" s="454"/>
      <c r="X164" s="454"/>
      <c r="Y164" s="454"/>
      <c r="Z164" s="454"/>
      <c r="AA164" s="454"/>
      <c r="AB164" s="454"/>
    </row>
    <row r="165" spans="1:28">
      <c r="A165" s="331"/>
      <c r="B165" s="332"/>
      <c r="C165" s="454"/>
      <c r="D165" s="333"/>
      <c r="E165" s="333"/>
      <c r="F165" s="333"/>
      <c r="G165" s="333"/>
      <c r="H165" s="454"/>
      <c r="I165" s="455"/>
      <c r="J165" s="456"/>
      <c r="K165" s="456"/>
      <c r="L165" s="454"/>
      <c r="M165" s="454"/>
      <c r="N165" s="454"/>
      <c r="O165" s="454"/>
      <c r="P165" s="454"/>
      <c r="Q165" s="454"/>
      <c r="R165" s="454"/>
      <c r="S165" s="454"/>
      <c r="T165" s="454"/>
      <c r="U165" s="454"/>
      <c r="V165" s="454"/>
      <c r="W165" s="454"/>
      <c r="X165" s="454"/>
      <c r="Y165" s="454"/>
      <c r="Z165" s="454"/>
      <c r="AA165" s="454"/>
      <c r="AB165" s="454"/>
    </row>
    <row r="166" spans="1:28">
      <c r="A166" s="331"/>
      <c r="B166" s="332"/>
      <c r="C166" s="454"/>
      <c r="D166" s="333"/>
      <c r="E166" s="333"/>
      <c r="F166" s="333"/>
      <c r="G166" s="333"/>
      <c r="H166" s="454"/>
      <c r="I166" s="455"/>
      <c r="J166" s="456"/>
      <c r="K166" s="456"/>
      <c r="L166" s="454"/>
      <c r="M166" s="454"/>
      <c r="N166" s="454"/>
      <c r="O166" s="454"/>
      <c r="P166" s="454"/>
      <c r="Q166" s="454"/>
      <c r="R166" s="454"/>
      <c r="S166" s="454"/>
      <c r="T166" s="454"/>
      <c r="U166" s="454"/>
      <c r="V166" s="454"/>
      <c r="W166" s="454"/>
      <c r="X166" s="454"/>
      <c r="Y166" s="454"/>
      <c r="Z166" s="454"/>
      <c r="AA166" s="454"/>
      <c r="AB166" s="454"/>
    </row>
    <row r="167" spans="1:28">
      <c r="A167" s="331"/>
      <c r="B167" s="332"/>
      <c r="C167" s="454"/>
      <c r="D167" s="333"/>
      <c r="E167" s="333"/>
      <c r="F167" s="333"/>
      <c r="G167" s="333"/>
      <c r="H167" s="454"/>
      <c r="I167" s="455"/>
      <c r="J167" s="456"/>
      <c r="K167" s="456"/>
      <c r="L167" s="454"/>
      <c r="M167" s="454"/>
      <c r="N167" s="454"/>
      <c r="O167" s="454"/>
      <c r="P167" s="454"/>
      <c r="Q167" s="454"/>
      <c r="R167" s="454"/>
      <c r="S167" s="454"/>
      <c r="T167" s="454"/>
      <c r="U167" s="454"/>
      <c r="V167" s="454"/>
      <c r="W167" s="454"/>
      <c r="X167" s="454"/>
      <c r="Y167" s="454"/>
      <c r="Z167" s="454"/>
      <c r="AA167" s="454"/>
      <c r="AB167" s="454"/>
    </row>
    <row r="168" spans="1:28">
      <c r="A168" s="331"/>
      <c r="B168" s="332"/>
      <c r="C168" s="454"/>
      <c r="D168" s="333"/>
      <c r="E168" s="333"/>
      <c r="F168" s="333"/>
      <c r="G168" s="333"/>
      <c r="H168" s="454"/>
      <c r="I168" s="455"/>
      <c r="J168" s="456"/>
      <c r="K168" s="456"/>
      <c r="L168" s="454"/>
      <c r="M168" s="454"/>
      <c r="N168" s="454"/>
      <c r="O168" s="454"/>
      <c r="P168" s="454"/>
      <c r="Q168" s="454"/>
      <c r="R168" s="454"/>
      <c r="S168" s="454"/>
      <c r="T168" s="454"/>
      <c r="U168" s="454"/>
      <c r="V168" s="454"/>
      <c r="W168" s="454"/>
      <c r="X168" s="454"/>
      <c r="Y168" s="454"/>
      <c r="Z168" s="454"/>
      <c r="AA168" s="454"/>
      <c r="AB168" s="454"/>
    </row>
    <row r="169" spans="1:28">
      <c r="A169" s="331"/>
      <c r="B169" s="332"/>
      <c r="C169" s="454"/>
      <c r="D169" s="333"/>
      <c r="E169" s="333"/>
      <c r="F169" s="333"/>
      <c r="G169" s="333"/>
      <c r="H169" s="454"/>
      <c r="I169" s="455"/>
      <c r="J169" s="456"/>
      <c r="K169" s="456"/>
      <c r="L169" s="454"/>
      <c r="M169" s="454"/>
      <c r="N169" s="454"/>
      <c r="O169" s="454"/>
      <c r="P169" s="454"/>
      <c r="Q169" s="454"/>
      <c r="R169" s="454"/>
      <c r="S169" s="454"/>
      <c r="T169" s="454"/>
      <c r="U169" s="454"/>
      <c r="V169" s="454"/>
      <c r="W169" s="454"/>
      <c r="X169" s="454"/>
      <c r="Y169" s="454"/>
      <c r="Z169" s="454"/>
      <c r="AA169" s="454"/>
      <c r="AB169" s="454"/>
    </row>
    <row r="170" spans="1:28">
      <c r="A170" s="331"/>
      <c r="B170" s="332"/>
      <c r="C170" s="454"/>
      <c r="D170" s="333"/>
      <c r="E170" s="333"/>
      <c r="F170" s="333"/>
      <c r="G170" s="333"/>
      <c r="H170" s="454"/>
      <c r="I170" s="455"/>
      <c r="J170" s="456"/>
      <c r="K170" s="456"/>
      <c r="L170" s="454"/>
      <c r="M170" s="454"/>
      <c r="N170" s="454"/>
      <c r="O170" s="454"/>
      <c r="P170" s="454"/>
      <c r="Q170" s="454"/>
      <c r="R170" s="454"/>
      <c r="S170" s="454"/>
      <c r="T170" s="454"/>
      <c r="U170" s="454"/>
      <c r="V170" s="454"/>
      <c r="W170" s="454"/>
      <c r="X170" s="454"/>
      <c r="Y170" s="454"/>
      <c r="Z170" s="454"/>
      <c r="AA170" s="454"/>
      <c r="AB170" s="454"/>
    </row>
    <row r="171" spans="1:28">
      <c r="A171" s="331"/>
      <c r="B171" s="332"/>
      <c r="C171" s="454"/>
      <c r="D171" s="334"/>
      <c r="E171" s="333"/>
      <c r="F171" s="334"/>
      <c r="G171" s="334"/>
      <c r="H171" s="454"/>
      <c r="I171" s="455"/>
      <c r="J171" s="456"/>
      <c r="K171" s="456"/>
      <c r="L171" s="454"/>
      <c r="M171" s="454"/>
      <c r="N171" s="454"/>
      <c r="O171" s="454"/>
      <c r="P171" s="454"/>
      <c r="Q171" s="454"/>
      <c r="R171" s="454"/>
      <c r="S171" s="454"/>
      <c r="T171" s="454"/>
      <c r="U171" s="454"/>
      <c r="V171" s="454"/>
      <c r="W171" s="454"/>
      <c r="X171" s="454"/>
      <c r="Y171" s="454"/>
      <c r="Z171" s="454"/>
      <c r="AA171" s="454"/>
      <c r="AB171" s="454"/>
    </row>
    <row r="172" spans="1:28">
      <c r="A172" s="331"/>
      <c r="B172" s="332"/>
      <c r="C172" s="454"/>
      <c r="D172" s="334"/>
      <c r="E172" s="333"/>
      <c r="F172" s="334"/>
      <c r="G172" s="334"/>
      <c r="H172" s="454"/>
      <c r="I172" s="455"/>
      <c r="J172" s="456"/>
      <c r="K172" s="456"/>
      <c r="L172" s="454"/>
      <c r="M172" s="454"/>
      <c r="N172" s="454"/>
      <c r="O172" s="454"/>
      <c r="P172" s="454"/>
      <c r="Q172" s="454"/>
      <c r="R172" s="454"/>
      <c r="S172" s="454"/>
      <c r="T172" s="454"/>
      <c r="U172" s="454"/>
      <c r="V172" s="454"/>
      <c r="W172" s="454"/>
      <c r="X172" s="454"/>
      <c r="Y172" s="454"/>
      <c r="Z172" s="454"/>
      <c r="AA172" s="454"/>
      <c r="AB172" s="454"/>
    </row>
    <row r="173" spans="1:28">
      <c r="A173" s="331"/>
      <c r="B173" s="332"/>
      <c r="C173" s="454"/>
      <c r="D173" s="333"/>
      <c r="E173" s="333"/>
      <c r="F173" s="333"/>
      <c r="G173" s="333"/>
      <c r="H173" s="454"/>
      <c r="I173" s="455"/>
      <c r="J173" s="456"/>
      <c r="K173" s="456"/>
      <c r="L173" s="454"/>
      <c r="M173" s="454"/>
      <c r="N173" s="454"/>
      <c r="O173" s="454"/>
      <c r="P173" s="454"/>
      <c r="Q173" s="454"/>
      <c r="R173" s="454"/>
      <c r="S173" s="454"/>
      <c r="T173" s="454"/>
      <c r="U173" s="454"/>
      <c r="V173" s="454"/>
      <c r="W173" s="454"/>
      <c r="X173" s="454"/>
      <c r="Y173" s="454"/>
      <c r="Z173" s="454"/>
      <c r="AA173" s="454"/>
      <c r="AB173" s="454"/>
    </row>
    <row r="174" spans="1:28">
      <c r="A174" s="331"/>
      <c r="B174" s="332"/>
      <c r="C174" s="454"/>
      <c r="D174" s="333"/>
      <c r="E174" s="333"/>
      <c r="F174" s="333"/>
      <c r="G174" s="333"/>
      <c r="H174" s="454"/>
      <c r="I174" s="455"/>
      <c r="J174" s="456"/>
      <c r="K174" s="456"/>
      <c r="L174" s="454"/>
      <c r="M174" s="454"/>
      <c r="N174" s="454"/>
      <c r="O174" s="454"/>
      <c r="P174" s="454"/>
      <c r="Q174" s="454"/>
      <c r="R174" s="454"/>
      <c r="S174" s="454"/>
      <c r="T174" s="454"/>
      <c r="U174" s="454"/>
      <c r="V174" s="454"/>
      <c r="W174" s="454"/>
      <c r="X174" s="454"/>
      <c r="Y174" s="454"/>
      <c r="Z174" s="454"/>
      <c r="AA174" s="454"/>
      <c r="AB174" s="454"/>
    </row>
    <row r="175" spans="1:28">
      <c r="A175" s="331"/>
      <c r="B175" s="332"/>
      <c r="C175" s="454"/>
      <c r="D175" s="333"/>
      <c r="E175" s="333"/>
      <c r="F175" s="333"/>
      <c r="G175" s="333"/>
      <c r="H175" s="454"/>
      <c r="I175" s="455"/>
      <c r="J175" s="456"/>
      <c r="K175" s="456"/>
      <c r="L175" s="454"/>
      <c r="M175" s="454"/>
      <c r="N175" s="454"/>
      <c r="O175" s="454"/>
      <c r="P175" s="454"/>
      <c r="Q175" s="454"/>
      <c r="R175" s="454"/>
      <c r="S175" s="454"/>
      <c r="T175" s="454"/>
      <c r="U175" s="454"/>
      <c r="V175" s="454"/>
      <c r="W175" s="454"/>
      <c r="X175" s="454"/>
      <c r="Y175" s="454"/>
      <c r="Z175" s="454"/>
      <c r="AA175" s="454"/>
      <c r="AB175" s="454"/>
    </row>
    <row r="176" spans="1:28">
      <c r="A176" s="331"/>
      <c r="B176" s="332"/>
      <c r="C176" s="454"/>
      <c r="D176" s="333"/>
      <c r="E176" s="333"/>
      <c r="F176" s="333"/>
      <c r="G176" s="333"/>
      <c r="H176" s="454"/>
      <c r="I176" s="455"/>
      <c r="J176" s="456"/>
      <c r="K176" s="456"/>
      <c r="L176" s="454"/>
      <c r="M176" s="454"/>
      <c r="N176" s="454"/>
      <c r="O176" s="454"/>
      <c r="P176" s="454"/>
      <c r="Q176" s="454"/>
      <c r="R176" s="454"/>
      <c r="S176" s="454"/>
      <c r="T176" s="454"/>
      <c r="U176" s="454"/>
      <c r="V176" s="454"/>
      <c r="W176" s="454"/>
      <c r="X176" s="454"/>
      <c r="Y176" s="454"/>
      <c r="Z176" s="454"/>
      <c r="AA176" s="454"/>
      <c r="AB176" s="454"/>
    </row>
    <row r="177" spans="1:28">
      <c r="A177" s="331"/>
      <c r="B177" s="332"/>
      <c r="C177" s="454"/>
      <c r="D177" s="337"/>
      <c r="E177" s="333"/>
      <c r="F177" s="337"/>
      <c r="G177" s="337"/>
      <c r="H177" s="454"/>
      <c r="I177" s="455"/>
      <c r="J177" s="456"/>
      <c r="K177" s="456"/>
      <c r="L177" s="454"/>
      <c r="M177" s="454"/>
      <c r="N177" s="454"/>
      <c r="O177" s="454"/>
      <c r="P177" s="454"/>
      <c r="Q177" s="454"/>
      <c r="R177" s="454"/>
      <c r="S177" s="454"/>
      <c r="T177" s="454"/>
      <c r="U177" s="454"/>
      <c r="V177" s="454"/>
      <c r="W177" s="454"/>
      <c r="X177" s="454"/>
      <c r="Y177" s="454"/>
      <c r="Z177" s="454"/>
      <c r="AA177" s="454"/>
      <c r="AB177" s="454"/>
    </row>
    <row r="178" spans="1:28">
      <c r="A178" s="331"/>
      <c r="B178" s="332"/>
      <c r="C178" s="454"/>
      <c r="D178" s="335"/>
      <c r="E178" s="333"/>
      <c r="F178" s="335"/>
      <c r="G178" s="335"/>
      <c r="H178" s="454"/>
      <c r="I178" s="455"/>
      <c r="J178" s="456"/>
      <c r="K178" s="456"/>
      <c r="L178" s="454"/>
      <c r="M178" s="454"/>
      <c r="N178" s="454"/>
      <c r="O178" s="454"/>
      <c r="P178" s="454"/>
      <c r="Q178" s="454"/>
      <c r="R178" s="454"/>
      <c r="S178" s="454"/>
      <c r="T178" s="454"/>
      <c r="U178" s="454"/>
      <c r="V178" s="454"/>
      <c r="W178" s="454"/>
      <c r="X178" s="454"/>
      <c r="Y178" s="454"/>
      <c r="Z178" s="454"/>
      <c r="AA178" s="454"/>
      <c r="AB178" s="454"/>
    </row>
    <row r="179" spans="1:28">
      <c r="A179" s="331"/>
      <c r="B179" s="332"/>
      <c r="C179" s="454"/>
      <c r="D179" s="336"/>
      <c r="E179" s="333"/>
      <c r="F179" s="336"/>
      <c r="G179" s="336"/>
      <c r="H179" s="454"/>
      <c r="I179" s="455"/>
      <c r="J179" s="456"/>
      <c r="K179" s="456"/>
      <c r="L179" s="454"/>
      <c r="M179" s="454"/>
      <c r="N179" s="454"/>
      <c r="O179" s="454"/>
      <c r="P179" s="454"/>
      <c r="Q179" s="454"/>
      <c r="R179" s="454"/>
      <c r="S179" s="454"/>
      <c r="T179" s="454"/>
      <c r="U179" s="454"/>
      <c r="V179" s="454"/>
      <c r="W179" s="454"/>
      <c r="X179" s="454"/>
      <c r="Y179" s="454"/>
      <c r="Z179" s="454"/>
      <c r="AA179" s="454"/>
      <c r="AB179" s="454"/>
    </row>
    <row r="180" spans="1:28">
      <c r="A180" s="331"/>
      <c r="B180" s="332"/>
      <c r="C180" s="454"/>
      <c r="D180" s="336"/>
      <c r="E180" s="333"/>
      <c r="F180" s="336"/>
      <c r="G180" s="336"/>
      <c r="H180" s="454"/>
      <c r="I180" s="455"/>
      <c r="J180" s="456"/>
      <c r="K180" s="456"/>
      <c r="L180" s="454"/>
      <c r="M180" s="454"/>
      <c r="N180" s="454"/>
      <c r="O180" s="454"/>
      <c r="P180" s="454"/>
      <c r="Q180" s="454"/>
      <c r="R180" s="454"/>
      <c r="S180" s="454"/>
      <c r="T180" s="454"/>
      <c r="U180" s="454"/>
      <c r="V180" s="454"/>
      <c r="W180" s="454"/>
      <c r="X180" s="454"/>
      <c r="Y180" s="454"/>
      <c r="Z180" s="454"/>
      <c r="AA180" s="454"/>
      <c r="AB180" s="454"/>
    </row>
    <row r="181" spans="1:28">
      <c r="A181" s="331"/>
      <c r="B181" s="332"/>
      <c r="C181" s="454"/>
      <c r="D181" s="334"/>
      <c r="E181" s="333"/>
      <c r="F181" s="334"/>
      <c r="G181" s="336"/>
      <c r="H181" s="454"/>
      <c r="I181" s="455"/>
      <c r="J181" s="456"/>
      <c r="K181" s="456"/>
      <c r="L181" s="454"/>
      <c r="M181" s="454"/>
      <c r="N181" s="454"/>
      <c r="O181" s="454"/>
      <c r="P181" s="454"/>
      <c r="Q181" s="454"/>
      <c r="R181" s="454"/>
      <c r="S181" s="454"/>
      <c r="T181" s="454"/>
      <c r="U181" s="454"/>
      <c r="V181" s="454"/>
      <c r="W181" s="454"/>
      <c r="X181" s="454"/>
      <c r="Y181" s="454"/>
      <c r="Z181" s="454"/>
      <c r="AA181" s="454"/>
      <c r="AB181" s="454"/>
    </row>
    <row r="182" spans="1:28">
      <c r="A182" s="331"/>
      <c r="B182" s="332"/>
      <c r="C182" s="454"/>
      <c r="D182" s="334"/>
      <c r="E182" s="333"/>
      <c r="F182" s="333"/>
      <c r="G182" s="336"/>
      <c r="H182" s="454"/>
      <c r="I182" s="455"/>
      <c r="J182" s="456"/>
      <c r="K182" s="456"/>
      <c r="L182" s="454"/>
      <c r="M182" s="454"/>
      <c r="N182" s="454"/>
      <c r="O182" s="454"/>
      <c r="P182" s="454"/>
      <c r="Q182" s="454"/>
      <c r="R182" s="454"/>
      <c r="S182" s="454"/>
      <c r="T182" s="454"/>
      <c r="U182" s="454"/>
      <c r="V182" s="454"/>
      <c r="W182" s="454"/>
      <c r="X182" s="454"/>
      <c r="Y182" s="454"/>
      <c r="Z182" s="454"/>
      <c r="AA182" s="454"/>
      <c r="AB182" s="454"/>
    </row>
    <row r="183" spans="1:28">
      <c r="A183" s="331"/>
      <c r="B183" s="332"/>
      <c r="C183" s="454"/>
      <c r="D183" s="334"/>
      <c r="E183" s="333"/>
      <c r="F183" s="334"/>
      <c r="G183" s="336"/>
      <c r="H183" s="454"/>
      <c r="I183" s="455"/>
      <c r="J183" s="456"/>
      <c r="K183" s="456"/>
      <c r="L183" s="454"/>
      <c r="M183" s="454"/>
      <c r="N183" s="454"/>
      <c r="O183" s="454"/>
      <c r="P183" s="454"/>
      <c r="Q183" s="454"/>
      <c r="R183" s="454"/>
      <c r="S183" s="454"/>
      <c r="T183" s="454"/>
      <c r="U183" s="454"/>
      <c r="V183" s="454"/>
      <c r="W183" s="454"/>
      <c r="X183" s="454"/>
      <c r="Y183" s="454"/>
      <c r="Z183" s="454"/>
      <c r="AA183" s="454"/>
      <c r="AB183" s="454"/>
    </row>
    <row r="184" spans="1:28">
      <c r="A184" s="331"/>
      <c r="B184" s="332"/>
      <c r="C184" s="454"/>
      <c r="D184" s="334"/>
      <c r="E184" s="333"/>
      <c r="F184" s="334"/>
      <c r="G184" s="336"/>
      <c r="H184" s="454"/>
      <c r="I184" s="455"/>
      <c r="J184" s="456"/>
      <c r="K184" s="456"/>
      <c r="L184" s="454"/>
      <c r="M184" s="454"/>
      <c r="N184" s="454"/>
      <c r="O184" s="454"/>
      <c r="P184" s="454"/>
      <c r="Q184" s="454"/>
      <c r="R184" s="454"/>
      <c r="S184" s="454"/>
      <c r="T184" s="454"/>
      <c r="U184" s="454"/>
      <c r="V184" s="454"/>
      <c r="W184" s="454"/>
      <c r="X184" s="454"/>
      <c r="Y184" s="454"/>
      <c r="Z184" s="454"/>
      <c r="AA184" s="454"/>
      <c r="AB184" s="454"/>
    </row>
    <row r="185" spans="1:28">
      <c r="A185" s="331"/>
      <c r="B185" s="332"/>
      <c r="C185" s="454"/>
      <c r="D185" s="334"/>
      <c r="E185" s="333"/>
      <c r="F185" s="334"/>
      <c r="G185" s="336"/>
      <c r="H185" s="454"/>
      <c r="I185" s="455"/>
      <c r="J185" s="456"/>
      <c r="K185" s="456"/>
      <c r="L185" s="454"/>
      <c r="M185" s="454"/>
      <c r="N185" s="454"/>
      <c r="O185" s="454"/>
      <c r="P185" s="454"/>
      <c r="Q185" s="454"/>
      <c r="R185" s="454"/>
      <c r="S185" s="454"/>
      <c r="T185" s="454"/>
      <c r="U185" s="454"/>
      <c r="V185" s="454"/>
      <c r="W185" s="454"/>
      <c r="X185" s="454"/>
      <c r="Y185" s="454"/>
      <c r="Z185" s="454"/>
      <c r="AA185" s="454"/>
      <c r="AB185" s="454"/>
    </row>
    <row r="186" spans="1:28">
      <c r="A186" s="331"/>
      <c r="B186" s="332"/>
      <c r="C186" s="454"/>
      <c r="D186" s="334"/>
      <c r="E186" s="333"/>
      <c r="F186" s="334"/>
      <c r="G186" s="336"/>
      <c r="H186" s="454"/>
      <c r="I186" s="455"/>
      <c r="J186" s="456"/>
      <c r="K186" s="456"/>
      <c r="L186" s="454"/>
      <c r="M186" s="454"/>
      <c r="N186" s="454"/>
      <c r="O186" s="454"/>
      <c r="P186" s="454"/>
      <c r="Q186" s="454"/>
      <c r="R186" s="454"/>
      <c r="S186" s="454"/>
      <c r="T186" s="454"/>
      <c r="U186" s="454"/>
      <c r="V186" s="454"/>
      <c r="W186" s="454"/>
      <c r="X186" s="454"/>
      <c r="Y186" s="454"/>
      <c r="Z186" s="454"/>
      <c r="AA186" s="454"/>
      <c r="AB186" s="454"/>
    </row>
    <row r="187" spans="1:28">
      <c r="A187" s="331"/>
      <c r="B187" s="332"/>
      <c r="C187" s="454"/>
      <c r="D187" s="334"/>
      <c r="E187" s="333"/>
      <c r="F187" s="334"/>
      <c r="G187" s="336"/>
      <c r="H187" s="454"/>
      <c r="I187" s="455"/>
      <c r="J187" s="456"/>
      <c r="K187" s="456"/>
      <c r="L187" s="454"/>
      <c r="M187" s="454"/>
      <c r="N187" s="454"/>
      <c r="O187" s="454"/>
      <c r="P187" s="454"/>
      <c r="Q187" s="454"/>
      <c r="R187" s="454"/>
      <c r="S187" s="454"/>
      <c r="T187" s="454"/>
      <c r="U187" s="454"/>
      <c r="V187" s="454"/>
      <c r="W187" s="454"/>
      <c r="X187" s="454"/>
      <c r="Y187" s="454"/>
      <c r="Z187" s="454"/>
      <c r="AA187" s="454"/>
      <c r="AB187" s="454"/>
    </row>
    <row r="188" spans="1:28">
      <c r="A188" s="331"/>
      <c r="B188" s="332"/>
      <c r="C188" s="454"/>
      <c r="D188" s="334"/>
      <c r="E188" s="333"/>
      <c r="F188" s="334"/>
      <c r="G188" s="336"/>
      <c r="H188" s="454"/>
      <c r="I188" s="455"/>
      <c r="J188" s="456"/>
      <c r="K188" s="456"/>
      <c r="L188" s="454"/>
      <c r="M188" s="454"/>
      <c r="N188" s="454"/>
      <c r="O188" s="454"/>
      <c r="P188" s="454"/>
      <c r="Q188" s="454"/>
      <c r="R188" s="454"/>
      <c r="S188" s="454"/>
      <c r="T188" s="454"/>
      <c r="U188" s="454"/>
      <c r="V188" s="454"/>
      <c r="W188" s="454"/>
      <c r="X188" s="454"/>
      <c r="Y188" s="454"/>
      <c r="Z188" s="454"/>
      <c r="AA188" s="454"/>
      <c r="AB188" s="454"/>
    </row>
    <row r="189" spans="1:28">
      <c r="A189" s="331"/>
      <c r="B189" s="332"/>
      <c r="C189" s="454"/>
      <c r="D189" s="334"/>
      <c r="E189" s="333"/>
      <c r="F189" s="334"/>
      <c r="G189" s="336"/>
      <c r="H189" s="454"/>
      <c r="I189" s="455"/>
      <c r="J189" s="456"/>
      <c r="K189" s="456"/>
      <c r="L189" s="454"/>
      <c r="M189" s="454"/>
      <c r="N189" s="454"/>
      <c r="O189" s="454"/>
      <c r="P189" s="454"/>
      <c r="Q189" s="454"/>
      <c r="R189" s="454"/>
      <c r="S189" s="454"/>
      <c r="T189" s="454"/>
      <c r="U189" s="454"/>
      <c r="V189" s="454"/>
      <c r="W189" s="454"/>
      <c r="X189" s="454"/>
      <c r="Y189" s="454"/>
      <c r="Z189" s="454"/>
      <c r="AA189" s="454"/>
      <c r="AB189" s="454"/>
    </row>
    <row r="190" spans="1:28">
      <c r="A190" s="331"/>
      <c r="B190" s="332"/>
      <c r="C190" s="454"/>
      <c r="D190" s="334"/>
      <c r="E190" s="333"/>
      <c r="F190" s="334"/>
      <c r="G190" s="336"/>
      <c r="H190" s="454"/>
      <c r="I190" s="455"/>
      <c r="J190" s="456"/>
      <c r="K190" s="456"/>
      <c r="L190" s="454"/>
      <c r="M190" s="454"/>
      <c r="N190" s="454"/>
      <c r="O190" s="454"/>
      <c r="P190" s="454"/>
      <c r="Q190" s="454"/>
      <c r="R190" s="454"/>
      <c r="S190" s="454"/>
      <c r="T190" s="454"/>
      <c r="U190" s="454"/>
      <c r="V190" s="454"/>
      <c r="W190" s="454"/>
      <c r="X190" s="454"/>
      <c r="Y190" s="454"/>
      <c r="Z190" s="454"/>
      <c r="AA190" s="454"/>
      <c r="AB190" s="454"/>
    </row>
    <row r="191" spans="1:28">
      <c r="A191" s="331"/>
      <c r="B191" s="332"/>
      <c r="C191" s="454"/>
      <c r="D191" s="334"/>
      <c r="E191" s="333"/>
      <c r="F191" s="334"/>
      <c r="G191" s="335"/>
      <c r="H191" s="454"/>
      <c r="I191" s="455"/>
      <c r="J191" s="456"/>
      <c r="K191" s="456"/>
      <c r="L191" s="454"/>
      <c r="M191" s="454"/>
      <c r="N191" s="454"/>
      <c r="O191" s="454"/>
      <c r="P191" s="454"/>
      <c r="Q191" s="454"/>
      <c r="R191" s="454"/>
      <c r="S191" s="454"/>
      <c r="T191" s="454"/>
      <c r="U191" s="454"/>
      <c r="V191" s="454"/>
      <c r="W191" s="454"/>
      <c r="X191" s="454"/>
      <c r="Y191" s="454"/>
      <c r="Z191" s="454"/>
      <c r="AA191" s="454"/>
      <c r="AB191" s="454"/>
    </row>
    <row r="192" spans="1:28">
      <c r="A192" s="331"/>
      <c r="B192" s="332"/>
      <c r="C192" s="454"/>
      <c r="D192" s="334"/>
      <c r="E192" s="333"/>
      <c r="F192" s="334"/>
      <c r="G192" s="336"/>
      <c r="H192" s="454"/>
      <c r="I192" s="455"/>
      <c r="J192" s="456"/>
      <c r="K192" s="456"/>
      <c r="L192" s="454"/>
      <c r="M192" s="454"/>
      <c r="N192" s="454"/>
      <c r="O192" s="454"/>
      <c r="P192" s="454"/>
      <c r="Q192" s="454"/>
      <c r="R192" s="454"/>
      <c r="S192" s="454"/>
      <c r="T192" s="454"/>
      <c r="U192" s="454"/>
      <c r="V192" s="454"/>
      <c r="W192" s="454"/>
      <c r="X192" s="454"/>
      <c r="Y192" s="454"/>
      <c r="Z192" s="454"/>
      <c r="AA192" s="454"/>
      <c r="AB192" s="454"/>
    </row>
    <row r="193" spans="1:28">
      <c r="A193" s="331"/>
      <c r="B193" s="332"/>
      <c r="C193" s="454"/>
      <c r="D193" s="334"/>
      <c r="E193" s="333"/>
      <c r="F193" s="334"/>
      <c r="G193" s="334"/>
      <c r="H193" s="454"/>
      <c r="I193" s="455"/>
      <c r="J193" s="456"/>
      <c r="K193" s="456"/>
      <c r="L193" s="454"/>
      <c r="M193" s="454"/>
      <c r="N193" s="454"/>
      <c r="O193" s="454"/>
      <c r="P193" s="454"/>
      <c r="Q193" s="454"/>
      <c r="R193" s="454"/>
      <c r="S193" s="454"/>
      <c r="T193" s="454"/>
      <c r="U193" s="454"/>
      <c r="V193" s="454"/>
      <c r="W193" s="454"/>
      <c r="X193" s="454"/>
      <c r="Y193" s="454"/>
      <c r="Z193" s="454"/>
      <c r="AA193" s="454"/>
      <c r="AB193" s="454"/>
    </row>
    <row r="194" spans="1:28">
      <c r="A194" s="331"/>
      <c r="B194" s="332"/>
      <c r="C194" s="454"/>
      <c r="D194" s="334"/>
      <c r="E194" s="333"/>
      <c r="F194" s="334"/>
      <c r="G194" s="336"/>
      <c r="H194" s="454"/>
      <c r="I194" s="455"/>
      <c r="J194" s="456"/>
      <c r="K194" s="456"/>
      <c r="L194" s="454"/>
      <c r="M194" s="454"/>
      <c r="N194" s="454"/>
      <c r="O194" s="454"/>
      <c r="P194" s="454"/>
      <c r="Q194" s="454"/>
      <c r="R194" s="454"/>
      <c r="S194" s="454"/>
      <c r="T194" s="454"/>
      <c r="U194" s="454"/>
      <c r="V194" s="454"/>
      <c r="W194" s="454"/>
      <c r="X194" s="454"/>
      <c r="Y194" s="454"/>
      <c r="Z194" s="454"/>
      <c r="AA194" s="454"/>
      <c r="AB194" s="454"/>
    </row>
    <row r="195" spans="1:28">
      <c r="A195" s="331"/>
      <c r="B195" s="332"/>
      <c r="C195" s="454"/>
      <c r="D195" s="334"/>
      <c r="E195" s="333"/>
      <c r="F195" s="334"/>
      <c r="G195" s="334"/>
      <c r="H195" s="454"/>
      <c r="I195" s="455"/>
      <c r="J195" s="456"/>
      <c r="K195" s="456"/>
      <c r="L195" s="454"/>
      <c r="M195" s="454"/>
      <c r="N195" s="454"/>
      <c r="O195" s="454"/>
      <c r="P195" s="454"/>
      <c r="Q195" s="454"/>
      <c r="R195" s="454"/>
      <c r="S195" s="454"/>
      <c r="T195" s="454"/>
      <c r="U195" s="454"/>
      <c r="V195" s="454"/>
      <c r="W195" s="454"/>
      <c r="X195" s="454"/>
      <c r="Y195" s="454"/>
      <c r="Z195" s="454"/>
      <c r="AA195" s="454"/>
      <c r="AB195" s="454"/>
    </row>
    <row r="196" spans="1:28">
      <c r="A196" s="331"/>
      <c r="B196" s="332"/>
      <c r="C196" s="454"/>
      <c r="D196" s="334"/>
      <c r="E196" s="333"/>
      <c r="F196" s="334"/>
      <c r="G196" s="334"/>
      <c r="H196" s="454"/>
      <c r="I196" s="455"/>
      <c r="J196" s="456"/>
      <c r="K196" s="456"/>
      <c r="L196" s="454"/>
      <c r="M196" s="454"/>
      <c r="N196" s="454"/>
      <c r="O196" s="454"/>
      <c r="P196" s="454"/>
      <c r="Q196" s="454"/>
      <c r="R196" s="454"/>
      <c r="S196" s="454"/>
      <c r="T196" s="454"/>
      <c r="U196" s="454"/>
      <c r="V196" s="454"/>
      <c r="W196" s="454"/>
      <c r="X196" s="454"/>
      <c r="Y196" s="454"/>
      <c r="Z196" s="454"/>
      <c r="AA196" s="454"/>
      <c r="AB196" s="454"/>
    </row>
    <row r="197" spans="1:28">
      <c r="A197" s="331"/>
      <c r="B197" s="332"/>
      <c r="C197" s="454"/>
      <c r="D197" s="334"/>
      <c r="E197" s="333"/>
      <c r="F197" s="334"/>
      <c r="G197" s="334"/>
      <c r="H197" s="454"/>
      <c r="I197" s="455"/>
      <c r="J197" s="456"/>
      <c r="K197" s="456"/>
      <c r="L197" s="454"/>
      <c r="M197" s="454"/>
      <c r="N197" s="454"/>
      <c r="O197" s="454"/>
      <c r="P197" s="454"/>
      <c r="Q197" s="454"/>
      <c r="R197" s="454"/>
      <c r="S197" s="454"/>
      <c r="T197" s="454"/>
      <c r="U197" s="454"/>
      <c r="V197" s="454"/>
      <c r="W197" s="454"/>
      <c r="X197" s="454"/>
      <c r="Y197" s="454"/>
      <c r="Z197" s="454"/>
      <c r="AA197" s="454"/>
      <c r="AB197" s="454"/>
    </row>
    <row r="198" spans="1:28">
      <c r="A198" s="331"/>
      <c r="B198" s="332"/>
      <c r="C198" s="454"/>
      <c r="D198" s="334"/>
      <c r="E198" s="333"/>
      <c r="F198" s="334"/>
      <c r="G198" s="334"/>
      <c r="H198" s="454"/>
      <c r="I198" s="455"/>
      <c r="J198" s="456"/>
      <c r="K198" s="456"/>
      <c r="L198" s="454"/>
      <c r="M198" s="454"/>
      <c r="N198" s="454"/>
      <c r="O198" s="454"/>
      <c r="P198" s="454"/>
      <c r="Q198" s="454"/>
      <c r="R198" s="454"/>
      <c r="S198" s="454"/>
      <c r="T198" s="454"/>
      <c r="U198" s="454"/>
      <c r="V198" s="454"/>
      <c r="W198" s="454"/>
      <c r="X198" s="454"/>
      <c r="Y198" s="454"/>
      <c r="Z198" s="454"/>
      <c r="AA198" s="454"/>
      <c r="AB198" s="454"/>
    </row>
    <row r="199" spans="1:28">
      <c r="A199" s="331"/>
      <c r="B199" s="332"/>
      <c r="C199" s="454"/>
      <c r="D199" s="334"/>
      <c r="E199" s="333"/>
      <c r="F199" s="334"/>
      <c r="G199" s="334"/>
      <c r="H199" s="454"/>
      <c r="I199" s="455"/>
      <c r="J199" s="456"/>
      <c r="K199" s="456"/>
      <c r="L199" s="454"/>
      <c r="M199" s="454"/>
      <c r="N199" s="454"/>
      <c r="O199" s="454"/>
      <c r="P199" s="454"/>
      <c r="Q199" s="454"/>
      <c r="R199" s="454"/>
      <c r="S199" s="454"/>
      <c r="T199" s="454"/>
      <c r="U199" s="454"/>
      <c r="V199" s="454"/>
      <c r="W199" s="454"/>
      <c r="X199" s="454"/>
      <c r="Y199" s="454"/>
      <c r="Z199" s="454"/>
      <c r="AA199" s="454"/>
      <c r="AB199" s="454"/>
    </row>
    <row r="200" spans="1:28">
      <c r="A200" s="331"/>
      <c r="B200" s="332"/>
      <c r="C200" s="454"/>
      <c r="D200" s="334"/>
      <c r="E200" s="333"/>
      <c r="F200" s="334"/>
      <c r="G200" s="334"/>
      <c r="H200" s="454"/>
      <c r="I200" s="455"/>
      <c r="J200" s="456"/>
      <c r="K200" s="456"/>
      <c r="L200" s="454"/>
      <c r="M200" s="454"/>
      <c r="N200" s="454"/>
      <c r="O200" s="454"/>
      <c r="P200" s="454"/>
      <c r="Q200" s="454"/>
      <c r="R200" s="454"/>
      <c r="S200" s="454"/>
      <c r="T200" s="454"/>
      <c r="U200" s="454"/>
      <c r="V200" s="454"/>
      <c r="W200" s="454"/>
      <c r="X200" s="454"/>
      <c r="Y200" s="454"/>
      <c r="Z200" s="454"/>
      <c r="AA200" s="454"/>
      <c r="AB200" s="454"/>
    </row>
    <row r="201" spans="1:28">
      <c r="A201" s="331"/>
      <c r="B201" s="332"/>
      <c r="C201" s="454"/>
      <c r="D201" s="334"/>
      <c r="E201" s="333"/>
      <c r="F201" s="334"/>
      <c r="G201" s="334"/>
      <c r="H201" s="454"/>
      <c r="I201" s="455"/>
      <c r="J201" s="456"/>
      <c r="K201" s="456"/>
      <c r="L201" s="454"/>
      <c r="M201" s="454"/>
      <c r="N201" s="454"/>
      <c r="O201" s="454"/>
      <c r="P201" s="454"/>
      <c r="Q201" s="454"/>
      <c r="R201" s="454"/>
      <c r="S201" s="454"/>
      <c r="T201" s="454"/>
      <c r="U201" s="454"/>
      <c r="V201" s="454"/>
      <c r="W201" s="454"/>
      <c r="X201" s="454"/>
      <c r="Y201" s="454"/>
      <c r="Z201" s="454"/>
      <c r="AA201" s="454"/>
      <c r="AB201" s="454"/>
    </row>
    <row r="202" spans="1:28">
      <c r="A202" s="331"/>
      <c r="B202" s="332"/>
      <c r="C202" s="454"/>
      <c r="D202" s="334"/>
      <c r="E202" s="333"/>
      <c r="F202" s="334"/>
      <c r="G202" s="334"/>
      <c r="H202" s="454"/>
      <c r="I202" s="455"/>
      <c r="J202" s="456"/>
      <c r="K202" s="456"/>
      <c r="L202" s="454"/>
      <c r="M202" s="454"/>
      <c r="N202" s="454"/>
      <c r="O202" s="454"/>
      <c r="P202" s="454"/>
      <c r="Q202" s="454"/>
      <c r="R202" s="454"/>
      <c r="S202" s="454"/>
      <c r="T202" s="454"/>
      <c r="U202" s="454"/>
      <c r="V202" s="454"/>
      <c r="W202" s="454"/>
      <c r="X202" s="454"/>
      <c r="Y202" s="454"/>
      <c r="Z202" s="454"/>
      <c r="AA202" s="454"/>
      <c r="AB202" s="454"/>
    </row>
    <row r="203" spans="1:28">
      <c r="A203" s="331"/>
      <c r="B203" s="332"/>
      <c r="C203" s="454"/>
      <c r="D203" s="334"/>
      <c r="E203" s="333"/>
      <c r="F203" s="334"/>
      <c r="G203" s="334"/>
      <c r="H203" s="454"/>
      <c r="I203" s="455"/>
      <c r="J203" s="456"/>
      <c r="K203" s="456"/>
      <c r="L203" s="454"/>
      <c r="M203" s="454"/>
      <c r="N203" s="454"/>
      <c r="O203" s="454"/>
      <c r="P203" s="454"/>
      <c r="Q203" s="454"/>
      <c r="R203" s="454"/>
      <c r="S203" s="454"/>
      <c r="T203" s="454"/>
      <c r="U203" s="454"/>
      <c r="V203" s="454"/>
      <c r="W203" s="454"/>
      <c r="X203" s="454"/>
      <c r="Y203" s="454"/>
      <c r="Z203" s="454"/>
      <c r="AA203" s="454"/>
      <c r="AB203" s="454"/>
    </row>
    <row r="204" spans="1:28">
      <c r="A204" s="331"/>
      <c r="B204" s="332"/>
      <c r="C204" s="454"/>
      <c r="D204" s="334"/>
      <c r="E204" s="333"/>
      <c r="F204" s="334"/>
      <c r="G204" s="334"/>
      <c r="H204" s="454"/>
      <c r="I204" s="455"/>
      <c r="J204" s="456"/>
      <c r="K204" s="456"/>
      <c r="L204" s="454"/>
      <c r="M204" s="454"/>
      <c r="N204" s="454"/>
      <c r="O204" s="454"/>
      <c r="P204" s="454"/>
      <c r="Q204" s="454"/>
      <c r="R204" s="454"/>
      <c r="S204" s="454"/>
      <c r="T204" s="454"/>
      <c r="U204" s="454"/>
      <c r="V204" s="454"/>
      <c r="W204" s="454"/>
      <c r="X204" s="454"/>
      <c r="Y204" s="454"/>
      <c r="Z204" s="454"/>
      <c r="AA204" s="454"/>
      <c r="AB204" s="454"/>
    </row>
    <row r="205" spans="1:28">
      <c r="A205" s="331"/>
      <c r="B205" s="332"/>
      <c r="C205" s="454"/>
      <c r="D205" s="334"/>
      <c r="E205" s="333"/>
      <c r="F205" s="334"/>
      <c r="G205" s="334"/>
      <c r="H205" s="454"/>
      <c r="I205" s="455"/>
      <c r="J205" s="456"/>
      <c r="K205" s="456"/>
      <c r="L205" s="454"/>
      <c r="M205" s="454"/>
      <c r="N205" s="454"/>
      <c r="O205" s="454"/>
      <c r="P205" s="454"/>
      <c r="Q205" s="454"/>
      <c r="R205" s="454"/>
      <c r="S205" s="454"/>
      <c r="T205" s="454"/>
      <c r="U205" s="454"/>
      <c r="V205" s="454"/>
      <c r="W205" s="454"/>
      <c r="X205" s="454"/>
      <c r="Y205" s="454"/>
      <c r="Z205" s="454"/>
      <c r="AA205" s="454"/>
      <c r="AB205" s="454"/>
    </row>
    <row r="206" spans="1:28">
      <c r="A206" s="331"/>
      <c r="B206" s="332"/>
      <c r="C206" s="454"/>
      <c r="D206" s="334"/>
      <c r="E206" s="333"/>
      <c r="F206" s="334"/>
      <c r="G206" s="334"/>
      <c r="H206" s="454"/>
      <c r="I206" s="455"/>
      <c r="J206" s="456"/>
      <c r="K206" s="456"/>
      <c r="L206" s="454"/>
      <c r="M206" s="454"/>
      <c r="N206" s="454"/>
      <c r="O206" s="454"/>
      <c r="P206" s="454"/>
      <c r="Q206" s="454"/>
      <c r="R206" s="454"/>
      <c r="S206" s="454"/>
      <c r="T206" s="454"/>
      <c r="U206" s="454"/>
      <c r="V206" s="454"/>
      <c r="W206" s="454"/>
      <c r="X206" s="454"/>
      <c r="Y206" s="454"/>
      <c r="Z206" s="454"/>
      <c r="AA206" s="454"/>
      <c r="AB206" s="454"/>
    </row>
    <row r="207" spans="1:28">
      <c r="A207" s="331"/>
      <c r="B207" s="332"/>
      <c r="C207" s="454"/>
      <c r="D207" s="334"/>
      <c r="E207" s="333"/>
      <c r="F207" s="334"/>
      <c r="G207" s="334"/>
      <c r="H207" s="454"/>
      <c r="I207" s="455"/>
      <c r="J207" s="456"/>
      <c r="K207" s="456"/>
      <c r="L207" s="454"/>
      <c r="M207" s="454"/>
      <c r="N207" s="454"/>
      <c r="O207" s="454"/>
      <c r="P207" s="454"/>
      <c r="Q207" s="454"/>
      <c r="R207" s="454"/>
      <c r="S207" s="454"/>
      <c r="T207" s="454"/>
      <c r="U207" s="454"/>
      <c r="V207" s="454"/>
      <c r="W207" s="454"/>
      <c r="X207" s="454"/>
      <c r="Y207" s="454"/>
      <c r="Z207" s="454"/>
      <c r="AA207" s="454"/>
      <c r="AB207" s="454"/>
    </row>
    <row r="208" spans="1:28">
      <c r="A208" s="331"/>
      <c r="B208" s="332"/>
      <c r="C208" s="454"/>
      <c r="D208" s="334"/>
      <c r="E208" s="333"/>
      <c r="F208" s="334"/>
      <c r="G208" s="334"/>
      <c r="H208" s="454"/>
      <c r="I208" s="455"/>
      <c r="J208" s="456"/>
      <c r="K208" s="456"/>
      <c r="L208" s="454"/>
      <c r="M208" s="454"/>
      <c r="N208" s="454"/>
      <c r="O208" s="454"/>
      <c r="P208" s="454"/>
      <c r="Q208" s="454"/>
      <c r="R208" s="454"/>
      <c r="S208" s="454"/>
      <c r="T208" s="454"/>
      <c r="U208" s="454"/>
      <c r="V208" s="454"/>
      <c r="W208" s="454"/>
      <c r="X208" s="454"/>
      <c r="Y208" s="454"/>
      <c r="Z208" s="454"/>
      <c r="AA208" s="454"/>
      <c r="AB208" s="454"/>
    </row>
    <row r="209" spans="1:28">
      <c r="A209" s="331"/>
      <c r="B209" s="332"/>
      <c r="C209" s="454"/>
      <c r="D209" s="334"/>
      <c r="E209" s="333"/>
      <c r="F209" s="334"/>
      <c r="G209" s="334"/>
      <c r="H209" s="454"/>
      <c r="I209" s="455"/>
      <c r="J209" s="456"/>
      <c r="K209" s="456"/>
      <c r="L209" s="454"/>
      <c r="M209" s="454"/>
      <c r="N209" s="454"/>
      <c r="O209" s="454"/>
      <c r="P209" s="454"/>
      <c r="Q209" s="454"/>
      <c r="R209" s="454"/>
      <c r="S209" s="454"/>
      <c r="T209" s="454"/>
      <c r="U209" s="454"/>
      <c r="V209" s="454"/>
      <c r="W209" s="454"/>
      <c r="X209" s="454"/>
      <c r="Y209" s="454"/>
      <c r="Z209" s="454"/>
      <c r="AA209" s="454"/>
      <c r="AB209" s="454"/>
    </row>
    <row r="210" spans="1:28">
      <c r="A210" s="331"/>
      <c r="B210" s="332"/>
      <c r="C210" s="454"/>
      <c r="D210" s="334"/>
      <c r="E210" s="333"/>
      <c r="F210" s="334"/>
      <c r="G210" s="334"/>
      <c r="H210" s="454"/>
      <c r="I210" s="455"/>
      <c r="J210" s="456"/>
      <c r="K210" s="456"/>
      <c r="L210" s="454"/>
      <c r="M210" s="454"/>
      <c r="N210" s="454"/>
      <c r="O210" s="454"/>
      <c r="P210" s="454"/>
      <c r="Q210" s="454"/>
      <c r="R210" s="454"/>
      <c r="S210" s="454"/>
      <c r="T210" s="454"/>
      <c r="U210" s="454"/>
      <c r="V210" s="454"/>
      <c r="W210" s="454"/>
      <c r="X210" s="454"/>
      <c r="Y210" s="454"/>
      <c r="Z210" s="454"/>
      <c r="AA210" s="454"/>
      <c r="AB210" s="454"/>
    </row>
    <row r="211" spans="1:28">
      <c r="A211" s="331"/>
      <c r="B211" s="332"/>
      <c r="C211" s="454"/>
      <c r="D211" s="334"/>
      <c r="E211" s="333"/>
      <c r="F211" s="334"/>
      <c r="G211" s="334"/>
      <c r="H211" s="454"/>
      <c r="I211" s="455"/>
      <c r="J211" s="456"/>
      <c r="K211" s="456"/>
      <c r="L211" s="454"/>
      <c r="M211" s="454"/>
      <c r="N211" s="454"/>
      <c r="O211" s="454"/>
      <c r="P211" s="454"/>
      <c r="Q211" s="454"/>
      <c r="R211" s="454"/>
      <c r="S211" s="454"/>
      <c r="T211" s="454"/>
      <c r="U211" s="454"/>
      <c r="V211" s="454"/>
      <c r="W211" s="454"/>
      <c r="X211" s="454"/>
      <c r="Y211" s="454"/>
      <c r="Z211" s="454"/>
      <c r="AA211" s="454"/>
      <c r="AB211" s="454"/>
    </row>
    <row r="212" spans="1:28">
      <c r="A212" s="331"/>
      <c r="B212" s="332"/>
      <c r="C212" s="454"/>
      <c r="D212" s="334"/>
      <c r="E212" s="333"/>
      <c r="F212" s="334"/>
      <c r="G212" s="334"/>
      <c r="H212" s="454"/>
      <c r="I212" s="455"/>
      <c r="J212" s="456"/>
      <c r="K212" s="456"/>
      <c r="L212" s="454"/>
      <c r="M212" s="454"/>
      <c r="N212" s="454"/>
      <c r="O212" s="454"/>
      <c r="P212" s="454"/>
      <c r="Q212" s="454"/>
      <c r="R212" s="454"/>
      <c r="S212" s="454"/>
      <c r="T212" s="454"/>
      <c r="U212" s="454"/>
      <c r="V212" s="454"/>
      <c r="W212" s="454"/>
      <c r="X212" s="454"/>
      <c r="Y212" s="454"/>
      <c r="Z212" s="454"/>
      <c r="AA212" s="454"/>
      <c r="AB212" s="454"/>
    </row>
    <row r="213" spans="1:28">
      <c r="A213" s="331"/>
      <c r="B213" s="332"/>
      <c r="C213" s="454"/>
      <c r="D213" s="334"/>
      <c r="E213" s="333"/>
      <c r="F213" s="334"/>
      <c r="G213" s="334"/>
      <c r="H213" s="454"/>
      <c r="I213" s="455"/>
      <c r="J213" s="456"/>
      <c r="K213" s="456"/>
      <c r="L213" s="454"/>
      <c r="M213" s="454"/>
      <c r="N213" s="454"/>
      <c r="O213" s="454"/>
      <c r="P213" s="454"/>
      <c r="Q213" s="454"/>
      <c r="R213" s="454"/>
      <c r="S213" s="454"/>
      <c r="T213" s="454"/>
      <c r="U213" s="454"/>
      <c r="V213" s="454"/>
      <c r="W213" s="454"/>
      <c r="X213" s="454"/>
      <c r="Y213" s="454"/>
      <c r="Z213" s="454"/>
      <c r="AA213" s="454"/>
      <c r="AB213" s="454"/>
    </row>
    <row r="214" spans="1:28">
      <c r="A214" s="331"/>
      <c r="B214" s="332"/>
      <c r="C214" s="454"/>
      <c r="D214" s="334"/>
      <c r="E214" s="333"/>
      <c r="F214" s="334"/>
      <c r="G214" s="334"/>
      <c r="H214" s="454"/>
      <c r="I214" s="455"/>
      <c r="J214" s="456"/>
      <c r="K214" s="456"/>
      <c r="L214" s="454"/>
      <c r="M214" s="454"/>
      <c r="N214" s="454"/>
      <c r="O214" s="454"/>
      <c r="P214" s="454"/>
      <c r="Q214" s="454"/>
      <c r="R214" s="454"/>
      <c r="S214" s="454"/>
      <c r="T214" s="454"/>
      <c r="U214" s="454"/>
      <c r="V214" s="454"/>
      <c r="W214" s="454"/>
      <c r="X214" s="454"/>
      <c r="Y214" s="454"/>
      <c r="Z214" s="454"/>
      <c r="AA214" s="454"/>
      <c r="AB214" s="454"/>
    </row>
    <row r="215" spans="1:28">
      <c r="A215" s="331"/>
      <c r="B215" s="332"/>
      <c r="C215" s="454"/>
      <c r="D215" s="334"/>
      <c r="E215" s="333"/>
      <c r="F215" s="334"/>
      <c r="G215" s="334"/>
      <c r="H215" s="454"/>
      <c r="I215" s="455"/>
      <c r="J215" s="456"/>
      <c r="K215" s="456"/>
      <c r="L215" s="454"/>
      <c r="M215" s="454"/>
      <c r="N215" s="454"/>
      <c r="O215" s="454"/>
      <c r="P215" s="454"/>
      <c r="Q215" s="454"/>
      <c r="R215" s="454"/>
      <c r="S215" s="454"/>
      <c r="T215" s="454"/>
      <c r="U215" s="454"/>
      <c r="V215" s="454"/>
      <c r="W215" s="454"/>
      <c r="X215" s="454"/>
      <c r="Y215" s="454"/>
      <c r="Z215" s="454"/>
      <c r="AA215" s="454"/>
      <c r="AB215" s="454"/>
    </row>
    <row r="216" spans="1:28">
      <c r="A216" s="331"/>
      <c r="B216" s="332"/>
      <c r="C216" s="454"/>
      <c r="D216" s="110"/>
      <c r="E216" s="333"/>
      <c r="F216" s="334"/>
      <c r="G216" s="334"/>
      <c r="H216" s="454"/>
      <c r="I216" s="455"/>
      <c r="J216" s="456"/>
      <c r="K216" s="456"/>
      <c r="L216" s="454"/>
      <c r="M216" s="454"/>
      <c r="N216" s="454"/>
      <c r="O216" s="454"/>
      <c r="P216" s="454"/>
      <c r="Q216" s="454"/>
      <c r="R216" s="454"/>
      <c r="S216" s="454"/>
      <c r="T216" s="454"/>
      <c r="U216" s="454"/>
      <c r="V216" s="454"/>
      <c r="W216" s="454"/>
      <c r="X216" s="454"/>
      <c r="Y216" s="454"/>
      <c r="Z216" s="454"/>
      <c r="AA216" s="454"/>
      <c r="AB216" s="454"/>
    </row>
    <row r="217" spans="1:28">
      <c r="A217" s="331"/>
      <c r="B217" s="332"/>
      <c r="C217" s="454"/>
      <c r="D217" s="334"/>
      <c r="E217" s="333"/>
      <c r="F217" s="334"/>
      <c r="G217" s="334"/>
      <c r="H217" s="454"/>
      <c r="I217" s="455"/>
      <c r="J217" s="456"/>
      <c r="K217" s="456"/>
      <c r="L217" s="454"/>
      <c r="M217" s="454"/>
      <c r="N217" s="454"/>
      <c r="O217" s="454"/>
      <c r="P217" s="454"/>
      <c r="Q217" s="454"/>
      <c r="R217" s="454"/>
      <c r="S217" s="454"/>
      <c r="T217" s="454"/>
      <c r="U217" s="454"/>
      <c r="V217" s="454"/>
      <c r="W217" s="454"/>
      <c r="X217" s="454"/>
      <c r="Y217" s="454"/>
      <c r="Z217" s="454"/>
      <c r="AA217" s="454"/>
      <c r="AB217" s="454"/>
    </row>
    <row r="218" spans="1:28">
      <c r="A218" s="331"/>
      <c r="B218" s="332"/>
      <c r="C218" s="454"/>
      <c r="D218" s="335"/>
      <c r="E218" s="333"/>
      <c r="F218" s="335"/>
      <c r="G218" s="335"/>
      <c r="H218" s="454"/>
      <c r="I218" s="455"/>
      <c r="J218" s="456"/>
      <c r="K218" s="456"/>
      <c r="L218" s="454"/>
      <c r="M218" s="454"/>
      <c r="N218" s="454"/>
      <c r="O218" s="454"/>
      <c r="P218" s="454"/>
      <c r="Q218" s="454"/>
      <c r="R218" s="454"/>
      <c r="S218" s="454"/>
      <c r="T218" s="454"/>
      <c r="U218" s="454"/>
      <c r="V218" s="454"/>
      <c r="W218" s="454"/>
      <c r="X218" s="454"/>
      <c r="Y218" s="454"/>
      <c r="Z218" s="454"/>
      <c r="AA218" s="454"/>
      <c r="AB218" s="454"/>
    </row>
    <row r="219" spans="1:28">
      <c r="A219" s="331"/>
      <c r="B219" s="332"/>
      <c r="C219" s="454"/>
      <c r="D219" s="334"/>
      <c r="E219" s="333"/>
      <c r="F219" s="334"/>
      <c r="G219" s="334"/>
      <c r="H219" s="454"/>
      <c r="I219" s="455"/>
      <c r="J219" s="456"/>
      <c r="K219" s="456"/>
      <c r="L219" s="454"/>
      <c r="M219" s="454"/>
      <c r="N219" s="454"/>
      <c r="O219" s="454"/>
      <c r="P219" s="454"/>
      <c r="Q219" s="454"/>
      <c r="R219" s="454"/>
      <c r="S219" s="454"/>
      <c r="T219" s="454"/>
      <c r="U219" s="454"/>
      <c r="V219" s="454"/>
      <c r="W219" s="454"/>
      <c r="X219" s="454"/>
      <c r="Y219" s="454"/>
      <c r="Z219" s="454"/>
      <c r="AA219" s="454"/>
      <c r="AB219" s="454"/>
    </row>
    <row r="220" spans="1:28">
      <c r="A220" s="331"/>
      <c r="B220" s="332"/>
      <c r="C220" s="454"/>
      <c r="D220" s="334"/>
      <c r="E220" s="333"/>
      <c r="F220" s="334"/>
      <c r="G220" s="334"/>
      <c r="H220" s="454"/>
      <c r="I220" s="455"/>
      <c r="J220" s="456"/>
      <c r="K220" s="456"/>
      <c r="L220" s="454"/>
      <c r="M220" s="454"/>
      <c r="N220" s="454"/>
      <c r="O220" s="454"/>
      <c r="P220" s="454"/>
      <c r="Q220" s="454"/>
      <c r="R220" s="454"/>
      <c r="S220" s="454"/>
      <c r="T220" s="454"/>
      <c r="U220" s="454"/>
      <c r="V220" s="454"/>
      <c r="W220" s="454"/>
      <c r="X220" s="454"/>
      <c r="Y220" s="454"/>
      <c r="Z220" s="454"/>
      <c r="AA220" s="454"/>
      <c r="AB220" s="454"/>
    </row>
    <row r="221" spans="1:28">
      <c r="A221" s="331"/>
      <c r="B221" s="332"/>
      <c r="C221" s="454"/>
      <c r="D221" s="334"/>
      <c r="E221" s="333"/>
      <c r="F221" s="334"/>
      <c r="G221" s="334"/>
      <c r="H221" s="454"/>
      <c r="I221" s="455"/>
      <c r="J221" s="456"/>
      <c r="K221" s="456"/>
      <c r="L221" s="454"/>
      <c r="M221" s="454"/>
      <c r="N221" s="454"/>
      <c r="O221" s="454"/>
      <c r="P221" s="454"/>
      <c r="Q221" s="454"/>
      <c r="R221" s="454"/>
      <c r="S221" s="454"/>
      <c r="T221" s="454"/>
      <c r="U221" s="454"/>
      <c r="V221" s="454"/>
      <c r="W221" s="454"/>
      <c r="X221" s="454"/>
      <c r="Y221" s="454"/>
      <c r="Z221" s="454"/>
      <c r="AA221" s="454"/>
      <c r="AB221" s="454"/>
    </row>
    <row r="222" spans="1:28">
      <c r="A222" s="331"/>
      <c r="B222" s="332"/>
      <c r="C222" s="454"/>
      <c r="D222" s="334"/>
      <c r="E222" s="333"/>
      <c r="F222" s="334"/>
      <c r="G222" s="334"/>
      <c r="H222" s="454"/>
      <c r="I222" s="455"/>
      <c r="J222" s="456"/>
      <c r="K222" s="456"/>
      <c r="L222" s="454"/>
      <c r="M222" s="454"/>
      <c r="N222" s="454"/>
      <c r="O222" s="454"/>
      <c r="P222" s="454"/>
      <c r="Q222" s="454"/>
      <c r="R222" s="454"/>
      <c r="S222" s="454"/>
      <c r="T222" s="454"/>
      <c r="U222" s="454"/>
      <c r="V222" s="454"/>
      <c r="W222" s="454"/>
      <c r="X222" s="454"/>
      <c r="Y222" s="454"/>
      <c r="Z222" s="454"/>
      <c r="AA222" s="454"/>
      <c r="AB222" s="454"/>
    </row>
    <row r="223" spans="1:28">
      <c r="A223" s="331"/>
      <c r="B223" s="332"/>
      <c r="C223" s="454"/>
      <c r="D223" s="334"/>
      <c r="E223" s="333"/>
      <c r="F223" s="334"/>
      <c r="G223" s="334"/>
      <c r="H223" s="454"/>
      <c r="I223" s="455"/>
      <c r="J223" s="456"/>
      <c r="K223" s="456"/>
      <c r="L223" s="454"/>
      <c r="M223" s="454"/>
      <c r="N223" s="454"/>
      <c r="O223" s="454"/>
      <c r="P223" s="454"/>
      <c r="Q223" s="454"/>
      <c r="R223" s="454"/>
      <c r="S223" s="454"/>
      <c r="T223" s="454"/>
      <c r="U223" s="454"/>
      <c r="V223" s="454"/>
      <c r="W223" s="454"/>
      <c r="X223" s="454"/>
      <c r="Y223" s="454"/>
      <c r="Z223" s="454"/>
      <c r="AA223" s="454"/>
      <c r="AB223" s="454"/>
    </row>
    <row r="224" spans="1:28">
      <c r="A224" s="331"/>
      <c r="B224" s="332"/>
      <c r="C224" s="454"/>
      <c r="D224" s="334"/>
      <c r="E224" s="333"/>
      <c r="F224" s="334"/>
      <c r="G224" s="334"/>
      <c r="H224" s="454"/>
      <c r="I224" s="455"/>
      <c r="J224" s="456"/>
      <c r="K224" s="456"/>
      <c r="L224" s="454"/>
      <c r="M224" s="454"/>
      <c r="N224" s="454"/>
      <c r="O224" s="454"/>
      <c r="P224" s="454"/>
      <c r="Q224" s="454"/>
      <c r="R224" s="454"/>
      <c r="S224" s="454"/>
      <c r="T224" s="454"/>
      <c r="U224" s="454"/>
      <c r="V224" s="454"/>
      <c r="W224" s="454"/>
      <c r="X224" s="454"/>
      <c r="Y224" s="454"/>
      <c r="Z224" s="454"/>
      <c r="AA224" s="454"/>
      <c r="AB224" s="454"/>
    </row>
    <row r="225" spans="1:28">
      <c r="A225" s="331"/>
      <c r="B225" s="332"/>
      <c r="C225" s="454"/>
      <c r="D225" s="334"/>
      <c r="E225" s="333"/>
      <c r="F225" s="334"/>
      <c r="G225" s="334"/>
      <c r="H225" s="454"/>
      <c r="I225" s="455"/>
      <c r="J225" s="456"/>
      <c r="K225" s="456"/>
      <c r="L225" s="454"/>
      <c r="M225" s="454"/>
      <c r="N225" s="454"/>
      <c r="O225" s="454"/>
      <c r="P225" s="454"/>
      <c r="Q225" s="454"/>
      <c r="R225" s="454"/>
      <c r="S225" s="454"/>
      <c r="T225" s="454"/>
      <c r="U225" s="454"/>
      <c r="V225" s="454"/>
      <c r="W225" s="454"/>
      <c r="X225" s="454"/>
      <c r="Y225" s="454"/>
      <c r="Z225" s="454"/>
      <c r="AA225" s="454"/>
      <c r="AB225" s="454"/>
    </row>
    <row r="226" spans="1:28">
      <c r="A226" s="331"/>
      <c r="B226" s="332"/>
      <c r="C226" s="454"/>
      <c r="D226" s="334"/>
      <c r="E226" s="333"/>
      <c r="F226" s="334"/>
      <c r="G226" s="334"/>
      <c r="H226" s="454"/>
      <c r="I226" s="455"/>
      <c r="J226" s="456"/>
      <c r="K226" s="456"/>
      <c r="L226" s="454"/>
      <c r="M226" s="454"/>
      <c r="N226" s="454"/>
      <c r="O226" s="454"/>
      <c r="P226" s="454"/>
      <c r="Q226" s="454"/>
      <c r="R226" s="454"/>
      <c r="S226" s="454"/>
      <c r="T226" s="454"/>
      <c r="U226" s="454"/>
      <c r="V226" s="454"/>
      <c r="W226" s="454"/>
      <c r="X226" s="454"/>
      <c r="Y226" s="454"/>
      <c r="Z226" s="454"/>
      <c r="AA226" s="454"/>
      <c r="AB226" s="454"/>
    </row>
    <row r="227" spans="1:28">
      <c r="A227" s="331"/>
      <c r="B227" s="332"/>
      <c r="C227" s="454"/>
      <c r="D227" s="334"/>
      <c r="E227" s="333"/>
      <c r="F227" s="334"/>
      <c r="G227" s="334"/>
      <c r="H227" s="454"/>
      <c r="I227" s="455"/>
      <c r="J227" s="456"/>
      <c r="K227" s="456"/>
      <c r="L227" s="454"/>
      <c r="M227" s="454"/>
      <c r="N227" s="454"/>
      <c r="O227" s="454"/>
      <c r="P227" s="454"/>
      <c r="Q227" s="454"/>
      <c r="R227" s="454"/>
      <c r="S227" s="454"/>
      <c r="T227" s="454"/>
      <c r="U227" s="454"/>
      <c r="V227" s="454"/>
      <c r="W227" s="454"/>
      <c r="X227" s="454"/>
      <c r="Y227" s="454"/>
      <c r="Z227" s="454"/>
      <c r="AA227" s="454"/>
      <c r="AB227" s="454"/>
    </row>
    <row r="228" spans="1:28">
      <c r="A228" s="331"/>
      <c r="B228" s="332"/>
      <c r="C228" s="454"/>
      <c r="D228" s="334"/>
      <c r="E228" s="333"/>
      <c r="F228" s="334"/>
      <c r="G228" s="334"/>
      <c r="H228" s="454"/>
      <c r="I228" s="455"/>
      <c r="J228" s="456"/>
      <c r="K228" s="456"/>
      <c r="L228" s="454"/>
      <c r="M228" s="454"/>
      <c r="N228" s="454"/>
      <c r="O228" s="454"/>
      <c r="P228" s="454"/>
      <c r="Q228" s="454"/>
      <c r="R228" s="454"/>
      <c r="S228" s="454"/>
      <c r="T228" s="454"/>
      <c r="U228" s="454"/>
      <c r="V228" s="454"/>
      <c r="W228" s="454"/>
      <c r="X228" s="454"/>
      <c r="Y228" s="454"/>
      <c r="Z228" s="454"/>
      <c r="AA228" s="454"/>
      <c r="AB228" s="454"/>
    </row>
    <row r="229" spans="1:28">
      <c r="A229" s="331"/>
      <c r="B229" s="332"/>
      <c r="C229" s="454"/>
      <c r="D229" s="334"/>
      <c r="E229" s="333"/>
      <c r="F229" s="334"/>
      <c r="G229" s="334"/>
      <c r="H229" s="454"/>
      <c r="I229" s="455"/>
      <c r="J229" s="456"/>
      <c r="K229" s="456"/>
      <c r="L229" s="454"/>
      <c r="M229" s="454"/>
      <c r="N229" s="454"/>
      <c r="O229" s="454"/>
      <c r="P229" s="454"/>
      <c r="Q229" s="454"/>
      <c r="R229" s="454"/>
      <c r="S229" s="454"/>
      <c r="T229" s="454"/>
      <c r="U229" s="454"/>
      <c r="V229" s="454"/>
      <c r="W229" s="454"/>
      <c r="X229" s="454"/>
      <c r="Y229" s="454"/>
      <c r="Z229" s="454"/>
      <c r="AA229" s="454"/>
      <c r="AB229" s="454"/>
    </row>
    <row r="230" spans="1:28">
      <c r="A230" s="331"/>
      <c r="B230" s="332"/>
      <c r="C230" s="454"/>
      <c r="D230" s="334"/>
      <c r="E230" s="333"/>
      <c r="F230" s="334"/>
      <c r="G230" s="334"/>
      <c r="H230" s="454"/>
      <c r="I230" s="455"/>
      <c r="J230" s="456"/>
      <c r="K230" s="456"/>
      <c r="L230" s="454"/>
      <c r="M230" s="454"/>
      <c r="N230" s="454"/>
      <c r="O230" s="454"/>
      <c r="P230" s="454"/>
      <c r="Q230" s="454"/>
      <c r="R230" s="454"/>
      <c r="S230" s="454"/>
      <c r="T230" s="454"/>
      <c r="U230" s="454"/>
      <c r="V230" s="454"/>
      <c r="W230" s="454"/>
      <c r="X230" s="454"/>
      <c r="Y230" s="454"/>
      <c r="Z230" s="454"/>
      <c r="AA230" s="454"/>
      <c r="AB230" s="454"/>
    </row>
    <row r="231" spans="1:28">
      <c r="A231" s="331"/>
      <c r="B231" s="332"/>
      <c r="C231" s="454"/>
      <c r="D231" s="334"/>
      <c r="E231" s="333"/>
      <c r="F231" s="334"/>
      <c r="G231" s="334"/>
      <c r="H231" s="454"/>
      <c r="I231" s="455"/>
      <c r="J231" s="456"/>
      <c r="K231" s="456"/>
      <c r="L231" s="454"/>
      <c r="M231" s="454"/>
      <c r="N231" s="454"/>
      <c r="O231" s="454"/>
      <c r="P231" s="454"/>
      <c r="Q231" s="454"/>
      <c r="R231" s="454"/>
      <c r="S231" s="454"/>
      <c r="T231" s="454"/>
      <c r="U231" s="454"/>
      <c r="V231" s="454"/>
      <c r="W231" s="454"/>
      <c r="X231" s="454"/>
      <c r="Y231" s="454"/>
      <c r="Z231" s="454"/>
      <c r="AA231" s="454"/>
      <c r="AB231" s="454"/>
    </row>
    <row r="232" spans="1:28">
      <c r="A232" s="331"/>
      <c r="B232" s="332"/>
      <c r="C232" s="454"/>
      <c r="D232" s="334"/>
      <c r="E232" s="333"/>
      <c r="F232" s="334"/>
      <c r="G232" s="334"/>
      <c r="H232" s="454"/>
      <c r="I232" s="455"/>
      <c r="J232" s="456"/>
      <c r="K232" s="456"/>
      <c r="L232" s="454"/>
      <c r="M232" s="454"/>
      <c r="N232" s="454"/>
      <c r="O232" s="454"/>
      <c r="P232" s="454"/>
      <c r="Q232" s="454"/>
      <c r="R232" s="454"/>
      <c r="S232" s="454"/>
      <c r="T232" s="454"/>
      <c r="U232" s="454"/>
      <c r="V232" s="454"/>
      <c r="W232" s="454"/>
      <c r="X232" s="454"/>
      <c r="Y232" s="454"/>
      <c r="Z232" s="454"/>
      <c r="AA232" s="454"/>
      <c r="AB232" s="454"/>
    </row>
    <row r="233" spans="1:28">
      <c r="A233" s="331"/>
      <c r="B233" s="332"/>
      <c r="C233" s="454"/>
      <c r="D233" s="334"/>
      <c r="E233" s="333"/>
      <c r="F233" s="334"/>
      <c r="G233" s="334"/>
      <c r="H233" s="454"/>
      <c r="I233" s="455"/>
      <c r="J233" s="456"/>
      <c r="K233" s="456"/>
      <c r="L233" s="454"/>
      <c r="M233" s="454"/>
      <c r="N233" s="454"/>
      <c r="O233" s="454"/>
      <c r="P233" s="454"/>
      <c r="Q233" s="454"/>
      <c r="R233" s="454"/>
      <c r="S233" s="454"/>
      <c r="T233" s="454"/>
      <c r="U233" s="454"/>
      <c r="V233" s="454"/>
      <c r="W233" s="454"/>
      <c r="X233" s="454"/>
      <c r="Y233" s="454"/>
      <c r="Z233" s="454"/>
      <c r="AA233" s="454"/>
      <c r="AB233" s="454"/>
    </row>
    <row r="234" spans="1:28">
      <c r="A234" s="331"/>
      <c r="B234" s="332"/>
      <c r="C234" s="454"/>
      <c r="D234" s="334"/>
      <c r="E234" s="333"/>
      <c r="F234" s="334"/>
      <c r="G234" s="334"/>
      <c r="H234" s="454"/>
      <c r="I234" s="455"/>
      <c r="J234" s="456"/>
      <c r="K234" s="456"/>
      <c r="L234" s="454"/>
      <c r="M234" s="454"/>
      <c r="N234" s="454"/>
      <c r="O234" s="454"/>
      <c r="P234" s="454"/>
      <c r="Q234" s="454"/>
      <c r="R234" s="454"/>
      <c r="S234" s="454"/>
      <c r="T234" s="454"/>
      <c r="U234" s="454"/>
      <c r="V234" s="454"/>
      <c r="W234" s="454"/>
      <c r="X234" s="454"/>
      <c r="Y234" s="454"/>
      <c r="Z234" s="454"/>
      <c r="AA234" s="454"/>
      <c r="AB234" s="454"/>
    </row>
    <row r="235" spans="1:28">
      <c r="A235" s="331"/>
      <c r="B235" s="332"/>
      <c r="C235" s="454"/>
      <c r="D235" s="334"/>
      <c r="E235" s="333"/>
      <c r="F235" s="334"/>
      <c r="G235" s="334"/>
      <c r="H235" s="454"/>
      <c r="I235" s="455"/>
      <c r="J235" s="456"/>
      <c r="K235" s="456"/>
      <c r="L235" s="454"/>
      <c r="M235" s="454"/>
      <c r="N235" s="454"/>
      <c r="O235" s="454"/>
      <c r="P235" s="454"/>
      <c r="Q235" s="454"/>
      <c r="R235" s="454"/>
      <c r="S235" s="454"/>
      <c r="T235" s="454"/>
      <c r="U235" s="454"/>
      <c r="V235" s="454"/>
      <c r="W235" s="454"/>
      <c r="X235" s="454"/>
      <c r="Y235" s="454"/>
      <c r="Z235" s="454"/>
      <c r="AA235" s="454"/>
      <c r="AB235" s="454"/>
    </row>
    <row r="236" spans="1:28">
      <c r="A236" s="331"/>
      <c r="B236" s="332"/>
      <c r="C236" s="454"/>
      <c r="D236" s="334"/>
      <c r="E236" s="333"/>
      <c r="F236" s="334"/>
      <c r="G236" s="334"/>
      <c r="H236" s="454"/>
      <c r="I236" s="455"/>
      <c r="J236" s="456"/>
      <c r="K236" s="456"/>
      <c r="L236" s="454"/>
      <c r="M236" s="454"/>
      <c r="N236" s="454"/>
      <c r="O236" s="454"/>
      <c r="P236" s="454"/>
      <c r="Q236" s="454"/>
      <c r="R236" s="454"/>
      <c r="S236" s="454"/>
      <c r="T236" s="454"/>
      <c r="U236" s="454"/>
      <c r="V236" s="454"/>
      <c r="W236" s="454"/>
      <c r="X236" s="454"/>
      <c r="Y236" s="454"/>
      <c r="Z236" s="454"/>
      <c r="AA236" s="454"/>
      <c r="AB236" s="454"/>
    </row>
    <row r="237" spans="1:28">
      <c r="A237" s="331"/>
      <c r="B237" s="332"/>
      <c r="C237" s="454"/>
      <c r="D237" s="334"/>
      <c r="E237" s="333"/>
      <c r="F237" s="334"/>
      <c r="G237" s="334"/>
      <c r="H237" s="454"/>
      <c r="I237" s="455"/>
      <c r="J237" s="456"/>
      <c r="K237" s="456"/>
      <c r="L237" s="454"/>
      <c r="M237" s="454"/>
      <c r="N237" s="454"/>
      <c r="O237" s="454"/>
      <c r="P237" s="454"/>
      <c r="Q237" s="454"/>
      <c r="R237" s="454"/>
      <c r="S237" s="454"/>
      <c r="T237" s="454"/>
      <c r="U237" s="454"/>
      <c r="V237" s="454"/>
      <c r="W237" s="454"/>
      <c r="X237" s="454"/>
      <c r="Y237" s="454"/>
      <c r="Z237" s="454"/>
      <c r="AA237" s="454"/>
      <c r="AB237" s="454"/>
    </row>
    <row r="238" spans="1:28">
      <c r="A238" s="331"/>
      <c r="B238" s="332"/>
      <c r="C238" s="454"/>
      <c r="D238" s="334"/>
      <c r="E238" s="333"/>
      <c r="F238" s="334"/>
      <c r="G238" s="336"/>
      <c r="H238" s="454"/>
      <c r="I238" s="455"/>
      <c r="J238" s="456"/>
      <c r="K238" s="456"/>
      <c r="L238" s="454"/>
      <c r="M238" s="454"/>
      <c r="N238" s="454"/>
      <c r="O238" s="454"/>
      <c r="P238" s="454"/>
      <c r="Q238" s="454"/>
      <c r="R238" s="454"/>
      <c r="S238" s="454"/>
      <c r="T238" s="454"/>
      <c r="U238" s="454"/>
      <c r="V238" s="454"/>
      <c r="W238" s="454"/>
      <c r="X238" s="454"/>
      <c r="Y238" s="454"/>
      <c r="Z238" s="454"/>
      <c r="AA238" s="454"/>
      <c r="AB238" s="454"/>
    </row>
    <row r="239" spans="1:28">
      <c r="A239" s="331"/>
      <c r="B239" s="332"/>
      <c r="C239" s="454"/>
      <c r="D239" s="334"/>
      <c r="E239" s="333"/>
      <c r="F239" s="333"/>
      <c r="G239" s="336"/>
      <c r="H239" s="454"/>
      <c r="I239" s="455"/>
      <c r="J239" s="456"/>
      <c r="K239" s="456"/>
      <c r="L239" s="454"/>
      <c r="M239" s="454"/>
      <c r="N239" s="454"/>
      <c r="O239" s="454"/>
      <c r="P239" s="454"/>
      <c r="Q239" s="454"/>
      <c r="R239" s="454"/>
      <c r="S239" s="454"/>
      <c r="T239" s="454"/>
      <c r="U239" s="454"/>
      <c r="V239" s="454"/>
      <c r="W239" s="454"/>
      <c r="X239" s="454"/>
      <c r="Y239" s="454"/>
      <c r="Z239" s="454"/>
      <c r="AA239" s="454"/>
      <c r="AB239" s="454"/>
    </row>
    <row r="240" spans="1:28">
      <c r="A240" s="331"/>
      <c r="B240" s="332"/>
      <c r="C240" s="454"/>
      <c r="D240" s="334"/>
      <c r="E240" s="333"/>
      <c r="F240" s="334"/>
      <c r="G240" s="336"/>
      <c r="H240" s="454"/>
      <c r="I240" s="455"/>
      <c r="J240" s="456"/>
      <c r="K240" s="456"/>
      <c r="L240" s="454"/>
      <c r="M240" s="454"/>
      <c r="N240" s="454"/>
      <c r="O240" s="454"/>
      <c r="P240" s="454"/>
      <c r="Q240" s="454"/>
      <c r="R240" s="454"/>
      <c r="S240" s="454"/>
      <c r="T240" s="454"/>
      <c r="U240" s="454"/>
      <c r="V240" s="454"/>
      <c r="W240" s="454"/>
      <c r="X240" s="454"/>
      <c r="Y240" s="454"/>
      <c r="Z240" s="454"/>
      <c r="AA240" s="454"/>
      <c r="AB240" s="454"/>
    </row>
    <row r="241" spans="1:28">
      <c r="A241" s="331"/>
      <c r="B241" s="332"/>
      <c r="C241" s="454"/>
      <c r="D241" s="334"/>
      <c r="E241" s="333"/>
      <c r="F241" s="334"/>
      <c r="G241" s="336"/>
      <c r="H241" s="454"/>
      <c r="I241" s="455"/>
      <c r="J241" s="456"/>
      <c r="K241" s="456"/>
      <c r="L241" s="454"/>
      <c r="M241" s="454"/>
      <c r="N241" s="454"/>
      <c r="O241" s="454"/>
      <c r="P241" s="454"/>
      <c r="Q241" s="454"/>
      <c r="R241" s="454"/>
      <c r="S241" s="454"/>
      <c r="T241" s="454"/>
      <c r="U241" s="454"/>
      <c r="V241" s="454"/>
      <c r="W241" s="454"/>
      <c r="X241" s="454"/>
      <c r="Y241" s="454"/>
      <c r="Z241" s="454"/>
      <c r="AA241" s="454"/>
      <c r="AB241" s="454"/>
    </row>
    <row r="242" spans="1:28">
      <c r="A242" s="331"/>
      <c r="B242" s="332"/>
      <c r="C242" s="454"/>
      <c r="D242" s="336"/>
      <c r="E242" s="333"/>
      <c r="F242" s="336"/>
      <c r="G242" s="336"/>
      <c r="H242" s="454"/>
      <c r="I242" s="455"/>
      <c r="J242" s="456"/>
      <c r="K242" s="456"/>
      <c r="L242" s="454"/>
      <c r="M242" s="454"/>
      <c r="N242" s="454"/>
      <c r="O242" s="454"/>
      <c r="P242" s="454"/>
      <c r="Q242" s="454"/>
      <c r="R242" s="454"/>
      <c r="S242" s="454"/>
      <c r="T242" s="454"/>
      <c r="U242" s="454"/>
      <c r="V242" s="454"/>
      <c r="W242" s="454"/>
      <c r="X242" s="454"/>
      <c r="Y242" s="454"/>
      <c r="Z242" s="454"/>
      <c r="AA242" s="454"/>
      <c r="AB242" s="454"/>
    </row>
    <row r="243" spans="1:28">
      <c r="A243" s="331"/>
      <c r="B243" s="332"/>
      <c r="C243" s="454"/>
      <c r="D243" s="334"/>
      <c r="E243" s="333"/>
      <c r="F243" s="334"/>
      <c r="G243" s="336"/>
      <c r="H243" s="454"/>
      <c r="I243" s="455"/>
      <c r="J243" s="456"/>
      <c r="K243" s="456"/>
      <c r="L243" s="454"/>
      <c r="M243" s="454"/>
      <c r="N243" s="454"/>
      <c r="O243" s="454"/>
      <c r="P243" s="454"/>
      <c r="Q243" s="454"/>
      <c r="R243" s="454"/>
      <c r="S243" s="454"/>
      <c r="T243" s="454"/>
      <c r="U243" s="454"/>
      <c r="V243" s="454"/>
      <c r="W243" s="454"/>
      <c r="X243" s="454"/>
      <c r="Y243" s="454"/>
      <c r="Z243" s="454"/>
      <c r="AA243" s="454"/>
      <c r="AB243" s="454"/>
    </row>
    <row r="244" spans="1:28">
      <c r="A244" s="331"/>
      <c r="B244" s="332"/>
      <c r="C244" s="454"/>
      <c r="D244" s="334"/>
      <c r="E244" s="333"/>
      <c r="F244" s="334"/>
      <c r="G244" s="334"/>
      <c r="H244" s="454"/>
      <c r="I244" s="455"/>
      <c r="J244" s="456"/>
      <c r="K244" s="456"/>
      <c r="L244" s="454"/>
      <c r="M244" s="454"/>
      <c r="N244" s="454"/>
      <c r="O244" s="454"/>
      <c r="P244" s="454"/>
      <c r="Q244" s="454"/>
      <c r="R244" s="454"/>
      <c r="S244" s="454"/>
      <c r="T244" s="454"/>
      <c r="U244" s="454"/>
      <c r="V244" s="454"/>
      <c r="W244" s="454"/>
      <c r="X244" s="454"/>
      <c r="Y244" s="454"/>
      <c r="Z244" s="454"/>
      <c r="AA244" s="454"/>
      <c r="AB244" s="454"/>
    </row>
    <row r="245" spans="1:28">
      <c r="A245" s="331"/>
      <c r="B245" s="332"/>
      <c r="C245" s="454"/>
      <c r="D245" s="334"/>
      <c r="E245" s="333"/>
      <c r="F245" s="334"/>
      <c r="G245" s="334"/>
      <c r="H245" s="454"/>
      <c r="I245" s="455"/>
      <c r="J245" s="456"/>
      <c r="K245" s="456"/>
      <c r="L245" s="454"/>
      <c r="M245" s="454"/>
      <c r="N245" s="454"/>
      <c r="O245" s="454"/>
      <c r="P245" s="454"/>
      <c r="Q245" s="454"/>
      <c r="R245" s="454"/>
      <c r="S245" s="454"/>
      <c r="T245" s="454"/>
      <c r="U245" s="454"/>
      <c r="V245" s="454"/>
      <c r="W245" s="454"/>
      <c r="X245" s="454"/>
      <c r="Y245" s="454"/>
      <c r="Z245" s="454"/>
      <c r="AA245" s="454"/>
      <c r="AB245" s="454"/>
    </row>
    <row r="246" spans="1:28">
      <c r="A246" s="331"/>
      <c r="B246" s="332"/>
      <c r="C246" s="454"/>
      <c r="D246" s="334"/>
      <c r="E246" s="333"/>
      <c r="F246" s="334"/>
      <c r="G246" s="334"/>
      <c r="H246" s="454"/>
      <c r="I246" s="455"/>
      <c r="J246" s="456"/>
      <c r="K246" s="456"/>
      <c r="L246" s="454"/>
      <c r="M246" s="454"/>
      <c r="N246" s="454"/>
      <c r="O246" s="454"/>
      <c r="P246" s="454"/>
      <c r="Q246" s="454"/>
      <c r="R246" s="454"/>
      <c r="S246" s="454"/>
      <c r="T246" s="454"/>
      <c r="U246" s="454"/>
      <c r="V246" s="454"/>
      <c r="W246" s="454"/>
      <c r="X246" s="454"/>
      <c r="Y246" s="454"/>
      <c r="Z246" s="454"/>
      <c r="AA246" s="454"/>
      <c r="AB246" s="454"/>
    </row>
    <row r="247" spans="1:28">
      <c r="A247" s="331"/>
      <c r="B247" s="332"/>
      <c r="C247" s="454"/>
      <c r="D247" s="334"/>
      <c r="E247" s="333"/>
      <c r="F247" s="334"/>
      <c r="G247" s="334"/>
      <c r="H247" s="454"/>
      <c r="I247" s="455"/>
      <c r="J247" s="456"/>
      <c r="K247" s="456"/>
      <c r="L247" s="454"/>
      <c r="M247" s="454"/>
      <c r="N247" s="454"/>
      <c r="O247" s="454"/>
      <c r="P247" s="454"/>
      <c r="Q247" s="454"/>
      <c r="R247" s="454"/>
      <c r="S247" s="454"/>
      <c r="T247" s="454"/>
      <c r="U247" s="454"/>
      <c r="V247" s="454"/>
      <c r="W247" s="454"/>
      <c r="X247" s="454"/>
      <c r="Y247" s="454"/>
      <c r="Z247" s="454"/>
      <c r="AA247" s="454"/>
      <c r="AB247" s="454"/>
    </row>
    <row r="248" spans="1:28">
      <c r="A248" s="331"/>
      <c r="B248" s="332"/>
      <c r="C248" s="454"/>
      <c r="D248" s="334"/>
      <c r="E248" s="333"/>
      <c r="F248" s="334"/>
      <c r="G248" s="334"/>
      <c r="H248" s="454"/>
      <c r="I248" s="455"/>
      <c r="J248" s="456"/>
      <c r="K248" s="456"/>
      <c r="L248" s="454"/>
      <c r="M248" s="454"/>
      <c r="N248" s="454"/>
      <c r="O248" s="454"/>
      <c r="P248" s="454"/>
      <c r="Q248" s="454"/>
      <c r="R248" s="454"/>
      <c r="S248" s="454"/>
      <c r="T248" s="454"/>
      <c r="U248" s="454"/>
      <c r="V248" s="454"/>
      <c r="W248" s="454"/>
      <c r="X248" s="454"/>
      <c r="Y248" s="454"/>
      <c r="Z248" s="454"/>
      <c r="AA248" s="454"/>
      <c r="AB248" s="454"/>
    </row>
    <row r="249" spans="1:28">
      <c r="A249" s="331"/>
      <c r="B249" s="332"/>
      <c r="C249" s="454"/>
      <c r="D249" s="333"/>
      <c r="E249" s="333"/>
      <c r="F249" s="333"/>
      <c r="G249" s="333"/>
      <c r="H249" s="454"/>
      <c r="I249" s="455"/>
      <c r="J249" s="456"/>
      <c r="K249" s="456"/>
      <c r="L249" s="454"/>
      <c r="M249" s="454"/>
      <c r="N249" s="454"/>
      <c r="O249" s="454"/>
      <c r="P249" s="454"/>
      <c r="Q249" s="454"/>
      <c r="R249" s="454"/>
      <c r="S249" s="454"/>
      <c r="T249" s="454"/>
      <c r="U249" s="454"/>
      <c r="V249" s="454"/>
      <c r="W249" s="454"/>
      <c r="X249" s="454"/>
      <c r="Y249" s="454"/>
      <c r="Z249" s="454"/>
      <c r="AA249" s="454"/>
      <c r="AB249" s="454"/>
    </row>
    <row r="250" spans="1:28">
      <c r="A250" s="331"/>
      <c r="B250" s="332"/>
      <c r="C250" s="454"/>
      <c r="D250" s="333"/>
      <c r="E250" s="333"/>
      <c r="F250" s="333"/>
      <c r="G250" s="333"/>
      <c r="H250" s="454"/>
      <c r="I250" s="455"/>
      <c r="J250" s="456"/>
      <c r="K250" s="456"/>
      <c r="L250" s="454"/>
      <c r="M250" s="454"/>
      <c r="N250" s="454"/>
      <c r="O250" s="454"/>
      <c r="P250" s="454"/>
      <c r="Q250" s="454"/>
      <c r="R250" s="454"/>
      <c r="S250" s="454"/>
      <c r="T250" s="454"/>
      <c r="U250" s="454"/>
      <c r="V250" s="454"/>
      <c r="W250" s="454"/>
      <c r="X250" s="454"/>
      <c r="Y250" s="454"/>
      <c r="Z250" s="454"/>
      <c r="AA250" s="454"/>
      <c r="AB250" s="454"/>
    </row>
    <row r="251" spans="1:28">
      <c r="A251" s="331"/>
      <c r="B251" s="332"/>
      <c r="C251" s="454"/>
      <c r="D251" s="333"/>
      <c r="E251" s="333"/>
      <c r="F251" s="333"/>
      <c r="G251" s="333"/>
      <c r="H251" s="454"/>
      <c r="I251" s="455"/>
      <c r="J251" s="456"/>
      <c r="K251" s="456"/>
      <c r="L251" s="454"/>
      <c r="M251" s="454"/>
      <c r="N251" s="454"/>
      <c r="O251" s="454"/>
      <c r="P251" s="454"/>
      <c r="Q251" s="454"/>
      <c r="R251" s="454"/>
      <c r="S251" s="454"/>
      <c r="T251" s="454"/>
      <c r="U251" s="454"/>
      <c r="V251" s="454"/>
      <c r="W251" s="454"/>
      <c r="X251" s="454"/>
      <c r="Y251" s="454"/>
      <c r="Z251" s="454"/>
      <c r="AA251" s="454"/>
      <c r="AB251" s="454"/>
    </row>
    <row r="252" spans="1:28">
      <c r="A252" s="331"/>
      <c r="B252" s="332"/>
      <c r="C252" s="454"/>
      <c r="D252" s="333"/>
      <c r="E252" s="333"/>
      <c r="F252" s="333"/>
      <c r="G252" s="333"/>
      <c r="H252" s="454"/>
      <c r="I252" s="455"/>
      <c r="J252" s="456"/>
      <c r="K252" s="456"/>
      <c r="L252" s="454"/>
      <c r="M252" s="454"/>
      <c r="N252" s="454"/>
      <c r="O252" s="454"/>
      <c r="P252" s="454"/>
      <c r="Q252" s="454"/>
      <c r="R252" s="454"/>
      <c r="S252" s="454"/>
      <c r="T252" s="454"/>
      <c r="U252" s="454"/>
      <c r="V252" s="454"/>
      <c r="W252" s="454"/>
      <c r="X252" s="454"/>
      <c r="Y252" s="454"/>
      <c r="Z252" s="454"/>
      <c r="AA252" s="454"/>
      <c r="AB252" s="454"/>
    </row>
    <row r="253" spans="1:28">
      <c r="A253" s="331"/>
      <c r="B253" s="332"/>
      <c r="C253" s="454"/>
      <c r="D253" s="333"/>
      <c r="E253" s="333"/>
      <c r="F253" s="333"/>
      <c r="G253" s="333"/>
      <c r="H253" s="454"/>
      <c r="I253" s="455"/>
      <c r="J253" s="456"/>
      <c r="K253" s="456"/>
      <c r="L253" s="454"/>
      <c r="M253" s="454"/>
      <c r="N253" s="454"/>
      <c r="O253" s="454"/>
      <c r="P253" s="454"/>
      <c r="Q253" s="454"/>
      <c r="R253" s="454"/>
      <c r="S253" s="454"/>
      <c r="T253" s="454"/>
      <c r="U253" s="454"/>
      <c r="V253" s="454"/>
      <c r="W253" s="454"/>
      <c r="X253" s="454"/>
      <c r="Y253" s="454"/>
      <c r="Z253" s="454"/>
      <c r="AA253" s="454"/>
      <c r="AB253" s="454"/>
    </row>
    <row r="254" spans="1:28">
      <c r="A254" s="331"/>
      <c r="B254" s="332"/>
      <c r="C254" s="454"/>
      <c r="D254" s="333"/>
      <c r="E254" s="333"/>
      <c r="F254" s="333"/>
      <c r="G254" s="333"/>
      <c r="H254" s="454"/>
      <c r="I254" s="455"/>
      <c r="J254" s="456"/>
      <c r="K254" s="456"/>
      <c r="L254" s="454"/>
      <c r="M254" s="454"/>
      <c r="N254" s="454"/>
      <c r="O254" s="454"/>
      <c r="P254" s="454"/>
      <c r="Q254" s="454"/>
      <c r="R254" s="454"/>
      <c r="S254" s="454"/>
      <c r="T254" s="454"/>
      <c r="U254" s="454"/>
      <c r="V254" s="454"/>
      <c r="W254" s="454"/>
      <c r="X254" s="454"/>
      <c r="Y254" s="454"/>
      <c r="Z254" s="454"/>
      <c r="AA254" s="454"/>
      <c r="AB254" s="454"/>
    </row>
    <row r="255" spans="1:28">
      <c r="A255" s="331"/>
      <c r="B255" s="332"/>
      <c r="C255" s="454"/>
      <c r="D255" s="333"/>
      <c r="E255" s="333"/>
      <c r="F255" s="333"/>
      <c r="G255" s="333"/>
      <c r="H255" s="454"/>
      <c r="I255" s="455"/>
      <c r="J255" s="456"/>
      <c r="K255" s="456"/>
      <c r="L255" s="454"/>
      <c r="M255" s="454"/>
      <c r="N255" s="454"/>
      <c r="O255" s="454"/>
      <c r="P255" s="454"/>
      <c r="Q255" s="454"/>
      <c r="R255" s="454"/>
      <c r="S255" s="454"/>
      <c r="T255" s="454"/>
      <c r="U255" s="454"/>
      <c r="V255" s="454"/>
      <c r="W255" s="454"/>
      <c r="X255" s="454"/>
      <c r="Y255" s="454"/>
      <c r="Z255" s="454"/>
      <c r="AA255" s="454"/>
      <c r="AB255" s="454"/>
    </row>
    <row r="256" spans="1:28">
      <c r="A256" s="331"/>
      <c r="B256" s="332"/>
      <c r="C256" s="454"/>
      <c r="D256" s="333"/>
      <c r="E256" s="333"/>
      <c r="F256" s="333"/>
      <c r="G256" s="333"/>
      <c r="H256" s="454"/>
      <c r="I256" s="455"/>
      <c r="J256" s="456"/>
      <c r="K256" s="456"/>
      <c r="L256" s="454"/>
      <c r="M256" s="454"/>
      <c r="N256" s="454"/>
      <c r="O256" s="454"/>
      <c r="P256" s="454"/>
      <c r="Q256" s="454"/>
      <c r="R256" s="454"/>
      <c r="S256" s="454"/>
      <c r="T256" s="454"/>
      <c r="U256" s="454"/>
      <c r="V256" s="454"/>
      <c r="W256" s="454"/>
      <c r="X256" s="454"/>
      <c r="Y256" s="454"/>
      <c r="Z256" s="454"/>
      <c r="AA256" s="454"/>
      <c r="AB256" s="454"/>
    </row>
    <row r="257" spans="1:28">
      <c r="A257" s="331"/>
      <c r="B257" s="332"/>
      <c r="C257" s="454"/>
      <c r="D257" s="333"/>
      <c r="E257" s="333"/>
      <c r="F257" s="333"/>
      <c r="G257" s="333"/>
      <c r="H257" s="454"/>
      <c r="I257" s="455"/>
      <c r="J257" s="456"/>
      <c r="K257" s="456"/>
      <c r="L257" s="454"/>
      <c r="M257" s="454"/>
      <c r="N257" s="454"/>
      <c r="O257" s="454"/>
      <c r="P257" s="454"/>
      <c r="Q257" s="454"/>
      <c r="R257" s="454"/>
      <c r="S257" s="454"/>
      <c r="T257" s="454"/>
      <c r="U257" s="454"/>
      <c r="V257" s="454"/>
      <c r="W257" s="454"/>
      <c r="X257" s="454"/>
      <c r="Y257" s="454"/>
      <c r="Z257" s="454"/>
      <c r="AA257" s="454"/>
      <c r="AB257" s="454"/>
    </row>
    <row r="258" spans="1:28">
      <c r="A258" s="331"/>
      <c r="B258" s="332"/>
      <c r="C258" s="454"/>
      <c r="D258" s="333"/>
      <c r="E258" s="333"/>
      <c r="F258" s="333"/>
      <c r="G258" s="333"/>
      <c r="H258" s="454"/>
      <c r="I258" s="455"/>
      <c r="J258" s="456"/>
      <c r="K258" s="456"/>
      <c r="L258" s="454"/>
      <c r="M258" s="454"/>
      <c r="N258" s="454"/>
      <c r="O258" s="454"/>
      <c r="P258" s="454"/>
      <c r="Q258" s="454"/>
      <c r="R258" s="454"/>
      <c r="S258" s="454"/>
      <c r="T258" s="454"/>
      <c r="U258" s="454"/>
      <c r="V258" s="454"/>
      <c r="W258" s="454"/>
      <c r="X258" s="454"/>
      <c r="Y258" s="454"/>
      <c r="Z258" s="454"/>
      <c r="AA258" s="454"/>
      <c r="AB258" s="454"/>
    </row>
    <row r="259" spans="1:28">
      <c r="A259" s="331"/>
      <c r="B259" s="332"/>
      <c r="C259" s="454"/>
      <c r="D259" s="334"/>
      <c r="E259" s="333"/>
      <c r="F259" s="334"/>
      <c r="G259" s="334"/>
      <c r="H259" s="454"/>
      <c r="I259" s="455"/>
      <c r="J259" s="456"/>
      <c r="K259" s="456"/>
      <c r="L259" s="454"/>
      <c r="M259" s="454"/>
      <c r="N259" s="454"/>
      <c r="O259" s="454"/>
      <c r="P259" s="454"/>
      <c r="Q259" s="454"/>
      <c r="R259" s="454"/>
      <c r="S259" s="454"/>
      <c r="T259" s="454"/>
      <c r="U259" s="454"/>
      <c r="V259" s="454"/>
      <c r="W259" s="454"/>
      <c r="X259" s="454"/>
      <c r="Y259" s="454"/>
      <c r="Z259" s="454"/>
      <c r="AA259" s="454"/>
      <c r="AB259" s="454"/>
    </row>
    <row r="260" spans="1:28">
      <c r="A260" s="331"/>
      <c r="B260" s="332"/>
      <c r="C260" s="454"/>
      <c r="D260" s="334"/>
      <c r="E260" s="333"/>
      <c r="F260" s="334"/>
      <c r="G260" s="334"/>
      <c r="H260" s="454"/>
      <c r="I260" s="455"/>
      <c r="J260" s="456"/>
      <c r="K260" s="456"/>
      <c r="L260" s="454"/>
      <c r="M260" s="454"/>
      <c r="N260" s="454"/>
      <c r="O260" s="454"/>
      <c r="P260" s="454"/>
      <c r="Q260" s="454"/>
      <c r="R260" s="454"/>
      <c r="S260" s="454"/>
      <c r="T260" s="454"/>
      <c r="U260" s="454"/>
      <c r="V260" s="454"/>
      <c r="W260" s="454"/>
      <c r="X260" s="454"/>
      <c r="Y260" s="454"/>
      <c r="Z260" s="454"/>
      <c r="AA260" s="454"/>
      <c r="AB260" s="454"/>
    </row>
    <row r="261" spans="1:28">
      <c r="A261" s="331"/>
      <c r="B261" s="332"/>
      <c r="C261" s="454"/>
      <c r="D261" s="333"/>
      <c r="E261" s="333"/>
      <c r="F261" s="333"/>
      <c r="G261" s="333"/>
      <c r="H261" s="454"/>
      <c r="I261" s="455"/>
      <c r="J261" s="456"/>
      <c r="K261" s="456"/>
      <c r="L261" s="454"/>
      <c r="M261" s="454"/>
      <c r="N261" s="454"/>
      <c r="O261" s="454"/>
      <c r="P261" s="454"/>
      <c r="Q261" s="454"/>
      <c r="R261" s="454"/>
      <c r="S261" s="454"/>
      <c r="T261" s="454"/>
      <c r="U261" s="454"/>
      <c r="V261" s="454"/>
      <c r="W261" s="454"/>
      <c r="X261" s="454"/>
      <c r="Y261" s="454"/>
      <c r="Z261" s="454"/>
      <c r="AA261" s="454"/>
      <c r="AB261" s="454"/>
    </row>
    <row r="262" spans="1:28">
      <c r="A262" s="331"/>
      <c r="B262" s="332"/>
      <c r="C262" s="454"/>
      <c r="D262" s="333"/>
      <c r="E262" s="333"/>
      <c r="F262" s="333"/>
      <c r="G262" s="333"/>
      <c r="H262" s="454"/>
      <c r="I262" s="455"/>
      <c r="J262" s="456"/>
      <c r="K262" s="456"/>
      <c r="L262" s="454"/>
      <c r="M262" s="454"/>
      <c r="N262" s="454"/>
      <c r="O262" s="454"/>
      <c r="P262" s="454"/>
      <c r="Q262" s="454"/>
      <c r="R262" s="454"/>
      <c r="S262" s="454"/>
      <c r="T262" s="454"/>
      <c r="U262" s="454"/>
      <c r="V262" s="454"/>
      <c r="W262" s="454"/>
      <c r="X262" s="454"/>
      <c r="Y262" s="454"/>
      <c r="Z262" s="454"/>
      <c r="AA262" s="454"/>
      <c r="AB262" s="454"/>
    </row>
    <row r="263" spans="1:28">
      <c r="A263" s="331"/>
      <c r="B263" s="332"/>
      <c r="C263" s="454"/>
      <c r="D263" s="333"/>
      <c r="E263" s="333"/>
      <c r="F263" s="333"/>
      <c r="G263" s="333"/>
      <c r="H263" s="454"/>
      <c r="I263" s="455"/>
      <c r="J263" s="456"/>
      <c r="K263" s="456"/>
      <c r="L263" s="454"/>
      <c r="M263" s="454"/>
      <c r="N263" s="454"/>
      <c r="O263" s="454"/>
      <c r="P263" s="454"/>
      <c r="Q263" s="454"/>
      <c r="R263" s="454"/>
      <c r="S263" s="454"/>
      <c r="T263" s="454"/>
      <c r="U263" s="454"/>
      <c r="V263" s="454"/>
      <c r="W263" s="454"/>
      <c r="X263" s="454"/>
      <c r="Y263" s="454"/>
      <c r="Z263" s="454"/>
      <c r="AA263" s="454"/>
      <c r="AB263" s="454"/>
    </row>
    <row r="264" spans="1:28">
      <c r="A264" s="331"/>
      <c r="B264" s="332"/>
      <c r="C264" s="454"/>
      <c r="D264" s="333"/>
      <c r="E264" s="333"/>
      <c r="F264" s="333"/>
      <c r="G264" s="333"/>
      <c r="H264" s="454"/>
      <c r="I264" s="455"/>
      <c r="J264" s="456"/>
      <c r="K264" s="456"/>
      <c r="L264" s="454"/>
      <c r="M264" s="454"/>
      <c r="N264" s="454"/>
      <c r="O264" s="454"/>
      <c r="P264" s="454"/>
      <c r="Q264" s="454"/>
      <c r="R264" s="454"/>
      <c r="S264" s="454"/>
      <c r="T264" s="454"/>
      <c r="U264" s="454"/>
      <c r="V264" s="454"/>
      <c r="W264" s="454"/>
      <c r="X264" s="454"/>
      <c r="Y264" s="454"/>
      <c r="Z264" s="454"/>
      <c r="AA264" s="454"/>
      <c r="AB264" s="454"/>
    </row>
    <row r="265" spans="1:28">
      <c r="A265" s="331"/>
      <c r="B265" s="332"/>
      <c r="C265" s="454"/>
      <c r="D265" s="337"/>
      <c r="E265" s="333"/>
      <c r="F265" s="337"/>
      <c r="G265" s="337"/>
      <c r="H265" s="454"/>
      <c r="I265" s="455"/>
      <c r="J265" s="456"/>
      <c r="K265" s="456"/>
      <c r="L265" s="454"/>
      <c r="M265" s="454"/>
      <c r="N265" s="454"/>
      <c r="O265" s="454"/>
      <c r="P265" s="454"/>
      <c r="Q265" s="454"/>
      <c r="R265" s="454"/>
      <c r="S265" s="454"/>
      <c r="T265" s="454"/>
      <c r="U265" s="454"/>
      <c r="V265" s="454"/>
      <c r="W265" s="454"/>
      <c r="X265" s="454"/>
      <c r="Y265" s="454"/>
      <c r="Z265" s="454"/>
      <c r="AA265" s="454"/>
      <c r="AB265" s="454"/>
    </row>
    <row r="266" spans="1:28">
      <c r="A266" s="331"/>
      <c r="B266" s="332"/>
      <c r="C266" s="454"/>
      <c r="D266" s="335"/>
      <c r="E266" s="333"/>
      <c r="F266" s="335"/>
      <c r="G266" s="335"/>
      <c r="H266" s="454"/>
      <c r="I266" s="455"/>
      <c r="J266" s="456"/>
      <c r="K266" s="456"/>
      <c r="L266" s="454"/>
      <c r="M266" s="454"/>
      <c r="N266" s="454"/>
      <c r="O266" s="454"/>
      <c r="P266" s="454"/>
      <c r="Q266" s="454"/>
      <c r="R266" s="454"/>
      <c r="S266" s="454"/>
      <c r="T266" s="454"/>
      <c r="U266" s="454"/>
      <c r="V266" s="454"/>
      <c r="W266" s="454"/>
      <c r="X266" s="454"/>
      <c r="Y266" s="454"/>
      <c r="Z266" s="454"/>
      <c r="AA266" s="454"/>
      <c r="AB266" s="454"/>
    </row>
    <row r="267" spans="1:28">
      <c r="A267" s="331"/>
      <c r="B267" s="332"/>
      <c r="C267" s="454"/>
      <c r="D267" s="336"/>
      <c r="E267" s="333"/>
      <c r="F267" s="336"/>
      <c r="G267" s="336"/>
      <c r="H267" s="454"/>
      <c r="I267" s="455"/>
      <c r="J267" s="456"/>
      <c r="K267" s="456"/>
      <c r="L267" s="454"/>
      <c r="M267" s="454"/>
      <c r="N267" s="454"/>
      <c r="O267" s="454"/>
      <c r="P267" s="454"/>
      <c r="Q267" s="454"/>
      <c r="R267" s="454"/>
      <c r="S267" s="454"/>
      <c r="T267" s="454"/>
      <c r="U267" s="454"/>
      <c r="V267" s="454"/>
      <c r="W267" s="454"/>
      <c r="X267" s="454"/>
      <c r="Y267" s="454"/>
      <c r="Z267" s="454"/>
      <c r="AA267" s="454"/>
      <c r="AB267" s="454"/>
    </row>
    <row r="268" spans="1:28">
      <c r="A268" s="331"/>
      <c r="B268" s="332"/>
      <c r="C268" s="454"/>
      <c r="D268" s="336"/>
      <c r="E268" s="333"/>
      <c r="F268" s="336"/>
      <c r="G268" s="336"/>
      <c r="H268" s="454"/>
      <c r="I268" s="455"/>
      <c r="J268" s="456"/>
      <c r="K268" s="456"/>
      <c r="L268" s="454"/>
      <c r="M268" s="454"/>
      <c r="N268" s="454"/>
      <c r="O268" s="454"/>
      <c r="P268" s="454"/>
      <c r="Q268" s="454"/>
      <c r="R268" s="454"/>
      <c r="S268" s="454"/>
      <c r="T268" s="454"/>
      <c r="U268" s="454"/>
      <c r="V268" s="454"/>
      <c r="W268" s="454"/>
      <c r="X268" s="454"/>
      <c r="Y268" s="454"/>
      <c r="Z268" s="454"/>
      <c r="AA268" s="454"/>
      <c r="AB268" s="454"/>
    </row>
    <row r="269" spans="1:28">
      <c r="A269" s="331"/>
      <c r="B269" s="332"/>
      <c r="C269" s="454"/>
      <c r="D269" s="334"/>
      <c r="E269" s="333"/>
      <c r="F269" s="334"/>
      <c r="G269" s="336"/>
      <c r="H269" s="454"/>
      <c r="I269" s="455"/>
      <c r="J269" s="456"/>
      <c r="K269" s="456"/>
      <c r="L269" s="454"/>
      <c r="M269" s="454"/>
      <c r="N269" s="454"/>
      <c r="O269" s="454"/>
      <c r="P269" s="454"/>
      <c r="Q269" s="454"/>
      <c r="R269" s="454"/>
      <c r="S269" s="454"/>
      <c r="T269" s="454"/>
      <c r="U269" s="454"/>
      <c r="V269" s="454"/>
      <c r="W269" s="454"/>
      <c r="X269" s="454"/>
      <c r="Y269" s="454"/>
      <c r="Z269" s="454"/>
      <c r="AA269" s="454"/>
      <c r="AB269" s="454"/>
    </row>
    <row r="270" spans="1:28">
      <c r="A270" s="331"/>
      <c r="B270" s="332"/>
      <c r="C270" s="454"/>
      <c r="D270" s="334"/>
      <c r="E270" s="333"/>
      <c r="F270" s="333"/>
      <c r="G270" s="336"/>
      <c r="H270" s="454"/>
      <c r="I270" s="455"/>
      <c r="J270" s="456"/>
      <c r="K270" s="456"/>
      <c r="L270" s="454"/>
      <c r="M270" s="454"/>
      <c r="N270" s="454"/>
      <c r="O270" s="454"/>
      <c r="P270" s="454"/>
      <c r="Q270" s="454"/>
      <c r="R270" s="454"/>
      <c r="S270" s="454"/>
      <c r="T270" s="454"/>
      <c r="U270" s="454"/>
      <c r="V270" s="454"/>
      <c r="W270" s="454"/>
      <c r="X270" s="454"/>
      <c r="Y270" s="454"/>
      <c r="Z270" s="454"/>
      <c r="AA270" s="454"/>
      <c r="AB270" s="454"/>
    </row>
    <row r="271" spans="1:28">
      <c r="A271" s="331"/>
      <c r="B271" s="332"/>
      <c r="C271" s="454"/>
      <c r="D271" s="334"/>
      <c r="E271" s="333"/>
      <c r="F271" s="334"/>
      <c r="G271" s="336"/>
      <c r="H271" s="454"/>
      <c r="I271" s="455"/>
      <c r="J271" s="456"/>
      <c r="K271" s="456"/>
      <c r="L271" s="454"/>
      <c r="M271" s="454"/>
      <c r="N271" s="454"/>
      <c r="O271" s="454"/>
      <c r="P271" s="454"/>
      <c r="Q271" s="454"/>
      <c r="R271" s="454"/>
      <c r="S271" s="454"/>
      <c r="T271" s="454"/>
      <c r="U271" s="454"/>
      <c r="V271" s="454"/>
      <c r="W271" s="454"/>
      <c r="X271" s="454"/>
      <c r="Y271" s="454"/>
      <c r="Z271" s="454"/>
      <c r="AA271" s="454"/>
      <c r="AB271" s="454"/>
    </row>
    <row r="272" spans="1:28">
      <c r="A272" s="331"/>
      <c r="B272" s="332"/>
      <c r="C272" s="454"/>
      <c r="D272" s="334"/>
      <c r="E272" s="333"/>
      <c r="F272" s="334"/>
      <c r="G272" s="336"/>
      <c r="H272" s="454"/>
      <c r="I272" s="455"/>
      <c r="J272" s="456"/>
      <c r="K272" s="456"/>
      <c r="L272" s="454"/>
      <c r="M272" s="454"/>
      <c r="N272" s="454"/>
      <c r="O272" s="454"/>
      <c r="P272" s="454"/>
      <c r="Q272" s="454"/>
      <c r="R272" s="454"/>
      <c r="S272" s="454"/>
      <c r="T272" s="454"/>
      <c r="U272" s="454"/>
      <c r="V272" s="454"/>
      <c r="W272" s="454"/>
      <c r="X272" s="454"/>
      <c r="Y272" s="454"/>
      <c r="Z272" s="454"/>
      <c r="AA272" s="454"/>
      <c r="AB272" s="454"/>
    </row>
    <row r="273" spans="1:28">
      <c r="A273" s="331"/>
      <c r="B273" s="332"/>
      <c r="C273" s="454"/>
      <c r="D273" s="334"/>
      <c r="E273" s="333"/>
      <c r="F273" s="334"/>
      <c r="G273" s="336"/>
      <c r="H273" s="454"/>
      <c r="I273" s="455"/>
      <c r="J273" s="456"/>
      <c r="K273" s="456"/>
      <c r="L273" s="454"/>
      <c r="M273" s="454"/>
      <c r="N273" s="454"/>
      <c r="O273" s="454"/>
      <c r="P273" s="454"/>
      <c r="Q273" s="454"/>
      <c r="R273" s="454"/>
      <c r="S273" s="454"/>
      <c r="T273" s="454"/>
      <c r="U273" s="454"/>
      <c r="V273" s="454"/>
      <c r="W273" s="454"/>
      <c r="X273" s="454"/>
      <c r="Y273" s="454"/>
      <c r="Z273" s="454"/>
      <c r="AA273" s="454"/>
      <c r="AB273" s="454"/>
    </row>
    <row r="274" spans="1:28">
      <c r="A274" s="331"/>
      <c r="B274" s="332"/>
      <c r="C274" s="454"/>
      <c r="D274" s="334"/>
      <c r="E274" s="333"/>
      <c r="F274" s="334"/>
      <c r="G274" s="336"/>
      <c r="H274" s="454"/>
      <c r="I274" s="455"/>
      <c r="J274" s="456"/>
      <c r="K274" s="456"/>
      <c r="L274" s="454"/>
      <c r="M274" s="454"/>
      <c r="N274" s="454"/>
      <c r="O274" s="454"/>
      <c r="P274" s="454"/>
      <c r="Q274" s="454"/>
      <c r="R274" s="454"/>
      <c r="S274" s="454"/>
      <c r="T274" s="454"/>
      <c r="U274" s="454"/>
      <c r="V274" s="454"/>
      <c r="W274" s="454"/>
      <c r="X274" s="454"/>
      <c r="Y274" s="454"/>
      <c r="Z274" s="454"/>
      <c r="AA274" s="454"/>
      <c r="AB274" s="454"/>
    </row>
    <row r="275" spans="1:28">
      <c r="A275" s="331"/>
      <c r="B275" s="332"/>
      <c r="C275" s="454"/>
      <c r="D275" s="334"/>
      <c r="E275" s="333"/>
      <c r="F275" s="334"/>
      <c r="G275" s="336"/>
      <c r="H275" s="454"/>
      <c r="I275" s="455"/>
      <c r="J275" s="456"/>
      <c r="K275" s="456"/>
      <c r="L275" s="454"/>
      <c r="M275" s="454"/>
      <c r="N275" s="454"/>
      <c r="O275" s="454"/>
      <c r="P275" s="454"/>
      <c r="Q275" s="454"/>
      <c r="R275" s="454"/>
      <c r="S275" s="454"/>
      <c r="T275" s="454"/>
      <c r="U275" s="454"/>
      <c r="V275" s="454"/>
      <c r="W275" s="454"/>
      <c r="X275" s="454"/>
      <c r="Y275" s="454"/>
      <c r="Z275" s="454"/>
      <c r="AA275" s="454"/>
      <c r="AB275" s="454"/>
    </row>
    <row r="276" spans="1:28">
      <c r="A276" s="331"/>
      <c r="B276" s="332"/>
      <c r="C276" s="454"/>
      <c r="D276" s="334"/>
      <c r="E276" s="333"/>
      <c r="F276" s="334"/>
      <c r="G276" s="336"/>
      <c r="H276" s="454"/>
      <c r="I276" s="455"/>
      <c r="J276" s="456"/>
      <c r="K276" s="456"/>
      <c r="L276" s="454"/>
      <c r="M276" s="454"/>
      <c r="N276" s="454"/>
      <c r="O276" s="454"/>
      <c r="P276" s="454"/>
      <c r="Q276" s="454"/>
      <c r="R276" s="454"/>
      <c r="S276" s="454"/>
      <c r="T276" s="454"/>
      <c r="U276" s="454"/>
      <c r="V276" s="454"/>
      <c r="W276" s="454"/>
      <c r="X276" s="454"/>
      <c r="Y276" s="454"/>
      <c r="Z276" s="454"/>
      <c r="AA276" s="454"/>
      <c r="AB276" s="454"/>
    </row>
    <row r="277" spans="1:28">
      <c r="A277" s="331"/>
      <c r="B277" s="332"/>
      <c r="C277" s="454"/>
      <c r="D277" s="334"/>
      <c r="E277" s="333"/>
      <c r="F277" s="334"/>
      <c r="G277" s="336"/>
      <c r="H277" s="454"/>
      <c r="I277" s="455"/>
      <c r="J277" s="456"/>
      <c r="K277" s="456"/>
      <c r="L277" s="454"/>
      <c r="M277" s="454"/>
      <c r="N277" s="454"/>
      <c r="O277" s="454"/>
      <c r="P277" s="454"/>
      <c r="Q277" s="454"/>
      <c r="R277" s="454"/>
      <c r="S277" s="454"/>
      <c r="T277" s="454"/>
      <c r="U277" s="454"/>
      <c r="V277" s="454"/>
      <c r="W277" s="454"/>
      <c r="X277" s="454"/>
      <c r="Y277" s="454"/>
      <c r="Z277" s="454"/>
      <c r="AA277" s="454"/>
      <c r="AB277" s="454"/>
    </row>
    <row r="278" spans="1:28">
      <c r="A278" s="331"/>
      <c r="B278" s="332"/>
      <c r="C278" s="454"/>
      <c r="D278" s="334"/>
      <c r="E278" s="333"/>
      <c r="F278" s="334"/>
      <c r="G278" s="336"/>
      <c r="H278" s="454"/>
      <c r="I278" s="455"/>
      <c r="J278" s="456"/>
      <c r="K278" s="456"/>
      <c r="L278" s="454"/>
      <c r="M278" s="454"/>
      <c r="N278" s="454"/>
      <c r="O278" s="454"/>
      <c r="P278" s="454"/>
      <c r="Q278" s="454"/>
      <c r="R278" s="454"/>
      <c r="S278" s="454"/>
      <c r="T278" s="454"/>
      <c r="U278" s="454"/>
      <c r="V278" s="454"/>
      <c r="W278" s="454"/>
      <c r="X278" s="454"/>
      <c r="Y278" s="454"/>
      <c r="Z278" s="454"/>
      <c r="AA278" s="454"/>
      <c r="AB278" s="454"/>
    </row>
    <row r="279" spans="1:28">
      <c r="A279" s="331"/>
      <c r="B279" s="332"/>
      <c r="C279" s="454"/>
      <c r="D279" s="334"/>
      <c r="E279" s="333"/>
      <c r="F279" s="334"/>
      <c r="G279" s="335"/>
      <c r="H279" s="454"/>
      <c r="I279" s="455"/>
      <c r="J279" s="456"/>
      <c r="K279" s="456"/>
      <c r="L279" s="454"/>
      <c r="M279" s="454"/>
      <c r="N279" s="454"/>
      <c r="O279" s="454"/>
      <c r="P279" s="454"/>
      <c r="Q279" s="454"/>
      <c r="R279" s="454"/>
      <c r="S279" s="454"/>
      <c r="T279" s="454"/>
      <c r="U279" s="454"/>
      <c r="V279" s="454"/>
      <c r="W279" s="454"/>
      <c r="X279" s="454"/>
      <c r="Y279" s="454"/>
      <c r="Z279" s="454"/>
      <c r="AA279" s="454"/>
      <c r="AB279" s="454"/>
    </row>
    <row r="280" spans="1:28">
      <c r="A280" s="331"/>
      <c r="B280" s="332"/>
      <c r="C280" s="454"/>
      <c r="D280" s="334"/>
      <c r="E280" s="333"/>
      <c r="F280" s="334"/>
      <c r="G280" s="336"/>
      <c r="H280" s="454"/>
      <c r="I280" s="455"/>
      <c r="J280" s="456"/>
      <c r="K280" s="456"/>
      <c r="L280" s="454"/>
      <c r="M280" s="454"/>
      <c r="N280" s="454"/>
      <c r="O280" s="454"/>
      <c r="P280" s="454"/>
      <c r="Q280" s="454"/>
      <c r="R280" s="454"/>
      <c r="S280" s="454"/>
      <c r="T280" s="454"/>
      <c r="U280" s="454"/>
      <c r="V280" s="454"/>
      <c r="W280" s="454"/>
      <c r="X280" s="454"/>
      <c r="Y280" s="454"/>
      <c r="Z280" s="454"/>
      <c r="AA280" s="454"/>
      <c r="AB280" s="454"/>
    </row>
    <row r="281" spans="1:28">
      <c r="A281" s="331"/>
      <c r="B281" s="332"/>
      <c r="C281" s="454"/>
      <c r="D281" s="334"/>
      <c r="E281" s="333"/>
      <c r="F281" s="334"/>
      <c r="G281" s="334"/>
      <c r="H281" s="454"/>
      <c r="I281" s="455"/>
      <c r="J281" s="456"/>
      <c r="K281" s="456"/>
      <c r="L281" s="454"/>
      <c r="M281" s="454"/>
      <c r="N281" s="454"/>
      <c r="O281" s="454"/>
      <c r="P281" s="454"/>
      <c r="Q281" s="454"/>
      <c r="R281" s="454"/>
      <c r="S281" s="454"/>
      <c r="T281" s="454"/>
      <c r="U281" s="454"/>
      <c r="V281" s="454"/>
      <c r="W281" s="454"/>
      <c r="X281" s="454"/>
      <c r="Y281" s="454"/>
      <c r="Z281" s="454"/>
      <c r="AA281" s="454"/>
      <c r="AB281" s="454"/>
    </row>
    <row r="282" spans="1:28">
      <c r="A282" s="331"/>
      <c r="B282" s="332"/>
      <c r="C282" s="454"/>
      <c r="D282" s="334"/>
      <c r="E282" s="333"/>
      <c r="F282" s="334"/>
      <c r="G282" s="336"/>
      <c r="H282" s="454"/>
      <c r="I282" s="455"/>
      <c r="J282" s="456"/>
      <c r="K282" s="456"/>
      <c r="L282" s="454"/>
      <c r="M282" s="454"/>
      <c r="N282" s="454"/>
      <c r="O282" s="454"/>
      <c r="P282" s="454"/>
      <c r="Q282" s="454"/>
      <c r="R282" s="454"/>
      <c r="S282" s="454"/>
      <c r="T282" s="454"/>
      <c r="U282" s="454"/>
      <c r="V282" s="454"/>
      <c r="W282" s="454"/>
      <c r="X282" s="454"/>
      <c r="Y282" s="454"/>
      <c r="Z282" s="454"/>
      <c r="AA282" s="454"/>
      <c r="AB282" s="454"/>
    </row>
    <row r="283" spans="1:28">
      <c r="A283" s="331"/>
      <c r="B283" s="332"/>
      <c r="C283" s="454"/>
      <c r="D283" s="334"/>
      <c r="E283" s="333"/>
      <c r="F283" s="334"/>
      <c r="G283" s="334"/>
      <c r="H283" s="454"/>
      <c r="I283" s="455"/>
      <c r="J283" s="456"/>
      <c r="K283" s="456"/>
      <c r="L283" s="454"/>
      <c r="M283" s="454"/>
      <c r="N283" s="454"/>
      <c r="O283" s="454"/>
      <c r="P283" s="454"/>
      <c r="Q283" s="454"/>
      <c r="R283" s="454"/>
      <c r="S283" s="454"/>
      <c r="T283" s="454"/>
      <c r="U283" s="454"/>
      <c r="V283" s="454"/>
      <c r="W283" s="454"/>
      <c r="X283" s="454"/>
      <c r="Y283" s="454"/>
      <c r="Z283" s="454"/>
      <c r="AA283" s="454"/>
      <c r="AB283" s="454"/>
    </row>
    <row r="284" spans="1:28">
      <c r="A284" s="331"/>
      <c r="B284" s="332"/>
      <c r="C284" s="454"/>
      <c r="D284" s="334"/>
      <c r="E284" s="333"/>
      <c r="F284" s="334"/>
      <c r="G284" s="334"/>
      <c r="H284" s="454"/>
      <c r="I284" s="455"/>
      <c r="J284" s="456"/>
      <c r="K284" s="456"/>
      <c r="L284" s="454"/>
      <c r="M284" s="454"/>
      <c r="N284" s="454"/>
      <c r="O284" s="454"/>
      <c r="P284" s="454"/>
      <c r="Q284" s="454"/>
      <c r="R284" s="454"/>
      <c r="S284" s="454"/>
      <c r="T284" s="454"/>
      <c r="U284" s="454"/>
      <c r="V284" s="454"/>
      <c r="W284" s="454"/>
      <c r="X284" s="454"/>
      <c r="Y284" s="454"/>
      <c r="Z284" s="454"/>
      <c r="AA284" s="454"/>
      <c r="AB284" s="454"/>
    </row>
    <row r="285" spans="1:28">
      <c r="A285" s="331"/>
      <c r="B285" s="332"/>
      <c r="C285" s="454"/>
      <c r="D285" s="334"/>
      <c r="E285" s="333"/>
      <c r="F285" s="334"/>
      <c r="G285" s="334"/>
      <c r="H285" s="454"/>
      <c r="I285" s="455"/>
      <c r="J285" s="456"/>
      <c r="K285" s="456"/>
      <c r="L285" s="454"/>
      <c r="M285" s="454"/>
      <c r="N285" s="454"/>
      <c r="O285" s="454"/>
      <c r="P285" s="454"/>
      <c r="Q285" s="454"/>
      <c r="R285" s="454"/>
      <c r="S285" s="454"/>
      <c r="T285" s="454"/>
      <c r="U285" s="454"/>
      <c r="V285" s="454"/>
      <c r="W285" s="454"/>
      <c r="X285" s="454"/>
      <c r="Y285" s="454"/>
      <c r="Z285" s="454"/>
      <c r="AA285" s="454"/>
      <c r="AB285" s="454"/>
    </row>
    <row r="286" spans="1:28">
      <c r="A286" s="331"/>
      <c r="B286" s="332"/>
      <c r="C286" s="454"/>
      <c r="D286" s="334"/>
      <c r="E286" s="333"/>
      <c r="F286" s="334"/>
      <c r="G286" s="334"/>
      <c r="H286" s="454"/>
      <c r="I286" s="455"/>
      <c r="J286" s="456"/>
      <c r="K286" s="456"/>
      <c r="L286" s="454"/>
      <c r="M286" s="454"/>
      <c r="N286" s="454"/>
      <c r="O286" s="454"/>
      <c r="P286" s="454"/>
      <c r="Q286" s="454"/>
      <c r="R286" s="454"/>
      <c r="S286" s="454"/>
      <c r="T286" s="454"/>
      <c r="U286" s="454"/>
      <c r="V286" s="454"/>
      <c r="W286" s="454"/>
      <c r="X286" s="454"/>
      <c r="Y286" s="454"/>
      <c r="Z286" s="454"/>
      <c r="AA286" s="454"/>
      <c r="AB286" s="454"/>
    </row>
    <row r="287" spans="1:28">
      <c r="A287" s="331"/>
      <c r="B287" s="332"/>
      <c r="C287" s="454"/>
      <c r="D287" s="334"/>
      <c r="E287" s="333"/>
      <c r="F287" s="334"/>
      <c r="G287" s="334"/>
      <c r="H287" s="454"/>
      <c r="I287" s="455"/>
      <c r="J287" s="456"/>
      <c r="K287" s="456"/>
      <c r="L287" s="454"/>
      <c r="M287" s="454"/>
      <c r="N287" s="454"/>
      <c r="O287" s="454"/>
      <c r="P287" s="454"/>
      <c r="Q287" s="454"/>
      <c r="R287" s="454"/>
      <c r="S287" s="454"/>
      <c r="T287" s="454"/>
      <c r="U287" s="454"/>
      <c r="V287" s="454"/>
      <c r="W287" s="454"/>
      <c r="X287" s="454"/>
      <c r="Y287" s="454"/>
      <c r="Z287" s="454"/>
      <c r="AA287" s="454"/>
      <c r="AB287" s="454"/>
    </row>
    <row r="288" spans="1:28">
      <c r="A288" s="331"/>
      <c r="B288" s="332"/>
      <c r="C288" s="454"/>
      <c r="D288" s="334"/>
      <c r="E288" s="333"/>
      <c r="F288" s="334"/>
      <c r="G288" s="334"/>
      <c r="H288" s="454"/>
      <c r="I288" s="455"/>
      <c r="J288" s="456"/>
      <c r="K288" s="456"/>
      <c r="L288" s="454"/>
      <c r="M288" s="454"/>
      <c r="N288" s="454"/>
      <c r="O288" s="454"/>
      <c r="P288" s="454"/>
      <c r="Q288" s="454"/>
      <c r="R288" s="454"/>
      <c r="S288" s="454"/>
      <c r="T288" s="454"/>
      <c r="U288" s="454"/>
      <c r="V288" s="454"/>
      <c r="W288" s="454"/>
      <c r="X288" s="454"/>
      <c r="Y288" s="454"/>
      <c r="Z288" s="454"/>
      <c r="AA288" s="454"/>
      <c r="AB288" s="454"/>
    </row>
    <row r="289" spans="1:28">
      <c r="A289" s="331"/>
      <c r="B289" s="332"/>
      <c r="C289" s="454"/>
      <c r="D289" s="334"/>
      <c r="E289" s="333"/>
      <c r="F289" s="334"/>
      <c r="G289" s="334"/>
      <c r="H289" s="454"/>
      <c r="I289" s="455"/>
      <c r="J289" s="456"/>
      <c r="K289" s="456"/>
      <c r="L289" s="454"/>
      <c r="M289" s="454"/>
      <c r="N289" s="454"/>
      <c r="O289" s="454"/>
      <c r="P289" s="454"/>
      <c r="Q289" s="454"/>
      <c r="R289" s="454"/>
      <c r="S289" s="454"/>
      <c r="T289" s="454"/>
      <c r="U289" s="454"/>
      <c r="V289" s="454"/>
      <c r="W289" s="454"/>
      <c r="X289" s="454"/>
      <c r="Y289" s="454"/>
      <c r="Z289" s="454"/>
      <c r="AA289" s="454"/>
      <c r="AB289" s="454"/>
    </row>
    <row r="290" spans="1:28">
      <c r="A290" s="331"/>
      <c r="B290" s="332"/>
      <c r="C290" s="454"/>
      <c r="D290" s="334"/>
      <c r="E290" s="333"/>
      <c r="F290" s="334"/>
      <c r="G290" s="334"/>
      <c r="H290" s="454"/>
      <c r="I290" s="455"/>
      <c r="J290" s="456"/>
      <c r="K290" s="456"/>
      <c r="L290" s="454"/>
      <c r="M290" s="454"/>
      <c r="N290" s="454"/>
      <c r="O290" s="454"/>
      <c r="P290" s="454"/>
      <c r="Q290" s="454"/>
      <c r="R290" s="454"/>
      <c r="S290" s="454"/>
      <c r="T290" s="454"/>
      <c r="U290" s="454"/>
      <c r="V290" s="454"/>
      <c r="W290" s="454"/>
      <c r="X290" s="454"/>
      <c r="Y290" s="454"/>
      <c r="Z290" s="454"/>
      <c r="AA290" s="454"/>
      <c r="AB290" s="454"/>
    </row>
    <row r="291" spans="1:28">
      <c r="A291" s="331"/>
      <c r="B291" s="332"/>
      <c r="C291" s="454"/>
      <c r="D291" s="334"/>
      <c r="E291" s="333"/>
      <c r="F291" s="334"/>
      <c r="G291" s="334"/>
      <c r="H291" s="454"/>
      <c r="I291" s="455"/>
      <c r="J291" s="456"/>
      <c r="K291" s="456"/>
      <c r="L291" s="454"/>
      <c r="M291" s="454"/>
      <c r="N291" s="454"/>
      <c r="O291" s="454"/>
      <c r="P291" s="454"/>
      <c r="Q291" s="454"/>
      <c r="R291" s="454"/>
      <c r="S291" s="454"/>
      <c r="T291" s="454"/>
      <c r="U291" s="454"/>
      <c r="V291" s="454"/>
      <c r="W291" s="454"/>
      <c r="X291" s="454"/>
      <c r="Y291" s="454"/>
      <c r="Z291" s="454"/>
      <c r="AA291" s="454"/>
      <c r="AB291" s="454"/>
    </row>
    <row r="292" spans="1:28">
      <c r="A292" s="331"/>
      <c r="B292" s="332"/>
      <c r="C292" s="454"/>
      <c r="D292" s="334"/>
      <c r="E292" s="333"/>
      <c r="F292" s="334"/>
      <c r="G292" s="334"/>
      <c r="H292" s="454"/>
      <c r="I292" s="455"/>
      <c r="J292" s="456"/>
      <c r="K292" s="456"/>
      <c r="L292" s="454"/>
      <c r="M292" s="454"/>
      <c r="N292" s="454"/>
      <c r="O292" s="454"/>
      <c r="P292" s="454"/>
      <c r="Q292" s="454"/>
      <c r="R292" s="454"/>
      <c r="S292" s="454"/>
      <c r="T292" s="454"/>
      <c r="U292" s="454"/>
      <c r="V292" s="454"/>
      <c r="W292" s="454"/>
      <c r="X292" s="454"/>
      <c r="Y292" s="454"/>
      <c r="Z292" s="454"/>
      <c r="AA292" s="454"/>
      <c r="AB292" s="454"/>
    </row>
    <row r="293" spans="1:28">
      <c r="A293" s="331"/>
      <c r="B293" s="332"/>
      <c r="C293" s="454"/>
      <c r="D293" s="334"/>
      <c r="E293" s="333"/>
      <c r="F293" s="334"/>
      <c r="G293" s="334"/>
      <c r="H293" s="454"/>
      <c r="I293" s="455"/>
      <c r="J293" s="456"/>
      <c r="K293" s="456"/>
      <c r="L293" s="454"/>
      <c r="M293" s="454"/>
      <c r="N293" s="454"/>
      <c r="O293" s="454"/>
      <c r="P293" s="454"/>
      <c r="Q293" s="454"/>
      <c r="R293" s="454"/>
      <c r="S293" s="454"/>
      <c r="T293" s="454"/>
      <c r="U293" s="454"/>
      <c r="V293" s="454"/>
      <c r="W293" s="454"/>
      <c r="X293" s="454"/>
      <c r="Y293" s="454"/>
      <c r="Z293" s="454"/>
      <c r="AA293" s="454"/>
      <c r="AB293" s="454"/>
    </row>
    <row r="294" spans="1:28">
      <c r="A294" s="331"/>
      <c r="B294" s="332"/>
      <c r="C294" s="454"/>
      <c r="D294" s="334"/>
      <c r="E294" s="333"/>
      <c r="F294" s="334"/>
      <c r="G294" s="334"/>
      <c r="H294" s="454"/>
      <c r="I294" s="455"/>
      <c r="J294" s="456"/>
      <c r="K294" s="456"/>
      <c r="L294" s="454"/>
      <c r="M294" s="454"/>
      <c r="N294" s="454"/>
      <c r="O294" s="454"/>
      <c r="P294" s="454"/>
      <c r="Q294" s="454"/>
      <c r="R294" s="454"/>
      <c r="S294" s="454"/>
      <c r="T294" s="454"/>
      <c r="U294" s="454"/>
      <c r="V294" s="454"/>
      <c r="W294" s="454"/>
      <c r="X294" s="454"/>
      <c r="Y294" s="454"/>
      <c r="Z294" s="454"/>
      <c r="AA294" s="454"/>
      <c r="AB294" s="454"/>
    </row>
    <row r="295" spans="1:28">
      <c r="A295" s="331"/>
      <c r="B295" s="332"/>
      <c r="C295" s="454"/>
      <c r="D295" s="334"/>
      <c r="E295" s="333"/>
      <c r="F295" s="334"/>
      <c r="G295" s="334"/>
      <c r="H295" s="454"/>
      <c r="I295" s="455"/>
      <c r="J295" s="456"/>
      <c r="K295" s="456"/>
      <c r="L295" s="454"/>
      <c r="M295" s="454"/>
      <c r="N295" s="454"/>
      <c r="O295" s="454"/>
      <c r="P295" s="454"/>
      <c r="Q295" s="454"/>
      <c r="R295" s="454"/>
      <c r="S295" s="454"/>
      <c r="T295" s="454"/>
      <c r="U295" s="454"/>
      <c r="V295" s="454"/>
      <c r="W295" s="454"/>
      <c r="X295" s="454"/>
      <c r="Y295" s="454"/>
      <c r="Z295" s="454"/>
      <c r="AA295" s="454"/>
      <c r="AB295" s="454"/>
    </row>
    <row r="296" spans="1:28">
      <c r="A296" s="331"/>
      <c r="B296" s="332"/>
      <c r="C296" s="454"/>
      <c r="D296" s="334"/>
      <c r="E296" s="333"/>
      <c r="F296" s="334"/>
      <c r="G296" s="334"/>
      <c r="H296" s="454"/>
      <c r="I296" s="455"/>
      <c r="J296" s="456"/>
      <c r="K296" s="456"/>
      <c r="L296" s="454"/>
      <c r="M296" s="454"/>
      <c r="N296" s="454"/>
      <c r="O296" s="454"/>
      <c r="P296" s="454"/>
      <c r="Q296" s="454"/>
      <c r="R296" s="454"/>
      <c r="S296" s="454"/>
      <c r="T296" s="454"/>
      <c r="U296" s="454"/>
      <c r="V296" s="454"/>
      <c r="W296" s="454"/>
      <c r="X296" s="454"/>
      <c r="Y296" s="454"/>
      <c r="Z296" s="454"/>
      <c r="AA296" s="454"/>
      <c r="AB296" s="454"/>
    </row>
    <row r="297" spans="1:28">
      <c r="A297" s="331"/>
      <c r="B297" s="332"/>
      <c r="C297" s="454"/>
      <c r="D297" s="334"/>
      <c r="E297" s="333"/>
      <c r="F297" s="334"/>
      <c r="G297" s="334"/>
      <c r="H297" s="454"/>
      <c r="I297" s="455"/>
      <c r="J297" s="456"/>
      <c r="K297" s="456"/>
      <c r="L297" s="454"/>
      <c r="M297" s="454"/>
      <c r="N297" s="454"/>
      <c r="O297" s="454"/>
      <c r="P297" s="454"/>
      <c r="Q297" s="454"/>
      <c r="R297" s="454"/>
      <c r="S297" s="454"/>
      <c r="T297" s="454"/>
      <c r="U297" s="454"/>
      <c r="V297" s="454"/>
      <c r="W297" s="454"/>
      <c r="X297" s="454"/>
      <c r="Y297" s="454"/>
      <c r="Z297" s="454"/>
      <c r="AA297" s="454"/>
      <c r="AB297" s="454"/>
    </row>
    <row r="298" spans="1:28">
      <c r="A298" s="331"/>
      <c r="B298" s="332"/>
      <c r="C298" s="454"/>
      <c r="D298" s="334"/>
      <c r="E298" s="333"/>
      <c r="F298" s="334"/>
      <c r="G298" s="334"/>
      <c r="H298" s="454"/>
      <c r="I298" s="455"/>
      <c r="J298" s="456"/>
      <c r="K298" s="456"/>
      <c r="L298" s="454"/>
      <c r="M298" s="454"/>
      <c r="N298" s="454"/>
      <c r="O298" s="454"/>
      <c r="P298" s="454"/>
      <c r="Q298" s="454"/>
      <c r="R298" s="454"/>
      <c r="S298" s="454"/>
      <c r="T298" s="454"/>
      <c r="U298" s="454"/>
      <c r="V298" s="454"/>
      <c r="W298" s="454"/>
      <c r="X298" s="454"/>
      <c r="Y298" s="454"/>
      <c r="Z298" s="454"/>
      <c r="AA298" s="454"/>
      <c r="AB298" s="454"/>
    </row>
    <row r="299" spans="1:28">
      <c r="A299" s="331"/>
      <c r="B299" s="332"/>
      <c r="C299" s="454"/>
      <c r="D299" s="334"/>
      <c r="E299" s="333"/>
      <c r="F299" s="334"/>
      <c r="G299" s="334"/>
      <c r="H299" s="454"/>
      <c r="I299" s="455"/>
      <c r="J299" s="456"/>
      <c r="K299" s="456"/>
      <c r="L299" s="454"/>
      <c r="M299" s="454"/>
      <c r="N299" s="454"/>
      <c r="O299" s="454"/>
      <c r="P299" s="454"/>
      <c r="Q299" s="454"/>
      <c r="R299" s="454"/>
      <c r="S299" s="454"/>
      <c r="T299" s="454"/>
      <c r="U299" s="454"/>
      <c r="V299" s="454"/>
      <c r="W299" s="454"/>
      <c r="X299" s="454"/>
      <c r="Y299" s="454"/>
      <c r="Z299" s="454"/>
      <c r="AA299" s="454"/>
      <c r="AB299" s="454"/>
    </row>
    <row r="300" spans="1:28">
      <c r="A300" s="331"/>
      <c r="B300" s="332"/>
      <c r="C300" s="454"/>
      <c r="D300" s="334"/>
      <c r="E300" s="333"/>
      <c r="F300" s="334"/>
      <c r="G300" s="334"/>
      <c r="H300" s="454"/>
      <c r="I300" s="455"/>
      <c r="J300" s="456"/>
      <c r="K300" s="456"/>
      <c r="L300" s="454"/>
      <c r="M300" s="454"/>
      <c r="N300" s="454"/>
      <c r="O300" s="454"/>
      <c r="P300" s="454"/>
      <c r="Q300" s="454"/>
      <c r="R300" s="454"/>
      <c r="S300" s="454"/>
      <c r="T300" s="454"/>
      <c r="U300" s="454"/>
      <c r="V300" s="454"/>
      <c r="W300" s="454"/>
      <c r="X300" s="454"/>
      <c r="Y300" s="454"/>
      <c r="Z300" s="454"/>
      <c r="AA300" s="454"/>
      <c r="AB300" s="454"/>
    </row>
    <row r="301" spans="1:28">
      <c r="A301" s="331"/>
      <c r="B301" s="332"/>
      <c r="C301" s="454"/>
      <c r="D301" s="334"/>
      <c r="E301" s="333"/>
      <c r="F301" s="334"/>
      <c r="G301" s="334"/>
      <c r="H301" s="454"/>
      <c r="I301" s="455"/>
      <c r="J301" s="456"/>
      <c r="K301" s="456"/>
      <c r="L301" s="454"/>
      <c r="M301" s="454"/>
      <c r="N301" s="454"/>
      <c r="O301" s="454"/>
      <c r="P301" s="454"/>
      <c r="Q301" s="454"/>
      <c r="R301" s="454"/>
      <c r="S301" s="454"/>
      <c r="T301" s="454"/>
      <c r="U301" s="454"/>
      <c r="V301" s="454"/>
      <c r="W301" s="454"/>
      <c r="X301" s="454"/>
      <c r="Y301" s="454"/>
      <c r="Z301" s="454"/>
      <c r="AA301" s="454"/>
      <c r="AB301" s="454"/>
    </row>
    <row r="302" spans="1:28">
      <c r="A302" s="331"/>
      <c r="B302" s="332"/>
      <c r="C302" s="454"/>
      <c r="D302" s="334"/>
      <c r="E302" s="333"/>
      <c r="F302" s="334"/>
      <c r="G302" s="334"/>
      <c r="H302" s="454"/>
      <c r="I302" s="455"/>
      <c r="J302" s="456"/>
      <c r="K302" s="456"/>
      <c r="L302" s="454"/>
      <c r="M302" s="454"/>
      <c r="N302" s="454"/>
      <c r="O302" s="454"/>
      <c r="P302" s="454"/>
      <c r="Q302" s="454"/>
      <c r="R302" s="454"/>
      <c r="S302" s="454"/>
      <c r="T302" s="454"/>
      <c r="U302" s="454"/>
      <c r="V302" s="454"/>
      <c r="W302" s="454"/>
      <c r="X302" s="454"/>
      <c r="Y302" s="454"/>
      <c r="Z302" s="454"/>
      <c r="AA302" s="454"/>
      <c r="AB302" s="454"/>
    </row>
    <row r="303" spans="1:28">
      <c r="A303" s="331"/>
      <c r="B303" s="332"/>
      <c r="C303" s="454"/>
      <c r="D303" s="334"/>
      <c r="E303" s="333"/>
      <c r="F303" s="334"/>
      <c r="G303" s="334"/>
      <c r="H303" s="454"/>
      <c r="I303" s="455"/>
      <c r="J303" s="456"/>
      <c r="K303" s="456"/>
      <c r="L303" s="454"/>
      <c r="M303" s="454"/>
      <c r="N303" s="454"/>
      <c r="O303" s="454"/>
      <c r="P303" s="454"/>
      <c r="Q303" s="454"/>
      <c r="R303" s="454"/>
      <c r="S303" s="454"/>
      <c r="T303" s="454"/>
      <c r="U303" s="454"/>
      <c r="V303" s="454"/>
      <c r="W303" s="454"/>
      <c r="X303" s="454"/>
      <c r="Y303" s="454"/>
      <c r="Z303" s="454"/>
      <c r="AA303" s="454"/>
      <c r="AB303" s="454"/>
    </row>
    <row r="304" spans="1:28">
      <c r="A304" s="331"/>
      <c r="B304" s="332"/>
      <c r="C304" s="454"/>
      <c r="D304" s="110"/>
      <c r="E304" s="333"/>
      <c r="F304" s="334"/>
      <c r="G304" s="334"/>
      <c r="H304" s="454"/>
      <c r="I304" s="455"/>
      <c r="J304" s="456"/>
      <c r="K304" s="456"/>
      <c r="L304" s="454"/>
      <c r="M304" s="454"/>
      <c r="N304" s="454"/>
      <c r="O304" s="454"/>
      <c r="P304" s="454"/>
      <c r="Q304" s="454"/>
      <c r="R304" s="454"/>
      <c r="S304" s="454"/>
      <c r="T304" s="454"/>
      <c r="U304" s="454"/>
      <c r="V304" s="454"/>
      <c r="W304" s="454"/>
      <c r="X304" s="454"/>
      <c r="Y304" s="454"/>
      <c r="Z304" s="454"/>
      <c r="AA304" s="454"/>
      <c r="AB304" s="454"/>
    </row>
    <row r="305" spans="1:28">
      <c r="A305" s="331"/>
      <c r="B305" s="332"/>
      <c r="C305" s="454"/>
      <c r="D305" s="334"/>
      <c r="E305" s="333"/>
      <c r="F305" s="334"/>
      <c r="G305" s="334"/>
      <c r="H305" s="454"/>
      <c r="I305" s="455"/>
      <c r="J305" s="456"/>
      <c r="K305" s="456"/>
      <c r="L305" s="454"/>
      <c r="M305" s="454"/>
      <c r="N305" s="454"/>
      <c r="O305" s="454"/>
      <c r="P305" s="454"/>
      <c r="Q305" s="454"/>
      <c r="R305" s="454"/>
      <c r="S305" s="454"/>
      <c r="T305" s="454"/>
      <c r="U305" s="454"/>
      <c r="V305" s="454"/>
      <c r="W305" s="454"/>
      <c r="X305" s="454"/>
      <c r="Y305" s="454"/>
      <c r="Z305" s="454"/>
      <c r="AA305" s="454"/>
      <c r="AB305" s="454"/>
    </row>
    <row r="306" spans="1:28">
      <c r="A306" s="331"/>
      <c r="B306" s="332"/>
      <c r="C306" s="454"/>
      <c r="D306" s="335"/>
      <c r="E306" s="333"/>
      <c r="F306" s="335"/>
      <c r="G306" s="335"/>
      <c r="H306" s="454"/>
      <c r="I306" s="455"/>
      <c r="J306" s="456"/>
      <c r="K306" s="456"/>
      <c r="L306" s="454"/>
      <c r="M306" s="454"/>
      <c r="N306" s="454"/>
      <c r="O306" s="454"/>
      <c r="P306" s="454"/>
      <c r="Q306" s="454"/>
      <c r="R306" s="454"/>
      <c r="S306" s="454"/>
      <c r="T306" s="454"/>
      <c r="U306" s="454"/>
      <c r="V306" s="454"/>
      <c r="W306" s="454"/>
      <c r="X306" s="454"/>
      <c r="Y306" s="454"/>
      <c r="Z306" s="454"/>
      <c r="AA306" s="454"/>
      <c r="AB306" s="454"/>
    </row>
    <row r="307" spans="1:28">
      <c r="A307" s="331"/>
      <c r="B307" s="332"/>
      <c r="C307" s="454"/>
      <c r="D307" s="334"/>
      <c r="E307" s="333"/>
      <c r="F307" s="334"/>
      <c r="G307" s="334"/>
      <c r="H307" s="454"/>
      <c r="I307" s="455"/>
      <c r="J307" s="456"/>
      <c r="K307" s="456"/>
      <c r="L307" s="454"/>
      <c r="M307" s="454"/>
      <c r="N307" s="454"/>
      <c r="O307" s="454"/>
      <c r="P307" s="454"/>
      <c r="Q307" s="454"/>
      <c r="R307" s="454"/>
      <c r="S307" s="454"/>
      <c r="T307" s="454"/>
      <c r="U307" s="454"/>
      <c r="V307" s="454"/>
      <c r="W307" s="454"/>
      <c r="X307" s="454"/>
      <c r="Y307" s="454"/>
      <c r="Z307" s="454"/>
      <c r="AA307" s="454"/>
      <c r="AB307" s="454"/>
    </row>
    <row r="308" spans="1:28">
      <c r="A308" s="331"/>
      <c r="B308" s="332"/>
      <c r="C308" s="454"/>
      <c r="D308" s="334"/>
      <c r="E308" s="333"/>
      <c r="F308" s="334"/>
      <c r="G308" s="334"/>
      <c r="H308" s="454"/>
      <c r="I308" s="455"/>
      <c r="J308" s="456"/>
      <c r="K308" s="456"/>
      <c r="L308" s="454"/>
      <c r="M308" s="454"/>
      <c r="N308" s="454"/>
      <c r="O308" s="454"/>
      <c r="P308" s="454"/>
      <c r="Q308" s="454"/>
      <c r="R308" s="454"/>
      <c r="S308" s="454"/>
      <c r="T308" s="454"/>
      <c r="U308" s="454"/>
      <c r="V308" s="454"/>
      <c r="W308" s="454"/>
      <c r="X308" s="454"/>
      <c r="Y308" s="454"/>
      <c r="Z308" s="454"/>
      <c r="AA308" s="454"/>
      <c r="AB308" s="454"/>
    </row>
    <row r="309" spans="1:28">
      <c r="A309" s="331"/>
      <c r="B309" s="332"/>
      <c r="C309" s="454"/>
      <c r="D309" s="334"/>
      <c r="E309" s="333"/>
      <c r="F309" s="334"/>
      <c r="G309" s="334"/>
      <c r="H309" s="454"/>
      <c r="I309" s="455"/>
      <c r="J309" s="456"/>
      <c r="K309" s="456"/>
      <c r="L309" s="454"/>
      <c r="M309" s="454"/>
      <c r="N309" s="454"/>
      <c r="O309" s="454"/>
      <c r="P309" s="454"/>
      <c r="Q309" s="454"/>
      <c r="R309" s="454"/>
      <c r="S309" s="454"/>
      <c r="T309" s="454"/>
      <c r="U309" s="454"/>
      <c r="V309" s="454"/>
      <c r="W309" s="454"/>
      <c r="X309" s="454"/>
      <c r="Y309" s="454"/>
      <c r="Z309" s="454"/>
      <c r="AA309" s="454"/>
      <c r="AB309" s="454"/>
    </row>
    <row r="310" spans="1:28">
      <c r="A310" s="331"/>
      <c r="B310" s="332"/>
      <c r="C310" s="454"/>
      <c r="D310" s="334"/>
      <c r="E310" s="333"/>
      <c r="F310" s="334"/>
      <c r="G310" s="334"/>
      <c r="H310" s="454"/>
      <c r="I310" s="455"/>
      <c r="J310" s="456"/>
      <c r="K310" s="456"/>
      <c r="L310" s="454"/>
      <c r="M310" s="454"/>
      <c r="N310" s="454"/>
      <c r="O310" s="454"/>
      <c r="P310" s="454"/>
      <c r="Q310" s="454"/>
      <c r="R310" s="454"/>
      <c r="S310" s="454"/>
      <c r="T310" s="454"/>
      <c r="U310" s="454"/>
      <c r="V310" s="454"/>
      <c r="W310" s="454"/>
      <c r="X310" s="454"/>
      <c r="Y310" s="454"/>
      <c r="Z310" s="454"/>
      <c r="AA310" s="454"/>
      <c r="AB310" s="454"/>
    </row>
    <row r="311" spans="1:28">
      <c r="A311" s="331"/>
      <c r="B311" s="332"/>
      <c r="C311" s="454"/>
      <c r="D311" s="334"/>
      <c r="E311" s="333"/>
      <c r="F311" s="334"/>
      <c r="G311" s="334"/>
      <c r="H311" s="454"/>
      <c r="I311" s="455"/>
      <c r="J311" s="456"/>
      <c r="K311" s="456"/>
      <c r="L311" s="454"/>
      <c r="M311" s="454"/>
      <c r="N311" s="454"/>
      <c r="O311" s="454"/>
      <c r="P311" s="454"/>
      <c r="Q311" s="454"/>
      <c r="R311" s="454"/>
      <c r="S311" s="454"/>
      <c r="T311" s="454"/>
      <c r="U311" s="454"/>
      <c r="V311" s="454"/>
      <c r="W311" s="454"/>
      <c r="X311" s="454"/>
      <c r="Y311" s="454"/>
      <c r="Z311" s="454"/>
      <c r="AA311" s="454"/>
      <c r="AB311" s="454"/>
    </row>
    <row r="312" spans="1:28">
      <c r="A312" s="331"/>
      <c r="B312" s="332"/>
      <c r="C312" s="454"/>
      <c r="D312" s="334"/>
      <c r="E312" s="333"/>
      <c r="F312" s="334"/>
      <c r="G312" s="334"/>
      <c r="H312" s="454"/>
      <c r="I312" s="455"/>
      <c r="J312" s="456"/>
      <c r="K312" s="456"/>
      <c r="L312" s="454"/>
      <c r="M312" s="454"/>
      <c r="N312" s="454"/>
      <c r="O312" s="454"/>
      <c r="P312" s="454"/>
      <c r="Q312" s="454"/>
      <c r="R312" s="454"/>
      <c r="S312" s="454"/>
      <c r="T312" s="454"/>
      <c r="U312" s="454"/>
      <c r="V312" s="454"/>
      <c r="W312" s="454"/>
      <c r="X312" s="454"/>
      <c r="Y312" s="454"/>
      <c r="Z312" s="454"/>
      <c r="AA312" s="454"/>
      <c r="AB312" s="454"/>
    </row>
    <row r="313" spans="1:28">
      <c r="A313" s="331"/>
      <c r="B313" s="332"/>
      <c r="C313" s="454"/>
      <c r="D313" s="334"/>
      <c r="E313" s="333"/>
      <c r="F313" s="334"/>
      <c r="G313" s="334"/>
      <c r="H313" s="454"/>
      <c r="I313" s="455"/>
      <c r="J313" s="456"/>
      <c r="K313" s="456"/>
      <c r="L313" s="454"/>
      <c r="M313" s="454"/>
      <c r="N313" s="454"/>
      <c r="O313" s="454"/>
      <c r="P313" s="454"/>
      <c r="Q313" s="454"/>
      <c r="R313" s="454"/>
      <c r="S313" s="454"/>
      <c r="T313" s="454"/>
      <c r="U313" s="454"/>
      <c r="V313" s="454"/>
      <c r="W313" s="454"/>
      <c r="X313" s="454"/>
      <c r="Y313" s="454"/>
      <c r="Z313" s="454"/>
      <c r="AA313" s="454"/>
      <c r="AB313" s="454"/>
    </row>
    <row r="314" spans="1:28">
      <c r="A314" s="331"/>
      <c r="B314" s="332"/>
      <c r="C314" s="454"/>
      <c r="D314" s="334"/>
      <c r="E314" s="333"/>
      <c r="F314" s="334"/>
      <c r="G314" s="334"/>
      <c r="H314" s="454"/>
      <c r="I314" s="455"/>
      <c r="J314" s="456"/>
      <c r="K314" s="456"/>
      <c r="L314" s="454"/>
      <c r="M314" s="454"/>
      <c r="N314" s="454"/>
      <c r="O314" s="454"/>
      <c r="P314" s="454"/>
      <c r="Q314" s="454"/>
      <c r="R314" s="454"/>
      <c r="S314" s="454"/>
      <c r="T314" s="454"/>
      <c r="U314" s="454"/>
      <c r="V314" s="454"/>
      <c r="W314" s="454"/>
      <c r="X314" s="454"/>
      <c r="Y314" s="454"/>
      <c r="Z314" s="454"/>
      <c r="AA314" s="454"/>
      <c r="AB314" s="454"/>
    </row>
    <row r="315" spans="1:28">
      <c r="A315" s="331"/>
      <c r="B315" s="332"/>
      <c r="C315" s="454"/>
      <c r="D315" s="334"/>
      <c r="E315" s="333"/>
      <c r="F315" s="334"/>
      <c r="G315" s="334"/>
      <c r="H315" s="454"/>
      <c r="I315" s="455"/>
      <c r="J315" s="456"/>
      <c r="K315" s="456"/>
      <c r="L315" s="454"/>
      <c r="M315" s="454"/>
      <c r="N315" s="454"/>
      <c r="O315" s="454"/>
      <c r="P315" s="454"/>
      <c r="Q315" s="454"/>
      <c r="R315" s="454"/>
      <c r="S315" s="454"/>
      <c r="T315" s="454"/>
      <c r="U315" s="454"/>
      <c r="V315" s="454"/>
      <c r="W315" s="454"/>
      <c r="X315" s="454"/>
      <c r="Y315" s="454"/>
      <c r="Z315" s="454"/>
      <c r="AA315" s="454"/>
      <c r="AB315" s="454"/>
    </row>
    <row r="316" spans="1:28">
      <c r="A316" s="331"/>
      <c r="B316" s="332"/>
      <c r="C316" s="454"/>
      <c r="D316" s="334"/>
      <c r="E316" s="333"/>
      <c r="F316" s="334"/>
      <c r="G316" s="334"/>
      <c r="H316" s="454"/>
      <c r="I316" s="455"/>
      <c r="J316" s="456"/>
      <c r="K316" s="456"/>
      <c r="L316" s="454"/>
      <c r="M316" s="454"/>
      <c r="N316" s="454"/>
      <c r="O316" s="454"/>
      <c r="P316" s="454"/>
      <c r="Q316" s="454"/>
      <c r="R316" s="454"/>
      <c r="S316" s="454"/>
      <c r="T316" s="454"/>
      <c r="U316" s="454"/>
      <c r="V316" s="454"/>
      <c r="W316" s="454"/>
      <c r="X316" s="454"/>
      <c r="Y316" s="454"/>
      <c r="Z316" s="454"/>
      <c r="AA316" s="454"/>
      <c r="AB316" s="454"/>
    </row>
    <row r="317" spans="1:28">
      <c r="A317" s="331"/>
      <c r="B317" s="332"/>
      <c r="C317" s="454"/>
      <c r="D317" s="334"/>
      <c r="E317" s="333"/>
      <c r="F317" s="334"/>
      <c r="G317" s="334"/>
      <c r="H317" s="454"/>
      <c r="I317" s="455"/>
      <c r="J317" s="456"/>
      <c r="K317" s="456"/>
      <c r="L317" s="454"/>
      <c r="M317" s="454"/>
      <c r="N317" s="454"/>
      <c r="O317" s="454"/>
      <c r="P317" s="454"/>
      <c r="Q317" s="454"/>
      <c r="R317" s="454"/>
      <c r="S317" s="454"/>
      <c r="T317" s="454"/>
      <c r="U317" s="454"/>
      <c r="V317" s="454"/>
      <c r="W317" s="454"/>
      <c r="X317" s="454"/>
      <c r="Y317" s="454"/>
      <c r="Z317" s="454"/>
      <c r="AA317" s="454"/>
      <c r="AB317" s="454"/>
    </row>
    <row r="318" spans="1:28">
      <c r="A318" s="331"/>
      <c r="B318" s="332"/>
      <c r="C318" s="454"/>
      <c r="D318" s="334"/>
      <c r="E318" s="333"/>
      <c r="F318" s="334"/>
      <c r="G318" s="334"/>
      <c r="H318" s="454"/>
      <c r="I318" s="455"/>
      <c r="J318" s="456"/>
      <c r="K318" s="456"/>
      <c r="L318" s="454"/>
      <c r="M318" s="454"/>
      <c r="N318" s="454"/>
      <c r="O318" s="454"/>
      <c r="P318" s="454"/>
      <c r="Q318" s="454"/>
      <c r="R318" s="454"/>
      <c r="S318" s="454"/>
      <c r="T318" s="454"/>
      <c r="U318" s="454"/>
      <c r="V318" s="454"/>
      <c r="W318" s="454"/>
      <c r="X318" s="454"/>
      <c r="Y318" s="454"/>
      <c r="Z318" s="454"/>
      <c r="AA318" s="454"/>
      <c r="AB318" s="454"/>
    </row>
    <row r="319" spans="1:28">
      <c r="A319" s="331"/>
      <c r="B319" s="332"/>
      <c r="C319" s="454"/>
      <c r="D319" s="334"/>
      <c r="E319" s="333"/>
      <c r="F319" s="334"/>
      <c r="G319" s="334"/>
      <c r="H319" s="454"/>
      <c r="I319" s="455"/>
      <c r="J319" s="456"/>
      <c r="K319" s="456"/>
      <c r="L319" s="454"/>
      <c r="M319" s="454"/>
      <c r="N319" s="454"/>
      <c r="O319" s="454"/>
      <c r="P319" s="454"/>
      <c r="Q319" s="454"/>
      <c r="R319" s="454"/>
      <c r="S319" s="454"/>
      <c r="T319" s="454"/>
      <c r="U319" s="454"/>
      <c r="V319" s="454"/>
      <c r="W319" s="454"/>
      <c r="X319" s="454"/>
      <c r="Y319" s="454"/>
      <c r="Z319" s="454"/>
      <c r="AA319" s="454"/>
      <c r="AB319" s="454"/>
    </row>
    <row r="320" spans="1:28">
      <c r="A320" s="331"/>
      <c r="B320" s="332"/>
      <c r="C320" s="454"/>
      <c r="D320" s="334"/>
      <c r="E320" s="333"/>
      <c r="F320" s="334"/>
      <c r="G320" s="334"/>
      <c r="H320" s="454"/>
      <c r="I320" s="455"/>
      <c r="J320" s="456"/>
      <c r="K320" s="456"/>
      <c r="L320" s="454"/>
      <c r="M320" s="454"/>
      <c r="N320" s="454"/>
      <c r="O320" s="454"/>
      <c r="P320" s="454"/>
      <c r="Q320" s="454"/>
      <c r="R320" s="454"/>
      <c r="S320" s="454"/>
      <c r="T320" s="454"/>
      <c r="U320" s="454"/>
      <c r="V320" s="454"/>
      <c r="W320" s="454"/>
      <c r="X320" s="454"/>
      <c r="Y320" s="454"/>
      <c r="Z320" s="454"/>
      <c r="AA320" s="454"/>
      <c r="AB320" s="454"/>
    </row>
    <row r="321" spans="1:28">
      <c r="A321" s="331"/>
      <c r="B321" s="332"/>
      <c r="C321" s="454"/>
      <c r="D321" s="334"/>
      <c r="E321" s="333"/>
      <c r="F321" s="334"/>
      <c r="G321" s="334"/>
      <c r="H321" s="454"/>
      <c r="I321" s="455"/>
      <c r="J321" s="456"/>
      <c r="K321" s="456"/>
      <c r="L321" s="454"/>
      <c r="M321" s="454"/>
      <c r="N321" s="454"/>
      <c r="O321" s="454"/>
      <c r="P321" s="454"/>
      <c r="Q321" s="454"/>
      <c r="R321" s="454"/>
      <c r="S321" s="454"/>
      <c r="T321" s="454"/>
      <c r="U321" s="454"/>
      <c r="V321" s="454"/>
      <c r="W321" s="454"/>
      <c r="X321" s="454"/>
      <c r="Y321" s="454"/>
      <c r="Z321" s="454"/>
      <c r="AA321" s="454"/>
      <c r="AB321" s="454"/>
    </row>
    <row r="322" spans="1:28">
      <c r="A322" s="331"/>
      <c r="B322" s="332"/>
      <c r="C322" s="454"/>
      <c r="D322" s="334"/>
      <c r="E322" s="333"/>
      <c r="F322" s="334"/>
      <c r="G322" s="334"/>
      <c r="H322" s="454"/>
      <c r="I322" s="455"/>
      <c r="J322" s="456"/>
      <c r="K322" s="456"/>
      <c r="L322" s="454"/>
      <c r="M322" s="454"/>
      <c r="N322" s="454"/>
      <c r="O322" s="454"/>
      <c r="P322" s="454"/>
      <c r="Q322" s="454"/>
      <c r="R322" s="454"/>
      <c r="S322" s="454"/>
      <c r="T322" s="454"/>
      <c r="U322" s="454"/>
      <c r="V322" s="454"/>
      <c r="W322" s="454"/>
      <c r="X322" s="454"/>
      <c r="Y322" s="454"/>
      <c r="Z322" s="454"/>
      <c r="AA322" s="454"/>
      <c r="AB322" s="454"/>
    </row>
    <row r="323" spans="1:28">
      <c r="A323" s="331"/>
      <c r="B323" s="332"/>
      <c r="C323" s="454"/>
      <c r="D323" s="334"/>
      <c r="E323" s="333"/>
      <c r="F323" s="334"/>
      <c r="G323" s="334"/>
      <c r="H323" s="454"/>
      <c r="I323" s="455"/>
      <c r="J323" s="456"/>
      <c r="K323" s="456"/>
      <c r="L323" s="454"/>
      <c r="M323" s="454"/>
      <c r="N323" s="454"/>
      <c r="O323" s="454"/>
      <c r="P323" s="454"/>
      <c r="Q323" s="454"/>
      <c r="R323" s="454"/>
      <c r="S323" s="454"/>
      <c r="T323" s="454"/>
      <c r="U323" s="454"/>
      <c r="V323" s="454"/>
      <c r="W323" s="454"/>
      <c r="X323" s="454"/>
      <c r="Y323" s="454"/>
      <c r="Z323" s="454"/>
      <c r="AA323" s="454"/>
      <c r="AB323" s="454"/>
    </row>
    <row r="324" spans="1:28">
      <c r="A324" s="331"/>
      <c r="B324" s="332"/>
      <c r="C324" s="454"/>
      <c r="D324" s="334"/>
      <c r="E324" s="333"/>
      <c r="F324" s="334"/>
      <c r="G324" s="334"/>
      <c r="H324" s="454"/>
      <c r="I324" s="455"/>
      <c r="J324" s="456"/>
      <c r="K324" s="456"/>
      <c r="L324" s="454"/>
      <c r="M324" s="454"/>
      <c r="N324" s="454"/>
      <c r="O324" s="454"/>
      <c r="P324" s="454"/>
      <c r="Q324" s="454"/>
      <c r="R324" s="454"/>
      <c r="S324" s="454"/>
      <c r="T324" s="454"/>
      <c r="U324" s="454"/>
      <c r="V324" s="454"/>
      <c r="W324" s="454"/>
      <c r="X324" s="454"/>
      <c r="Y324" s="454"/>
      <c r="Z324" s="454"/>
      <c r="AA324" s="454"/>
      <c r="AB324" s="454"/>
    </row>
    <row r="325" spans="1:28">
      <c r="A325" s="331"/>
      <c r="B325" s="332"/>
      <c r="C325" s="454"/>
      <c r="D325" s="334"/>
      <c r="E325" s="333"/>
      <c r="F325" s="334"/>
      <c r="G325" s="334"/>
      <c r="H325" s="454"/>
      <c r="I325" s="455"/>
      <c r="J325" s="456"/>
      <c r="K325" s="456"/>
      <c r="L325" s="454"/>
      <c r="M325" s="454"/>
      <c r="N325" s="454"/>
      <c r="O325" s="454"/>
      <c r="P325" s="454"/>
      <c r="Q325" s="454"/>
      <c r="R325" s="454"/>
      <c r="S325" s="454"/>
      <c r="T325" s="454"/>
      <c r="U325" s="454"/>
      <c r="V325" s="454"/>
      <c r="W325" s="454"/>
      <c r="X325" s="454"/>
      <c r="Y325" s="454"/>
      <c r="Z325" s="454"/>
      <c r="AA325" s="454"/>
      <c r="AB325" s="454"/>
    </row>
    <row r="326" spans="1:28">
      <c r="A326" s="331"/>
      <c r="B326" s="332"/>
      <c r="C326" s="454"/>
      <c r="D326" s="334"/>
      <c r="E326" s="333"/>
      <c r="F326" s="334"/>
      <c r="G326" s="336"/>
      <c r="H326" s="454"/>
      <c r="I326" s="455"/>
      <c r="J326" s="456"/>
      <c r="K326" s="456"/>
      <c r="L326" s="454"/>
      <c r="M326" s="454"/>
      <c r="N326" s="454"/>
      <c r="O326" s="454"/>
      <c r="P326" s="454"/>
      <c r="Q326" s="454"/>
      <c r="R326" s="454"/>
      <c r="S326" s="454"/>
      <c r="T326" s="454"/>
      <c r="U326" s="454"/>
      <c r="V326" s="454"/>
      <c r="W326" s="454"/>
      <c r="X326" s="454"/>
      <c r="Y326" s="454"/>
      <c r="Z326" s="454"/>
      <c r="AA326" s="454"/>
      <c r="AB326" s="454"/>
    </row>
    <row r="327" spans="1:28">
      <c r="A327" s="331"/>
      <c r="B327" s="332"/>
      <c r="C327" s="454"/>
      <c r="D327" s="334"/>
      <c r="E327" s="333"/>
      <c r="F327" s="333"/>
      <c r="G327" s="336"/>
      <c r="H327" s="454"/>
      <c r="I327" s="455"/>
      <c r="J327" s="456"/>
      <c r="K327" s="456"/>
      <c r="L327" s="454"/>
      <c r="M327" s="454"/>
      <c r="N327" s="454"/>
      <c r="O327" s="454"/>
      <c r="P327" s="454"/>
      <c r="Q327" s="454"/>
      <c r="R327" s="454"/>
      <c r="S327" s="454"/>
      <c r="T327" s="454"/>
      <c r="U327" s="454"/>
      <c r="V327" s="454"/>
      <c r="W327" s="454"/>
      <c r="X327" s="454"/>
      <c r="Y327" s="454"/>
      <c r="Z327" s="454"/>
      <c r="AA327" s="454"/>
      <c r="AB327" s="454"/>
    </row>
    <row r="328" spans="1:28">
      <c r="A328" s="331"/>
      <c r="B328" s="332"/>
      <c r="C328" s="454"/>
      <c r="D328" s="334"/>
      <c r="E328" s="333"/>
      <c r="F328" s="334"/>
      <c r="G328" s="336"/>
      <c r="H328" s="454"/>
      <c r="I328" s="455"/>
      <c r="J328" s="456"/>
      <c r="K328" s="456"/>
      <c r="L328" s="454"/>
      <c r="M328" s="454"/>
      <c r="N328" s="454"/>
      <c r="O328" s="454"/>
      <c r="P328" s="454"/>
      <c r="Q328" s="454"/>
      <c r="R328" s="454"/>
      <c r="S328" s="454"/>
      <c r="T328" s="454"/>
      <c r="U328" s="454"/>
      <c r="V328" s="454"/>
      <c r="W328" s="454"/>
      <c r="X328" s="454"/>
      <c r="Y328" s="454"/>
      <c r="Z328" s="454"/>
      <c r="AA328" s="454"/>
      <c r="AB328" s="454"/>
    </row>
    <row r="329" spans="1:28">
      <c r="A329" s="331"/>
      <c r="B329" s="332"/>
      <c r="C329" s="454"/>
      <c r="D329" s="334"/>
      <c r="E329" s="333"/>
      <c r="F329" s="334"/>
      <c r="G329" s="336"/>
      <c r="H329" s="454"/>
      <c r="I329" s="455"/>
      <c r="J329" s="456"/>
      <c r="K329" s="456"/>
      <c r="L329" s="454"/>
      <c r="M329" s="454"/>
      <c r="N329" s="454"/>
      <c r="O329" s="454"/>
      <c r="P329" s="454"/>
      <c r="Q329" s="454"/>
      <c r="R329" s="454"/>
      <c r="S329" s="454"/>
      <c r="T329" s="454"/>
      <c r="U329" s="454"/>
      <c r="V329" s="454"/>
      <c r="W329" s="454"/>
      <c r="X329" s="454"/>
      <c r="Y329" s="454"/>
      <c r="Z329" s="454"/>
      <c r="AA329" s="454"/>
      <c r="AB329" s="454"/>
    </row>
    <row r="330" spans="1:28">
      <c r="A330" s="331"/>
      <c r="B330" s="332"/>
      <c r="C330" s="454"/>
      <c r="D330" s="336"/>
      <c r="E330" s="333"/>
      <c r="F330" s="336"/>
      <c r="G330" s="336"/>
      <c r="H330" s="454"/>
      <c r="I330" s="455"/>
      <c r="J330" s="456"/>
      <c r="K330" s="456"/>
      <c r="L330" s="454"/>
      <c r="M330" s="454"/>
      <c r="N330" s="454"/>
      <c r="O330" s="454"/>
      <c r="P330" s="454"/>
      <c r="Q330" s="454"/>
      <c r="R330" s="454"/>
      <c r="S330" s="454"/>
      <c r="T330" s="454"/>
      <c r="U330" s="454"/>
      <c r="V330" s="454"/>
      <c r="W330" s="454"/>
      <c r="X330" s="454"/>
      <c r="Y330" s="454"/>
      <c r="Z330" s="454"/>
      <c r="AA330" s="454"/>
      <c r="AB330" s="454"/>
    </row>
    <row r="331" spans="1:28">
      <c r="A331" s="331"/>
      <c r="B331" s="332"/>
      <c r="C331" s="454"/>
      <c r="D331" s="334"/>
      <c r="E331" s="333"/>
      <c r="F331" s="334"/>
      <c r="G331" s="336"/>
      <c r="H331" s="454"/>
      <c r="I331" s="455"/>
      <c r="J331" s="456"/>
      <c r="K331" s="456"/>
      <c r="L331" s="454"/>
      <c r="M331" s="454"/>
      <c r="N331" s="454"/>
      <c r="O331" s="454"/>
      <c r="P331" s="454"/>
      <c r="Q331" s="454"/>
      <c r="R331" s="454"/>
      <c r="S331" s="454"/>
      <c r="T331" s="454"/>
      <c r="U331" s="454"/>
      <c r="V331" s="454"/>
      <c r="W331" s="454"/>
      <c r="X331" s="454"/>
      <c r="Y331" s="454"/>
      <c r="Z331" s="454"/>
      <c r="AA331" s="454"/>
      <c r="AB331" s="454"/>
    </row>
    <row r="332" spans="1:28">
      <c r="A332" s="331"/>
      <c r="B332" s="332"/>
      <c r="C332" s="454"/>
      <c r="D332" s="334"/>
      <c r="E332" s="333"/>
      <c r="F332" s="334"/>
      <c r="G332" s="334"/>
      <c r="H332" s="454"/>
      <c r="I332" s="455"/>
      <c r="J332" s="456"/>
      <c r="K332" s="456"/>
      <c r="L332" s="454"/>
      <c r="M332" s="454"/>
      <c r="N332" s="454"/>
      <c r="O332" s="454"/>
      <c r="P332" s="454"/>
      <c r="Q332" s="454"/>
      <c r="R332" s="454"/>
      <c r="S332" s="454"/>
      <c r="T332" s="454"/>
      <c r="U332" s="454"/>
      <c r="V332" s="454"/>
      <c r="W332" s="454"/>
      <c r="X332" s="454"/>
      <c r="Y332" s="454"/>
      <c r="Z332" s="454"/>
      <c r="AA332" s="454"/>
      <c r="AB332" s="454"/>
    </row>
    <row r="333" spans="1:28">
      <c r="A333" s="331"/>
      <c r="B333" s="332"/>
      <c r="C333" s="454"/>
      <c r="D333" s="334"/>
      <c r="E333" s="333"/>
      <c r="F333" s="334"/>
      <c r="G333" s="334"/>
      <c r="H333" s="454"/>
      <c r="I333" s="455"/>
      <c r="J333" s="456"/>
      <c r="K333" s="456"/>
      <c r="L333" s="454"/>
      <c r="M333" s="454"/>
      <c r="N333" s="454"/>
      <c r="O333" s="454"/>
      <c r="P333" s="454"/>
      <c r="Q333" s="454"/>
      <c r="R333" s="454"/>
      <c r="S333" s="454"/>
      <c r="T333" s="454"/>
      <c r="U333" s="454"/>
      <c r="V333" s="454"/>
      <c r="W333" s="454"/>
      <c r="X333" s="454"/>
      <c r="Y333" s="454"/>
      <c r="Z333" s="454"/>
      <c r="AA333" s="454"/>
      <c r="AB333" s="454"/>
    </row>
    <row r="334" spans="1:28">
      <c r="A334" s="331"/>
      <c r="B334" s="332"/>
      <c r="C334" s="454"/>
      <c r="D334" s="334"/>
      <c r="E334" s="333"/>
      <c r="F334" s="334"/>
      <c r="G334" s="334"/>
      <c r="H334" s="454"/>
      <c r="I334" s="455"/>
      <c r="J334" s="456"/>
      <c r="K334" s="456"/>
      <c r="L334" s="454"/>
      <c r="M334" s="454"/>
      <c r="N334" s="454"/>
      <c r="O334" s="454"/>
      <c r="P334" s="454"/>
      <c r="Q334" s="454"/>
      <c r="R334" s="454"/>
      <c r="S334" s="454"/>
      <c r="T334" s="454"/>
      <c r="U334" s="454"/>
      <c r="V334" s="454"/>
      <c r="W334" s="454"/>
      <c r="X334" s="454"/>
      <c r="Y334" s="454"/>
      <c r="Z334" s="454"/>
      <c r="AA334" s="454"/>
      <c r="AB334" s="454"/>
    </row>
    <row r="335" spans="1:28">
      <c r="A335" s="331"/>
      <c r="B335" s="332"/>
      <c r="C335" s="454"/>
      <c r="D335" s="334"/>
      <c r="E335" s="333"/>
      <c r="F335" s="334"/>
      <c r="G335" s="334"/>
      <c r="H335" s="454"/>
      <c r="I335" s="455"/>
      <c r="J335" s="456"/>
      <c r="K335" s="456"/>
      <c r="L335" s="454"/>
      <c r="M335" s="454"/>
      <c r="N335" s="454"/>
      <c r="O335" s="454"/>
      <c r="P335" s="454"/>
      <c r="Q335" s="454"/>
      <c r="R335" s="454"/>
      <c r="S335" s="454"/>
      <c r="T335" s="454"/>
      <c r="U335" s="454"/>
      <c r="V335" s="454"/>
      <c r="W335" s="454"/>
      <c r="X335" s="454"/>
      <c r="Y335" s="454"/>
      <c r="Z335" s="454"/>
      <c r="AA335" s="454"/>
      <c r="AB335" s="454"/>
    </row>
    <row r="336" spans="1:28">
      <c r="A336" s="331"/>
      <c r="B336" s="332"/>
      <c r="C336" s="454"/>
      <c r="D336" s="334"/>
      <c r="E336" s="333"/>
      <c r="F336" s="334"/>
      <c r="G336" s="334"/>
      <c r="H336" s="454"/>
      <c r="I336" s="455"/>
      <c r="J336" s="456"/>
      <c r="K336" s="456"/>
      <c r="L336" s="454"/>
      <c r="M336" s="454"/>
      <c r="N336" s="454"/>
      <c r="O336" s="454"/>
      <c r="P336" s="454"/>
      <c r="Q336" s="454"/>
      <c r="R336" s="454"/>
      <c r="S336" s="454"/>
      <c r="T336" s="454"/>
      <c r="U336" s="454"/>
      <c r="V336" s="454"/>
      <c r="W336" s="454"/>
      <c r="X336" s="454"/>
      <c r="Y336" s="454"/>
      <c r="Z336" s="454"/>
      <c r="AA336" s="454"/>
      <c r="AB336" s="454"/>
    </row>
    <row r="337" spans="1:28">
      <c r="A337" s="331"/>
      <c r="B337" s="332"/>
      <c r="C337" s="454"/>
      <c r="D337" s="333"/>
      <c r="E337" s="333"/>
      <c r="F337" s="333"/>
      <c r="G337" s="333"/>
      <c r="H337" s="454"/>
      <c r="I337" s="455"/>
      <c r="J337" s="456"/>
      <c r="K337" s="456"/>
      <c r="L337" s="454"/>
      <c r="M337" s="454"/>
      <c r="N337" s="454"/>
      <c r="O337" s="454"/>
      <c r="P337" s="454"/>
      <c r="Q337" s="454"/>
      <c r="R337" s="454"/>
      <c r="S337" s="454"/>
      <c r="T337" s="454"/>
      <c r="U337" s="454"/>
      <c r="V337" s="454"/>
      <c r="W337" s="454"/>
      <c r="X337" s="454"/>
      <c r="Y337" s="454"/>
      <c r="Z337" s="454"/>
      <c r="AA337" s="454"/>
      <c r="AB337" s="454"/>
    </row>
    <row r="338" spans="1:28">
      <c r="A338" s="331"/>
      <c r="B338" s="332"/>
      <c r="C338" s="454"/>
      <c r="D338" s="333"/>
      <c r="E338" s="333"/>
      <c r="F338" s="333"/>
      <c r="G338" s="333"/>
      <c r="H338" s="454"/>
      <c r="I338" s="455"/>
      <c r="J338" s="456"/>
      <c r="K338" s="456"/>
      <c r="L338" s="454"/>
      <c r="M338" s="454"/>
      <c r="N338" s="454"/>
      <c r="O338" s="454"/>
      <c r="P338" s="454"/>
      <c r="Q338" s="454"/>
      <c r="R338" s="454"/>
      <c r="S338" s="454"/>
      <c r="T338" s="454"/>
      <c r="U338" s="454"/>
      <c r="V338" s="454"/>
      <c r="W338" s="454"/>
      <c r="X338" s="454"/>
      <c r="Y338" s="454"/>
      <c r="Z338" s="454"/>
      <c r="AA338" s="454"/>
      <c r="AB338" s="454"/>
    </row>
    <row r="339" spans="1:28">
      <c r="A339" s="331"/>
      <c r="B339" s="332"/>
      <c r="C339" s="454"/>
      <c r="D339" s="333"/>
      <c r="E339" s="333"/>
      <c r="F339" s="333"/>
      <c r="G339" s="333"/>
      <c r="H339" s="454"/>
      <c r="I339" s="455"/>
      <c r="J339" s="456"/>
      <c r="K339" s="456"/>
      <c r="L339" s="454"/>
      <c r="M339" s="454"/>
      <c r="N339" s="454"/>
      <c r="O339" s="454"/>
      <c r="P339" s="454"/>
      <c r="Q339" s="454"/>
      <c r="R339" s="454"/>
      <c r="S339" s="454"/>
      <c r="T339" s="454"/>
      <c r="U339" s="454"/>
      <c r="V339" s="454"/>
      <c r="W339" s="454"/>
      <c r="X339" s="454"/>
      <c r="Y339" s="454"/>
      <c r="Z339" s="454"/>
      <c r="AA339" s="454"/>
      <c r="AB339" s="454"/>
    </row>
    <row r="340" spans="1:28">
      <c r="A340" s="331"/>
      <c r="B340" s="332"/>
      <c r="C340" s="454"/>
      <c r="D340" s="333"/>
      <c r="E340" s="333"/>
      <c r="F340" s="333"/>
      <c r="G340" s="333"/>
      <c r="H340" s="454"/>
      <c r="I340" s="455"/>
      <c r="J340" s="456"/>
      <c r="K340" s="456"/>
      <c r="L340" s="454"/>
      <c r="M340" s="454"/>
      <c r="N340" s="454"/>
      <c r="O340" s="454"/>
      <c r="P340" s="454"/>
      <c r="Q340" s="454"/>
      <c r="R340" s="454"/>
      <c r="S340" s="454"/>
      <c r="T340" s="454"/>
      <c r="U340" s="454"/>
      <c r="V340" s="454"/>
      <c r="W340" s="454"/>
      <c r="X340" s="454"/>
      <c r="Y340" s="454"/>
      <c r="Z340" s="454"/>
      <c r="AA340" s="454"/>
      <c r="AB340" s="454"/>
    </row>
    <row r="341" spans="1:28">
      <c r="A341" s="331"/>
      <c r="B341" s="332"/>
      <c r="C341" s="454"/>
      <c r="D341" s="333"/>
      <c r="E341" s="333"/>
      <c r="F341" s="333"/>
      <c r="G341" s="333"/>
      <c r="H341" s="454"/>
      <c r="I341" s="455"/>
      <c r="J341" s="456"/>
      <c r="K341" s="456"/>
      <c r="L341" s="454"/>
      <c r="M341" s="454"/>
      <c r="N341" s="454"/>
      <c r="O341" s="454"/>
      <c r="P341" s="454"/>
      <c r="Q341" s="454"/>
      <c r="R341" s="454"/>
      <c r="S341" s="454"/>
      <c r="T341" s="454"/>
      <c r="U341" s="454"/>
      <c r="V341" s="454"/>
      <c r="W341" s="454"/>
      <c r="X341" s="454"/>
      <c r="Y341" s="454"/>
      <c r="Z341" s="454"/>
      <c r="AA341" s="454"/>
      <c r="AB341" s="454"/>
    </row>
    <row r="342" spans="1:28">
      <c r="A342" s="331"/>
      <c r="B342" s="332"/>
      <c r="C342" s="454"/>
      <c r="D342" s="333"/>
      <c r="E342" s="333"/>
      <c r="F342" s="333"/>
      <c r="G342" s="333"/>
      <c r="H342" s="454"/>
      <c r="I342" s="455"/>
      <c r="J342" s="456"/>
      <c r="K342" s="456"/>
      <c r="L342" s="454"/>
      <c r="M342" s="454"/>
      <c r="N342" s="454"/>
      <c r="O342" s="454"/>
      <c r="P342" s="454"/>
      <c r="Q342" s="454"/>
      <c r="R342" s="454"/>
      <c r="S342" s="454"/>
      <c r="T342" s="454"/>
      <c r="U342" s="454"/>
      <c r="V342" s="454"/>
      <c r="W342" s="454"/>
      <c r="X342" s="454"/>
      <c r="Y342" s="454"/>
      <c r="Z342" s="454"/>
      <c r="AA342" s="454"/>
      <c r="AB342" s="454"/>
    </row>
    <row r="343" spans="1:28">
      <c r="A343" s="331"/>
      <c r="B343" s="332"/>
      <c r="C343" s="454"/>
      <c r="D343" s="333"/>
      <c r="E343" s="333"/>
      <c r="F343" s="333"/>
      <c r="G343" s="333"/>
      <c r="H343" s="454"/>
      <c r="I343" s="455"/>
      <c r="J343" s="456"/>
      <c r="K343" s="456"/>
      <c r="L343" s="454"/>
      <c r="M343" s="454"/>
      <c r="N343" s="454"/>
      <c r="O343" s="454"/>
      <c r="P343" s="454"/>
      <c r="Q343" s="454"/>
      <c r="R343" s="454"/>
      <c r="S343" s="454"/>
      <c r="T343" s="454"/>
      <c r="U343" s="454"/>
      <c r="V343" s="454"/>
      <c r="W343" s="454"/>
      <c r="X343" s="454"/>
      <c r="Y343" s="454"/>
      <c r="Z343" s="454"/>
      <c r="AA343" s="454"/>
      <c r="AB343" s="454"/>
    </row>
    <row r="344" spans="1:28">
      <c r="A344" s="331"/>
      <c r="B344" s="332"/>
      <c r="C344" s="454"/>
      <c r="D344" s="333"/>
      <c r="E344" s="333"/>
      <c r="F344" s="333"/>
      <c r="G344" s="333"/>
      <c r="H344" s="454"/>
      <c r="I344" s="455"/>
      <c r="J344" s="456"/>
      <c r="K344" s="456"/>
      <c r="L344" s="454"/>
      <c r="M344" s="454"/>
      <c r="N344" s="454"/>
      <c r="O344" s="454"/>
      <c r="P344" s="454"/>
      <c r="Q344" s="454"/>
      <c r="R344" s="454"/>
      <c r="S344" s="454"/>
      <c r="T344" s="454"/>
      <c r="U344" s="454"/>
      <c r="V344" s="454"/>
      <c r="W344" s="454"/>
      <c r="X344" s="454"/>
      <c r="Y344" s="454"/>
      <c r="Z344" s="454"/>
      <c r="AA344" s="454"/>
      <c r="AB344" s="454"/>
    </row>
    <row r="345" spans="1:28">
      <c r="A345" s="331"/>
      <c r="B345" s="332"/>
      <c r="C345" s="454"/>
      <c r="D345" s="333"/>
      <c r="E345" s="333"/>
      <c r="F345" s="333"/>
      <c r="G345" s="333"/>
      <c r="H345" s="454"/>
      <c r="I345" s="455"/>
      <c r="J345" s="456"/>
      <c r="K345" s="456"/>
      <c r="L345" s="454"/>
      <c r="M345" s="454"/>
      <c r="N345" s="454"/>
      <c r="O345" s="454"/>
      <c r="P345" s="454"/>
      <c r="Q345" s="454"/>
      <c r="R345" s="454"/>
      <c r="S345" s="454"/>
      <c r="T345" s="454"/>
      <c r="U345" s="454"/>
      <c r="V345" s="454"/>
      <c r="W345" s="454"/>
      <c r="X345" s="454"/>
      <c r="Y345" s="454"/>
      <c r="Z345" s="454"/>
      <c r="AA345" s="454"/>
      <c r="AB345" s="454"/>
    </row>
    <row r="346" spans="1:28">
      <c r="A346" s="331"/>
      <c r="B346" s="332"/>
      <c r="C346" s="454"/>
      <c r="D346" s="333"/>
      <c r="E346" s="333"/>
      <c r="F346" s="333"/>
      <c r="G346" s="333"/>
      <c r="H346" s="454"/>
      <c r="I346" s="455"/>
      <c r="J346" s="456"/>
      <c r="K346" s="456"/>
      <c r="L346" s="454"/>
      <c r="M346" s="454"/>
      <c r="N346" s="454"/>
      <c r="O346" s="454"/>
      <c r="P346" s="454"/>
      <c r="Q346" s="454"/>
      <c r="R346" s="454"/>
      <c r="S346" s="454"/>
      <c r="T346" s="454"/>
      <c r="U346" s="454"/>
      <c r="V346" s="454"/>
      <c r="W346" s="454"/>
      <c r="X346" s="454"/>
      <c r="Y346" s="454"/>
      <c r="Z346" s="454"/>
      <c r="AA346" s="454"/>
      <c r="AB346" s="454"/>
    </row>
    <row r="347" spans="1:28">
      <c r="A347" s="331"/>
      <c r="B347" s="332"/>
      <c r="C347" s="454"/>
      <c r="D347" s="334"/>
      <c r="E347" s="333"/>
      <c r="F347" s="334"/>
      <c r="G347" s="334"/>
      <c r="H347" s="454"/>
      <c r="I347" s="455"/>
      <c r="J347" s="456"/>
      <c r="K347" s="456"/>
      <c r="L347" s="454"/>
      <c r="M347" s="454"/>
      <c r="N347" s="454"/>
      <c r="O347" s="454"/>
      <c r="P347" s="454"/>
      <c r="Q347" s="454"/>
      <c r="R347" s="454"/>
      <c r="S347" s="454"/>
      <c r="T347" s="454"/>
      <c r="U347" s="454"/>
      <c r="V347" s="454"/>
      <c r="W347" s="454"/>
      <c r="X347" s="454"/>
      <c r="Y347" s="454"/>
      <c r="Z347" s="454"/>
      <c r="AA347" s="454"/>
      <c r="AB347" s="454"/>
    </row>
    <row r="348" spans="1:28">
      <c r="A348" s="331"/>
      <c r="B348" s="332"/>
      <c r="C348" s="454"/>
      <c r="D348" s="334"/>
      <c r="E348" s="333"/>
      <c r="F348" s="334"/>
      <c r="G348" s="334"/>
      <c r="H348" s="454"/>
      <c r="I348" s="455"/>
      <c r="J348" s="456"/>
      <c r="K348" s="456"/>
      <c r="L348" s="454"/>
      <c r="M348" s="454"/>
      <c r="N348" s="454"/>
      <c r="O348" s="454"/>
      <c r="P348" s="454"/>
      <c r="Q348" s="454"/>
      <c r="R348" s="454"/>
      <c r="S348" s="454"/>
      <c r="T348" s="454"/>
      <c r="U348" s="454"/>
      <c r="V348" s="454"/>
      <c r="W348" s="454"/>
      <c r="X348" s="454"/>
      <c r="Y348" s="454"/>
      <c r="Z348" s="454"/>
      <c r="AA348" s="454"/>
      <c r="AB348" s="454"/>
    </row>
    <row r="349" spans="1:28">
      <c r="A349" s="331"/>
      <c r="B349" s="332"/>
      <c r="C349" s="454"/>
      <c r="D349" s="333"/>
      <c r="E349" s="333"/>
      <c r="F349" s="333"/>
      <c r="G349" s="333"/>
      <c r="H349" s="454"/>
      <c r="I349" s="455"/>
      <c r="J349" s="456"/>
      <c r="K349" s="456"/>
      <c r="L349" s="454"/>
      <c r="M349" s="454"/>
      <c r="N349" s="454"/>
      <c r="O349" s="454"/>
      <c r="P349" s="454"/>
      <c r="Q349" s="454"/>
      <c r="R349" s="454"/>
      <c r="S349" s="454"/>
      <c r="T349" s="454"/>
      <c r="U349" s="454"/>
      <c r="V349" s="454"/>
      <c r="W349" s="454"/>
      <c r="X349" s="454"/>
      <c r="Y349" s="454"/>
      <c r="Z349" s="454"/>
      <c r="AA349" s="454"/>
      <c r="AB349" s="454"/>
    </row>
    <row r="350" spans="1:28">
      <c r="A350" s="331"/>
      <c r="B350" s="332"/>
      <c r="C350" s="454"/>
      <c r="D350" s="333"/>
      <c r="E350" s="333"/>
      <c r="F350" s="333"/>
      <c r="G350" s="333"/>
      <c r="H350" s="454"/>
      <c r="I350" s="455"/>
      <c r="J350" s="456"/>
      <c r="K350" s="456"/>
      <c r="L350" s="454"/>
      <c r="M350" s="454"/>
      <c r="N350" s="454"/>
      <c r="O350" s="454"/>
      <c r="P350" s="454"/>
      <c r="Q350" s="454"/>
      <c r="R350" s="454"/>
      <c r="S350" s="454"/>
      <c r="T350" s="454"/>
      <c r="U350" s="454"/>
      <c r="V350" s="454"/>
      <c r="W350" s="454"/>
      <c r="X350" s="454"/>
      <c r="Y350" s="454"/>
      <c r="Z350" s="454"/>
      <c r="AA350" s="454"/>
      <c r="AB350" s="454"/>
    </row>
    <row r="351" spans="1:28">
      <c r="A351" s="331"/>
      <c r="B351" s="332"/>
      <c r="C351" s="454"/>
      <c r="D351" s="333"/>
      <c r="E351" s="333"/>
      <c r="F351" s="333"/>
      <c r="G351" s="333"/>
      <c r="H351" s="454"/>
      <c r="I351" s="455"/>
      <c r="J351" s="456"/>
      <c r="K351" s="456"/>
      <c r="L351" s="454"/>
      <c r="M351" s="454"/>
      <c r="N351" s="454"/>
      <c r="O351" s="454"/>
      <c r="P351" s="454"/>
      <c r="Q351" s="454"/>
      <c r="R351" s="454"/>
      <c r="S351" s="454"/>
      <c r="T351" s="454"/>
      <c r="U351" s="454"/>
      <c r="V351" s="454"/>
      <c r="W351" s="454"/>
      <c r="X351" s="454"/>
      <c r="Y351" s="454"/>
      <c r="Z351" s="454"/>
      <c r="AA351" s="454"/>
      <c r="AB351" s="454"/>
    </row>
    <row r="352" spans="1:28">
      <c r="A352" s="331"/>
      <c r="B352" s="332"/>
      <c r="C352" s="454"/>
      <c r="D352" s="333"/>
      <c r="E352" s="333"/>
      <c r="F352" s="333"/>
      <c r="G352" s="333"/>
      <c r="H352" s="454"/>
      <c r="I352" s="455"/>
      <c r="J352" s="456"/>
      <c r="K352" s="456"/>
      <c r="L352" s="454"/>
      <c r="M352" s="454"/>
      <c r="N352" s="454"/>
      <c r="O352" s="454"/>
      <c r="P352" s="454"/>
      <c r="Q352" s="454"/>
      <c r="R352" s="454"/>
      <c r="S352" s="454"/>
      <c r="T352" s="454"/>
      <c r="U352" s="454"/>
      <c r="V352" s="454"/>
      <c r="W352" s="454"/>
      <c r="X352" s="454"/>
      <c r="Y352" s="454"/>
      <c r="Z352" s="454"/>
      <c r="AA352" s="454"/>
      <c r="AB352" s="454"/>
    </row>
    <row r="353" spans="1:28">
      <c r="A353" s="331"/>
      <c r="B353" s="332"/>
      <c r="C353" s="454"/>
      <c r="D353" s="337"/>
      <c r="E353" s="333"/>
      <c r="F353" s="337"/>
      <c r="G353" s="337"/>
      <c r="H353" s="454"/>
      <c r="I353" s="455"/>
      <c r="J353" s="456"/>
      <c r="K353" s="456"/>
      <c r="L353" s="454"/>
      <c r="M353" s="454"/>
      <c r="N353" s="454"/>
      <c r="O353" s="454"/>
      <c r="P353" s="454"/>
      <c r="Q353" s="454"/>
      <c r="R353" s="454"/>
      <c r="S353" s="454"/>
      <c r="T353" s="454"/>
      <c r="U353" s="454"/>
      <c r="V353" s="454"/>
      <c r="W353" s="454"/>
      <c r="X353" s="454"/>
      <c r="Y353" s="454"/>
      <c r="Z353" s="454"/>
      <c r="AA353" s="454"/>
      <c r="AB353" s="454"/>
    </row>
    <row r="354" spans="1:28">
      <c r="A354" s="331"/>
      <c r="B354" s="332"/>
      <c r="C354" s="454"/>
      <c r="D354" s="335"/>
      <c r="E354" s="333"/>
      <c r="F354" s="335"/>
      <c r="G354" s="335"/>
      <c r="H354" s="454"/>
      <c r="I354" s="455"/>
      <c r="J354" s="456"/>
      <c r="K354" s="456"/>
      <c r="L354" s="454"/>
      <c r="M354" s="454"/>
      <c r="N354" s="454"/>
      <c r="O354" s="454"/>
      <c r="P354" s="454"/>
      <c r="Q354" s="454"/>
      <c r="R354" s="454"/>
      <c r="S354" s="454"/>
      <c r="T354" s="454"/>
      <c r="U354" s="454"/>
      <c r="V354" s="454"/>
      <c r="W354" s="454"/>
      <c r="X354" s="454"/>
      <c r="Y354" s="454"/>
      <c r="Z354" s="454"/>
      <c r="AA354" s="454"/>
      <c r="AB354" s="454"/>
    </row>
    <row r="355" spans="1:28">
      <c r="A355" s="331"/>
      <c r="B355" s="332"/>
      <c r="C355" s="454"/>
      <c r="D355" s="336"/>
      <c r="E355" s="333"/>
      <c r="F355" s="336"/>
      <c r="G355" s="336"/>
      <c r="H355" s="454"/>
      <c r="I355" s="455"/>
      <c r="J355" s="456"/>
      <c r="K355" s="456"/>
      <c r="L355" s="454"/>
      <c r="M355" s="454"/>
      <c r="N355" s="454"/>
      <c r="O355" s="454"/>
      <c r="P355" s="454"/>
      <c r="Q355" s="454"/>
      <c r="R355" s="454"/>
      <c r="S355" s="454"/>
      <c r="T355" s="454"/>
      <c r="U355" s="454"/>
      <c r="V355" s="454"/>
      <c r="W355" s="454"/>
      <c r="X355" s="454"/>
      <c r="Y355" s="454"/>
      <c r="Z355" s="454"/>
      <c r="AA355" s="454"/>
      <c r="AB355" s="454"/>
    </row>
    <row r="356" spans="1:28">
      <c r="A356" s="331"/>
      <c r="B356" s="332"/>
      <c r="C356" s="454"/>
      <c r="D356" s="336"/>
      <c r="E356" s="333"/>
      <c r="F356" s="336"/>
      <c r="G356" s="336"/>
      <c r="H356" s="454"/>
      <c r="I356" s="455"/>
      <c r="J356" s="456"/>
      <c r="K356" s="456"/>
      <c r="L356" s="454"/>
      <c r="M356" s="454"/>
      <c r="N356" s="454"/>
      <c r="O356" s="454"/>
      <c r="P356" s="454"/>
      <c r="Q356" s="454"/>
      <c r="R356" s="454"/>
      <c r="S356" s="454"/>
      <c r="T356" s="454"/>
      <c r="U356" s="454"/>
      <c r="V356" s="454"/>
      <c r="W356" s="454"/>
      <c r="X356" s="454"/>
      <c r="Y356" s="454"/>
      <c r="Z356" s="454"/>
      <c r="AA356" s="454"/>
      <c r="AB356" s="454"/>
    </row>
    <row r="357" spans="1:28">
      <c r="A357" s="331"/>
      <c r="B357" s="332"/>
      <c r="C357" s="454"/>
      <c r="D357" s="334"/>
      <c r="E357" s="333"/>
      <c r="F357" s="334"/>
      <c r="G357" s="336"/>
      <c r="H357" s="454"/>
      <c r="I357" s="455"/>
      <c r="J357" s="456"/>
      <c r="K357" s="456"/>
      <c r="L357" s="454"/>
      <c r="M357" s="454"/>
      <c r="N357" s="454"/>
      <c r="O357" s="454"/>
      <c r="P357" s="454"/>
      <c r="Q357" s="454"/>
      <c r="R357" s="454"/>
      <c r="S357" s="454"/>
      <c r="T357" s="454"/>
      <c r="U357" s="454"/>
      <c r="V357" s="454"/>
      <c r="W357" s="454"/>
      <c r="X357" s="454"/>
      <c r="Y357" s="454"/>
      <c r="Z357" s="454"/>
      <c r="AA357" s="454"/>
      <c r="AB357" s="454"/>
    </row>
    <row r="358" spans="1:28">
      <c r="A358" s="331"/>
      <c r="B358" s="332"/>
      <c r="C358" s="454"/>
      <c r="D358" s="334"/>
      <c r="E358" s="333"/>
      <c r="F358" s="333"/>
      <c r="G358" s="336"/>
      <c r="H358" s="454"/>
      <c r="I358" s="455"/>
      <c r="J358" s="456"/>
      <c r="K358" s="456"/>
      <c r="L358" s="454"/>
      <c r="M358" s="454"/>
      <c r="N358" s="454"/>
      <c r="O358" s="454"/>
      <c r="P358" s="454"/>
      <c r="Q358" s="454"/>
      <c r="R358" s="454"/>
      <c r="S358" s="454"/>
      <c r="T358" s="454"/>
      <c r="U358" s="454"/>
      <c r="V358" s="454"/>
      <c r="W358" s="454"/>
      <c r="X358" s="454"/>
      <c r="Y358" s="454"/>
      <c r="Z358" s="454"/>
      <c r="AA358" s="454"/>
      <c r="AB358" s="454"/>
    </row>
    <row r="359" spans="1:28">
      <c r="A359" s="331"/>
      <c r="B359" s="332"/>
      <c r="C359" s="454"/>
      <c r="D359" s="334"/>
      <c r="E359" s="333"/>
      <c r="F359" s="334"/>
      <c r="G359" s="336"/>
      <c r="H359" s="454"/>
      <c r="I359" s="455"/>
      <c r="J359" s="456"/>
      <c r="K359" s="456"/>
      <c r="L359" s="454"/>
      <c r="M359" s="454"/>
      <c r="N359" s="454"/>
      <c r="O359" s="454"/>
      <c r="P359" s="454"/>
      <c r="Q359" s="454"/>
      <c r="R359" s="454"/>
      <c r="S359" s="454"/>
      <c r="T359" s="454"/>
      <c r="U359" s="454"/>
      <c r="V359" s="454"/>
      <c r="W359" s="454"/>
      <c r="X359" s="454"/>
      <c r="Y359" s="454"/>
      <c r="Z359" s="454"/>
      <c r="AA359" s="454"/>
      <c r="AB359" s="454"/>
    </row>
    <row r="360" spans="1:28">
      <c r="A360" s="331"/>
      <c r="B360" s="332"/>
      <c r="C360" s="454"/>
      <c r="D360" s="334"/>
      <c r="E360" s="333"/>
      <c r="F360" s="334"/>
      <c r="G360" s="336"/>
      <c r="H360" s="454"/>
      <c r="I360" s="455"/>
      <c r="J360" s="456"/>
      <c r="K360" s="456"/>
      <c r="L360" s="454"/>
      <c r="M360" s="454"/>
      <c r="N360" s="454"/>
      <c r="O360" s="454"/>
      <c r="P360" s="454"/>
      <c r="Q360" s="454"/>
      <c r="R360" s="454"/>
      <c r="S360" s="454"/>
      <c r="T360" s="454"/>
      <c r="U360" s="454"/>
      <c r="V360" s="454"/>
      <c r="W360" s="454"/>
      <c r="X360" s="454"/>
      <c r="Y360" s="454"/>
      <c r="Z360" s="454"/>
      <c r="AA360" s="454"/>
      <c r="AB360" s="454"/>
    </row>
    <row r="361" spans="1:28">
      <c r="A361" s="331"/>
      <c r="B361" s="332"/>
      <c r="C361" s="454"/>
      <c r="D361" s="334"/>
      <c r="E361" s="333"/>
      <c r="F361" s="334"/>
      <c r="G361" s="336"/>
      <c r="H361" s="454"/>
      <c r="I361" s="455"/>
      <c r="J361" s="456"/>
      <c r="K361" s="456"/>
      <c r="L361" s="454"/>
      <c r="M361" s="454"/>
      <c r="N361" s="454"/>
      <c r="O361" s="454"/>
      <c r="P361" s="454"/>
      <c r="Q361" s="454"/>
      <c r="R361" s="454"/>
      <c r="S361" s="454"/>
      <c r="T361" s="454"/>
      <c r="U361" s="454"/>
      <c r="V361" s="454"/>
      <c r="W361" s="454"/>
      <c r="X361" s="454"/>
      <c r="Y361" s="454"/>
      <c r="Z361" s="454"/>
      <c r="AA361" s="454"/>
      <c r="AB361" s="454"/>
    </row>
    <row r="362" spans="1:28">
      <c r="A362" s="331"/>
      <c r="B362" s="332"/>
      <c r="C362" s="454"/>
      <c r="D362" s="334"/>
      <c r="E362" s="333"/>
      <c r="F362" s="334"/>
      <c r="G362" s="336"/>
      <c r="H362" s="454"/>
      <c r="I362" s="455"/>
      <c r="J362" s="456"/>
      <c r="K362" s="456"/>
      <c r="L362" s="454"/>
      <c r="M362" s="454"/>
      <c r="N362" s="454"/>
      <c r="O362" s="454"/>
      <c r="P362" s="454"/>
      <c r="Q362" s="454"/>
      <c r="R362" s="454"/>
      <c r="S362" s="454"/>
      <c r="T362" s="454"/>
      <c r="U362" s="454"/>
      <c r="V362" s="454"/>
      <c r="W362" s="454"/>
      <c r="X362" s="454"/>
      <c r="Y362" s="454"/>
      <c r="Z362" s="454"/>
      <c r="AA362" s="454"/>
      <c r="AB362" s="454"/>
    </row>
    <row r="363" spans="1:28">
      <c r="A363" s="331"/>
      <c r="B363" s="332"/>
      <c r="C363" s="454"/>
      <c r="D363" s="334"/>
      <c r="E363" s="333"/>
      <c r="F363" s="334"/>
      <c r="G363" s="336"/>
      <c r="H363" s="454"/>
      <c r="I363" s="455"/>
      <c r="J363" s="456"/>
      <c r="K363" s="456"/>
      <c r="L363" s="454"/>
      <c r="M363" s="454"/>
      <c r="N363" s="454"/>
      <c r="O363" s="454"/>
      <c r="P363" s="454"/>
      <c r="Q363" s="454"/>
      <c r="R363" s="454"/>
      <c r="S363" s="454"/>
      <c r="T363" s="454"/>
      <c r="U363" s="454"/>
      <c r="V363" s="454"/>
      <c r="W363" s="454"/>
      <c r="X363" s="454"/>
      <c r="Y363" s="454"/>
      <c r="Z363" s="454"/>
      <c r="AA363" s="454"/>
      <c r="AB363" s="454"/>
    </row>
    <row r="364" spans="1:28">
      <c r="A364" s="331"/>
      <c r="B364" s="332"/>
      <c r="C364" s="454"/>
      <c r="D364" s="334"/>
      <c r="E364" s="333"/>
      <c r="F364" s="334"/>
      <c r="G364" s="336"/>
      <c r="H364" s="454"/>
      <c r="I364" s="455"/>
      <c r="J364" s="456"/>
      <c r="K364" s="456"/>
      <c r="L364" s="454"/>
      <c r="M364" s="454"/>
      <c r="N364" s="454"/>
      <c r="O364" s="454"/>
      <c r="P364" s="454"/>
      <c r="Q364" s="454"/>
      <c r="R364" s="454"/>
      <c r="S364" s="454"/>
      <c r="T364" s="454"/>
      <c r="U364" s="454"/>
      <c r="V364" s="454"/>
      <c r="W364" s="454"/>
      <c r="X364" s="454"/>
      <c r="Y364" s="454"/>
      <c r="Z364" s="454"/>
      <c r="AA364" s="454"/>
      <c r="AB364" s="454"/>
    </row>
    <row r="365" spans="1:28">
      <c r="A365" s="331"/>
      <c r="B365" s="332"/>
      <c r="C365" s="454"/>
      <c r="D365" s="334"/>
      <c r="E365" s="333"/>
      <c r="F365" s="334"/>
      <c r="G365" s="336"/>
      <c r="H365" s="454"/>
      <c r="I365" s="455"/>
      <c r="J365" s="456"/>
      <c r="K365" s="456"/>
      <c r="L365" s="454"/>
      <c r="M365" s="454"/>
      <c r="N365" s="454"/>
      <c r="O365" s="454"/>
      <c r="P365" s="454"/>
      <c r="Q365" s="454"/>
      <c r="R365" s="454"/>
      <c r="S365" s="454"/>
      <c r="T365" s="454"/>
      <c r="U365" s="454"/>
      <c r="V365" s="454"/>
      <c r="W365" s="454"/>
      <c r="X365" s="454"/>
      <c r="Y365" s="454"/>
      <c r="Z365" s="454"/>
      <c r="AA365" s="454"/>
      <c r="AB365" s="454"/>
    </row>
    <row r="366" spans="1:28">
      <c r="A366" s="331"/>
      <c r="B366" s="332"/>
      <c r="C366" s="454"/>
      <c r="D366" s="334"/>
      <c r="E366" s="333"/>
      <c r="F366" s="334"/>
      <c r="G366" s="336"/>
      <c r="H366" s="454"/>
      <c r="I366" s="455"/>
      <c r="J366" s="456"/>
      <c r="K366" s="456"/>
      <c r="L366" s="454"/>
      <c r="M366" s="454"/>
      <c r="N366" s="454"/>
      <c r="O366" s="454"/>
      <c r="P366" s="454"/>
      <c r="Q366" s="454"/>
      <c r="R366" s="454"/>
      <c r="S366" s="454"/>
      <c r="T366" s="454"/>
      <c r="U366" s="454"/>
      <c r="V366" s="454"/>
      <c r="W366" s="454"/>
      <c r="X366" s="454"/>
      <c r="Y366" s="454"/>
      <c r="Z366" s="454"/>
      <c r="AA366" s="454"/>
      <c r="AB366" s="454"/>
    </row>
    <row r="367" spans="1:28">
      <c r="A367" s="331"/>
      <c r="B367" s="332"/>
      <c r="C367" s="454"/>
      <c r="D367" s="334"/>
      <c r="E367" s="333"/>
      <c r="F367" s="334"/>
      <c r="G367" s="335"/>
      <c r="H367" s="454"/>
      <c r="I367" s="455"/>
      <c r="J367" s="456"/>
      <c r="K367" s="456"/>
      <c r="L367" s="454"/>
      <c r="M367" s="454"/>
      <c r="N367" s="454"/>
      <c r="O367" s="454"/>
      <c r="P367" s="454"/>
      <c r="Q367" s="454"/>
      <c r="R367" s="454"/>
      <c r="S367" s="454"/>
      <c r="T367" s="454"/>
      <c r="U367" s="454"/>
      <c r="V367" s="454"/>
      <c r="W367" s="454"/>
      <c r="X367" s="454"/>
      <c r="Y367" s="454"/>
      <c r="Z367" s="454"/>
      <c r="AA367" s="454"/>
      <c r="AB367" s="454"/>
    </row>
    <row r="368" spans="1:28">
      <c r="A368" s="331"/>
      <c r="B368" s="332"/>
      <c r="C368" s="454"/>
      <c r="D368" s="334"/>
      <c r="E368" s="333"/>
      <c r="F368" s="334"/>
      <c r="G368" s="336"/>
      <c r="H368" s="454"/>
      <c r="I368" s="455"/>
      <c r="J368" s="456"/>
      <c r="K368" s="456"/>
      <c r="L368" s="454"/>
      <c r="M368" s="454"/>
      <c r="N368" s="454"/>
      <c r="O368" s="454"/>
      <c r="P368" s="454"/>
      <c r="Q368" s="454"/>
      <c r="R368" s="454"/>
      <c r="S368" s="454"/>
      <c r="T368" s="454"/>
      <c r="U368" s="454"/>
      <c r="V368" s="454"/>
      <c r="W368" s="454"/>
      <c r="X368" s="454"/>
      <c r="Y368" s="454"/>
      <c r="Z368" s="454"/>
      <c r="AA368" s="454"/>
      <c r="AB368" s="454"/>
    </row>
    <row r="369" spans="1:28">
      <c r="A369" s="331"/>
      <c r="B369" s="332"/>
      <c r="C369" s="454"/>
      <c r="D369" s="334"/>
      <c r="E369" s="333"/>
      <c r="F369" s="334"/>
      <c r="G369" s="334"/>
      <c r="H369" s="454"/>
      <c r="I369" s="455"/>
      <c r="J369" s="456"/>
      <c r="K369" s="456"/>
      <c r="L369" s="454"/>
      <c r="M369" s="454"/>
      <c r="N369" s="454"/>
      <c r="O369" s="454"/>
      <c r="P369" s="454"/>
      <c r="Q369" s="454"/>
      <c r="R369" s="454"/>
      <c r="S369" s="454"/>
      <c r="T369" s="454"/>
      <c r="U369" s="454"/>
      <c r="V369" s="454"/>
      <c r="W369" s="454"/>
      <c r="X369" s="454"/>
      <c r="Y369" s="454"/>
      <c r="Z369" s="454"/>
      <c r="AA369" s="454"/>
      <c r="AB369" s="454"/>
    </row>
    <row r="370" spans="1:28">
      <c r="A370" s="331"/>
      <c r="B370" s="332"/>
      <c r="C370" s="454"/>
      <c r="D370" s="334"/>
      <c r="E370" s="333"/>
      <c r="F370" s="334"/>
      <c r="G370" s="336"/>
      <c r="H370" s="454"/>
      <c r="I370" s="455"/>
      <c r="J370" s="456"/>
      <c r="K370" s="456"/>
      <c r="L370" s="454"/>
      <c r="M370" s="454"/>
      <c r="N370" s="454"/>
      <c r="O370" s="454"/>
      <c r="P370" s="454"/>
      <c r="Q370" s="454"/>
      <c r="R370" s="454"/>
      <c r="S370" s="454"/>
      <c r="T370" s="454"/>
      <c r="U370" s="454"/>
      <c r="V370" s="454"/>
      <c r="W370" s="454"/>
      <c r="X370" s="454"/>
      <c r="Y370" s="454"/>
      <c r="Z370" s="454"/>
      <c r="AA370" s="454"/>
      <c r="AB370" s="454"/>
    </row>
    <row r="371" spans="1:28">
      <c r="A371" s="331"/>
      <c r="B371" s="332"/>
      <c r="C371" s="454"/>
      <c r="D371" s="334"/>
      <c r="E371" s="333"/>
      <c r="F371" s="334"/>
      <c r="G371" s="334"/>
      <c r="H371" s="454"/>
      <c r="I371" s="455"/>
      <c r="J371" s="456"/>
      <c r="K371" s="456"/>
      <c r="L371" s="454"/>
      <c r="M371" s="454"/>
      <c r="N371" s="454"/>
      <c r="O371" s="454"/>
      <c r="P371" s="454"/>
      <c r="Q371" s="454"/>
      <c r="R371" s="454"/>
      <c r="S371" s="454"/>
      <c r="T371" s="454"/>
      <c r="U371" s="454"/>
      <c r="V371" s="454"/>
      <c r="W371" s="454"/>
      <c r="X371" s="454"/>
      <c r="Y371" s="454"/>
      <c r="Z371" s="454"/>
      <c r="AA371" s="454"/>
      <c r="AB371" s="454"/>
    </row>
    <row r="372" spans="1:28">
      <c r="A372" s="331"/>
      <c r="B372" s="332"/>
      <c r="C372" s="454"/>
      <c r="D372" s="334"/>
      <c r="E372" s="333"/>
      <c r="F372" s="334"/>
      <c r="G372" s="334"/>
      <c r="H372" s="454"/>
      <c r="I372" s="455"/>
      <c r="J372" s="456"/>
      <c r="K372" s="456"/>
      <c r="L372" s="454"/>
      <c r="M372" s="454"/>
      <c r="N372" s="454"/>
      <c r="O372" s="454"/>
      <c r="P372" s="454"/>
      <c r="Q372" s="454"/>
      <c r="R372" s="454"/>
      <c r="S372" s="454"/>
      <c r="T372" s="454"/>
      <c r="U372" s="454"/>
      <c r="V372" s="454"/>
      <c r="W372" s="454"/>
      <c r="X372" s="454"/>
      <c r="Y372" s="454"/>
      <c r="Z372" s="454"/>
      <c r="AA372" s="454"/>
      <c r="AB372" s="454"/>
    </row>
    <row r="373" spans="1:28">
      <c r="A373" s="331"/>
      <c r="B373" s="332"/>
      <c r="C373" s="454"/>
      <c r="D373" s="334"/>
      <c r="E373" s="333"/>
      <c r="F373" s="334"/>
      <c r="G373" s="334"/>
      <c r="H373" s="454"/>
      <c r="I373" s="455"/>
      <c r="J373" s="456"/>
      <c r="K373" s="456"/>
      <c r="L373" s="454"/>
      <c r="M373" s="454"/>
      <c r="N373" s="454"/>
      <c r="O373" s="454"/>
      <c r="P373" s="454"/>
      <c r="Q373" s="454"/>
      <c r="R373" s="454"/>
      <c r="S373" s="454"/>
      <c r="T373" s="454"/>
      <c r="U373" s="454"/>
      <c r="V373" s="454"/>
      <c r="W373" s="454"/>
      <c r="X373" s="454"/>
      <c r="Y373" s="454"/>
      <c r="Z373" s="454"/>
      <c r="AA373" s="454"/>
      <c r="AB373" s="454"/>
    </row>
    <row r="374" spans="1:28">
      <c r="A374" s="331"/>
      <c r="B374" s="332"/>
      <c r="C374" s="454"/>
      <c r="D374" s="334"/>
      <c r="E374" s="333"/>
      <c r="F374" s="334"/>
      <c r="G374" s="334"/>
      <c r="H374" s="454"/>
      <c r="I374" s="455"/>
      <c r="J374" s="456"/>
      <c r="K374" s="456"/>
      <c r="L374" s="454"/>
      <c r="M374" s="454"/>
      <c r="N374" s="454"/>
      <c r="O374" s="454"/>
      <c r="P374" s="454"/>
      <c r="Q374" s="454"/>
      <c r="R374" s="454"/>
      <c r="S374" s="454"/>
      <c r="T374" s="454"/>
      <c r="U374" s="454"/>
      <c r="V374" s="454"/>
      <c r="W374" s="454"/>
      <c r="X374" s="454"/>
      <c r="Y374" s="454"/>
      <c r="Z374" s="454"/>
      <c r="AA374" s="454"/>
      <c r="AB374" s="454"/>
    </row>
    <row r="375" spans="1:28">
      <c r="A375" s="331"/>
      <c r="B375" s="332"/>
      <c r="C375" s="454"/>
      <c r="D375" s="334"/>
      <c r="E375" s="333"/>
      <c r="F375" s="334"/>
      <c r="G375" s="334"/>
      <c r="H375" s="454"/>
      <c r="I375" s="455"/>
      <c r="J375" s="456"/>
      <c r="K375" s="456"/>
      <c r="L375" s="454"/>
      <c r="M375" s="454"/>
      <c r="N375" s="454"/>
      <c r="O375" s="454"/>
      <c r="P375" s="454"/>
      <c r="Q375" s="454"/>
      <c r="R375" s="454"/>
      <c r="S375" s="454"/>
      <c r="T375" s="454"/>
      <c r="U375" s="454"/>
      <c r="V375" s="454"/>
      <c r="W375" s="454"/>
      <c r="X375" s="454"/>
      <c r="Y375" s="454"/>
      <c r="Z375" s="454"/>
      <c r="AA375" s="454"/>
      <c r="AB375" s="454"/>
    </row>
    <row r="376" spans="1:28">
      <c r="A376" s="331"/>
      <c r="B376" s="332"/>
      <c r="C376" s="454"/>
      <c r="D376" s="334"/>
      <c r="E376" s="333"/>
      <c r="F376" s="334"/>
      <c r="G376" s="334"/>
      <c r="H376" s="454"/>
      <c r="I376" s="455"/>
      <c r="J376" s="456"/>
      <c r="K376" s="456"/>
      <c r="L376" s="454"/>
      <c r="M376" s="454"/>
      <c r="N376" s="454"/>
      <c r="O376" s="454"/>
      <c r="P376" s="454"/>
      <c r="Q376" s="454"/>
      <c r="R376" s="454"/>
      <c r="S376" s="454"/>
      <c r="T376" s="454"/>
      <c r="U376" s="454"/>
      <c r="V376" s="454"/>
      <c r="W376" s="454"/>
      <c r="X376" s="454"/>
      <c r="Y376" s="454"/>
      <c r="Z376" s="454"/>
      <c r="AA376" s="454"/>
      <c r="AB376" s="454"/>
    </row>
    <row r="377" spans="1:28">
      <c r="A377" s="331"/>
      <c r="B377" s="332"/>
      <c r="C377" s="454"/>
      <c r="D377" s="334"/>
      <c r="E377" s="333"/>
      <c r="F377" s="334"/>
      <c r="G377" s="334"/>
      <c r="H377" s="454"/>
      <c r="I377" s="455"/>
      <c r="J377" s="456"/>
      <c r="K377" s="456"/>
      <c r="L377" s="454"/>
      <c r="M377" s="454"/>
      <c r="N377" s="454"/>
      <c r="O377" s="454"/>
      <c r="P377" s="454"/>
      <c r="Q377" s="454"/>
      <c r="R377" s="454"/>
      <c r="S377" s="454"/>
      <c r="T377" s="454"/>
      <c r="U377" s="454"/>
      <c r="V377" s="454"/>
      <c r="W377" s="454"/>
      <c r="X377" s="454"/>
      <c r="Y377" s="454"/>
      <c r="Z377" s="454"/>
      <c r="AA377" s="454"/>
      <c r="AB377" s="454"/>
    </row>
    <row r="378" spans="1:28">
      <c r="A378" s="331"/>
      <c r="B378" s="332"/>
      <c r="C378" s="454"/>
      <c r="D378" s="334"/>
      <c r="E378" s="333"/>
      <c r="F378" s="334"/>
      <c r="G378" s="334"/>
      <c r="H378" s="454"/>
      <c r="I378" s="455"/>
      <c r="J378" s="456"/>
      <c r="K378" s="456"/>
      <c r="L378" s="454"/>
      <c r="M378" s="454"/>
      <c r="N378" s="454"/>
      <c r="O378" s="454"/>
      <c r="P378" s="454"/>
      <c r="Q378" s="454"/>
      <c r="R378" s="454"/>
      <c r="S378" s="454"/>
      <c r="T378" s="454"/>
      <c r="U378" s="454"/>
      <c r="V378" s="454"/>
      <c r="W378" s="454"/>
      <c r="X378" s="454"/>
      <c r="Y378" s="454"/>
      <c r="Z378" s="454"/>
      <c r="AA378" s="454"/>
      <c r="AB378" s="454"/>
    </row>
    <row r="379" spans="1:28">
      <c r="A379" s="331"/>
      <c r="B379" s="332"/>
      <c r="C379" s="454"/>
      <c r="D379" s="334"/>
      <c r="E379" s="333"/>
      <c r="F379" s="334"/>
      <c r="G379" s="334"/>
      <c r="H379" s="454"/>
      <c r="I379" s="455"/>
      <c r="J379" s="456"/>
      <c r="K379" s="456"/>
      <c r="L379" s="454"/>
      <c r="M379" s="454"/>
      <c r="N379" s="454"/>
      <c r="O379" s="454"/>
      <c r="P379" s="454"/>
      <c r="Q379" s="454"/>
      <c r="R379" s="454"/>
      <c r="S379" s="454"/>
      <c r="T379" s="454"/>
      <c r="U379" s="454"/>
      <c r="V379" s="454"/>
      <c r="W379" s="454"/>
      <c r="X379" s="454"/>
      <c r="Y379" s="454"/>
      <c r="Z379" s="454"/>
      <c r="AA379" s="454"/>
      <c r="AB379" s="454"/>
    </row>
    <row r="380" spans="1:28">
      <c r="A380" s="331"/>
      <c r="B380" s="332"/>
      <c r="C380" s="454"/>
      <c r="D380" s="334"/>
      <c r="E380" s="333"/>
      <c r="F380" s="334"/>
      <c r="G380" s="334"/>
      <c r="H380" s="454"/>
      <c r="I380" s="455"/>
      <c r="J380" s="456"/>
      <c r="K380" s="456"/>
      <c r="L380" s="454"/>
      <c r="M380" s="454"/>
      <c r="N380" s="454"/>
      <c r="O380" s="454"/>
      <c r="P380" s="454"/>
      <c r="Q380" s="454"/>
      <c r="R380" s="454"/>
      <c r="S380" s="454"/>
      <c r="T380" s="454"/>
      <c r="U380" s="454"/>
      <c r="V380" s="454"/>
      <c r="W380" s="454"/>
      <c r="X380" s="454"/>
      <c r="Y380" s="454"/>
      <c r="Z380" s="454"/>
      <c r="AA380" s="454"/>
      <c r="AB380" s="454"/>
    </row>
    <row r="381" spans="1:28">
      <c r="A381" s="331"/>
      <c r="B381" s="332"/>
      <c r="C381" s="454"/>
      <c r="D381" s="334"/>
      <c r="E381" s="333"/>
      <c r="F381" s="334"/>
      <c r="G381" s="334"/>
      <c r="H381" s="454"/>
      <c r="I381" s="455"/>
      <c r="J381" s="456"/>
      <c r="K381" s="456"/>
      <c r="L381" s="454"/>
      <c r="M381" s="454"/>
      <c r="N381" s="454"/>
      <c r="O381" s="454"/>
      <c r="P381" s="454"/>
      <c r="Q381" s="454"/>
      <c r="R381" s="454"/>
      <c r="S381" s="454"/>
      <c r="T381" s="454"/>
      <c r="U381" s="454"/>
      <c r="V381" s="454"/>
      <c r="W381" s="454"/>
      <c r="X381" s="454"/>
      <c r="Y381" s="454"/>
      <c r="Z381" s="454"/>
      <c r="AA381" s="454"/>
      <c r="AB381" s="454"/>
    </row>
    <row r="382" spans="1:28">
      <c r="A382" s="331"/>
      <c r="B382" s="332"/>
      <c r="C382" s="454"/>
      <c r="D382" s="334"/>
      <c r="E382" s="333"/>
      <c r="F382" s="334"/>
      <c r="G382" s="334"/>
      <c r="H382" s="454"/>
      <c r="I382" s="455"/>
      <c r="J382" s="456"/>
      <c r="K382" s="456"/>
      <c r="L382" s="454"/>
      <c r="M382" s="454"/>
      <c r="N382" s="454"/>
      <c r="O382" s="454"/>
      <c r="P382" s="454"/>
      <c r="Q382" s="454"/>
      <c r="R382" s="454"/>
      <c r="S382" s="454"/>
      <c r="T382" s="454"/>
      <c r="U382" s="454"/>
      <c r="V382" s="454"/>
      <c r="W382" s="454"/>
      <c r="X382" s="454"/>
      <c r="Y382" s="454"/>
      <c r="Z382" s="454"/>
      <c r="AA382" s="454"/>
      <c r="AB382" s="454"/>
    </row>
    <row r="383" spans="1:28">
      <c r="A383" s="331"/>
      <c r="B383" s="332"/>
      <c r="C383" s="454"/>
      <c r="D383" s="334"/>
      <c r="E383" s="333"/>
      <c r="F383" s="334"/>
      <c r="G383" s="334"/>
      <c r="H383" s="454"/>
      <c r="I383" s="455"/>
      <c r="J383" s="456"/>
      <c r="K383" s="456"/>
      <c r="L383" s="454"/>
      <c r="M383" s="454"/>
      <c r="N383" s="454"/>
      <c r="O383" s="454"/>
      <c r="P383" s="454"/>
      <c r="Q383" s="454"/>
      <c r="R383" s="454"/>
      <c r="S383" s="454"/>
      <c r="T383" s="454"/>
      <c r="U383" s="454"/>
      <c r="V383" s="454"/>
      <c r="W383" s="454"/>
      <c r="X383" s="454"/>
      <c r="Y383" s="454"/>
      <c r="Z383" s="454"/>
      <c r="AA383" s="454"/>
      <c r="AB383" s="454"/>
    </row>
    <row r="384" spans="1:28">
      <c r="A384" s="331"/>
      <c r="B384" s="332"/>
      <c r="C384" s="454"/>
      <c r="D384" s="334"/>
      <c r="E384" s="333"/>
      <c r="F384" s="334"/>
      <c r="G384" s="334"/>
      <c r="H384" s="454"/>
      <c r="I384" s="455"/>
      <c r="J384" s="456"/>
      <c r="K384" s="456"/>
      <c r="L384" s="454"/>
      <c r="M384" s="454"/>
      <c r="N384" s="454"/>
      <c r="O384" s="454"/>
      <c r="P384" s="454"/>
      <c r="Q384" s="454"/>
      <c r="R384" s="454"/>
      <c r="S384" s="454"/>
      <c r="T384" s="454"/>
      <c r="U384" s="454"/>
      <c r="V384" s="454"/>
      <c r="W384" s="454"/>
      <c r="X384" s="454"/>
      <c r="Y384" s="454"/>
      <c r="Z384" s="454"/>
      <c r="AA384" s="454"/>
      <c r="AB384" s="454"/>
    </row>
    <row r="385" spans="1:28">
      <c r="A385" s="331"/>
      <c r="B385" s="332"/>
      <c r="C385" s="454"/>
      <c r="D385" s="334"/>
      <c r="E385" s="333"/>
      <c r="F385" s="334"/>
      <c r="G385" s="334"/>
      <c r="H385" s="454"/>
      <c r="I385" s="455"/>
      <c r="J385" s="456"/>
      <c r="K385" s="456"/>
      <c r="L385" s="454"/>
      <c r="M385" s="454"/>
      <c r="N385" s="454"/>
      <c r="O385" s="454"/>
      <c r="P385" s="454"/>
      <c r="Q385" s="454"/>
      <c r="R385" s="454"/>
      <c r="S385" s="454"/>
      <c r="T385" s="454"/>
      <c r="U385" s="454"/>
      <c r="V385" s="454"/>
      <c r="W385" s="454"/>
      <c r="X385" s="454"/>
      <c r="Y385" s="454"/>
      <c r="Z385" s="454"/>
      <c r="AA385" s="454"/>
      <c r="AB385" s="454"/>
    </row>
    <row r="386" spans="1:28">
      <c r="A386" s="331"/>
      <c r="B386" s="332"/>
      <c r="C386" s="454"/>
      <c r="D386" s="334"/>
      <c r="E386" s="333"/>
      <c r="F386" s="334"/>
      <c r="G386" s="334"/>
      <c r="H386" s="454"/>
      <c r="I386" s="455"/>
      <c r="J386" s="456"/>
      <c r="K386" s="456"/>
      <c r="L386" s="454"/>
      <c r="M386" s="454"/>
      <c r="N386" s="454"/>
      <c r="O386" s="454"/>
      <c r="P386" s="454"/>
      <c r="Q386" s="454"/>
      <c r="R386" s="454"/>
      <c r="S386" s="454"/>
      <c r="T386" s="454"/>
      <c r="U386" s="454"/>
      <c r="V386" s="454"/>
      <c r="W386" s="454"/>
      <c r="X386" s="454"/>
      <c r="Y386" s="454"/>
      <c r="Z386" s="454"/>
      <c r="AA386" s="454"/>
      <c r="AB386" s="454"/>
    </row>
    <row r="387" spans="1:28">
      <c r="A387" s="331"/>
      <c r="B387" s="332"/>
      <c r="C387" s="454"/>
      <c r="D387" s="334"/>
      <c r="E387" s="333"/>
      <c r="F387" s="334"/>
      <c r="G387" s="334"/>
      <c r="H387" s="454"/>
      <c r="I387" s="455"/>
      <c r="J387" s="456"/>
      <c r="K387" s="456"/>
      <c r="L387" s="454"/>
      <c r="M387" s="454"/>
      <c r="N387" s="454"/>
      <c r="O387" s="454"/>
      <c r="P387" s="454"/>
      <c r="Q387" s="454"/>
      <c r="R387" s="454"/>
      <c r="S387" s="454"/>
      <c r="T387" s="454"/>
      <c r="U387" s="454"/>
      <c r="V387" s="454"/>
      <c r="W387" s="454"/>
      <c r="X387" s="454"/>
      <c r="Y387" s="454"/>
      <c r="Z387" s="454"/>
      <c r="AA387" s="454"/>
      <c r="AB387" s="454"/>
    </row>
    <row r="388" spans="1:28">
      <c r="A388" s="331"/>
      <c r="B388" s="332"/>
      <c r="C388" s="454"/>
      <c r="D388" s="334"/>
      <c r="E388" s="333"/>
      <c r="F388" s="334"/>
      <c r="G388" s="334"/>
      <c r="H388" s="454"/>
      <c r="I388" s="455"/>
      <c r="J388" s="456"/>
      <c r="K388" s="456"/>
      <c r="L388" s="454"/>
      <c r="M388" s="454"/>
      <c r="N388" s="454"/>
      <c r="O388" s="454"/>
      <c r="P388" s="454"/>
      <c r="Q388" s="454"/>
      <c r="R388" s="454"/>
      <c r="S388" s="454"/>
      <c r="T388" s="454"/>
      <c r="U388" s="454"/>
      <c r="V388" s="454"/>
      <c r="W388" s="454"/>
      <c r="X388" s="454"/>
      <c r="Y388" s="454"/>
      <c r="Z388" s="454"/>
      <c r="AA388" s="454"/>
      <c r="AB388" s="454"/>
    </row>
    <row r="389" spans="1:28">
      <c r="A389" s="331"/>
      <c r="B389" s="332"/>
      <c r="C389" s="454"/>
      <c r="D389" s="334"/>
      <c r="E389" s="333"/>
      <c r="F389" s="334"/>
      <c r="G389" s="334"/>
      <c r="H389" s="454"/>
      <c r="I389" s="455"/>
      <c r="J389" s="456"/>
      <c r="K389" s="456"/>
      <c r="L389" s="454"/>
      <c r="M389" s="454"/>
      <c r="N389" s="454"/>
      <c r="O389" s="454"/>
      <c r="P389" s="454"/>
      <c r="Q389" s="454"/>
      <c r="R389" s="454"/>
      <c r="S389" s="454"/>
      <c r="T389" s="454"/>
      <c r="U389" s="454"/>
      <c r="V389" s="454"/>
      <c r="W389" s="454"/>
      <c r="X389" s="454"/>
      <c r="Y389" s="454"/>
      <c r="Z389" s="454"/>
      <c r="AA389" s="454"/>
      <c r="AB389" s="454"/>
    </row>
    <row r="390" spans="1:28">
      <c r="A390" s="331"/>
      <c r="B390" s="332"/>
      <c r="C390" s="454"/>
      <c r="D390" s="334"/>
      <c r="E390" s="333"/>
      <c r="F390" s="334"/>
      <c r="G390" s="334"/>
      <c r="H390" s="454"/>
      <c r="I390" s="455"/>
      <c r="J390" s="456"/>
      <c r="K390" s="456"/>
      <c r="L390" s="454"/>
      <c r="M390" s="454"/>
      <c r="N390" s="454"/>
      <c r="O390" s="454"/>
      <c r="P390" s="454"/>
      <c r="Q390" s="454"/>
      <c r="R390" s="454"/>
      <c r="S390" s="454"/>
      <c r="T390" s="454"/>
      <c r="U390" s="454"/>
      <c r="V390" s="454"/>
      <c r="W390" s="454"/>
      <c r="X390" s="454"/>
      <c r="Y390" s="454"/>
      <c r="Z390" s="454"/>
      <c r="AA390" s="454"/>
      <c r="AB390" s="454"/>
    </row>
    <row r="391" spans="1:28">
      <c r="A391" s="331"/>
      <c r="B391" s="332"/>
      <c r="C391" s="454"/>
      <c r="D391" s="334"/>
      <c r="E391" s="333"/>
      <c r="F391" s="334"/>
      <c r="G391" s="334"/>
      <c r="H391" s="454"/>
      <c r="I391" s="455"/>
      <c r="J391" s="456"/>
      <c r="K391" s="456"/>
      <c r="L391" s="454"/>
      <c r="M391" s="454"/>
      <c r="N391" s="454"/>
      <c r="O391" s="454"/>
      <c r="P391" s="454"/>
      <c r="Q391" s="454"/>
      <c r="R391" s="454"/>
      <c r="S391" s="454"/>
      <c r="T391" s="454"/>
      <c r="U391" s="454"/>
      <c r="V391" s="454"/>
      <c r="W391" s="454"/>
      <c r="X391" s="454"/>
      <c r="Y391" s="454"/>
      <c r="Z391" s="454"/>
      <c r="AA391" s="454"/>
      <c r="AB391" s="454"/>
    </row>
    <row r="392" spans="1:28">
      <c r="A392" s="331"/>
      <c r="B392" s="332"/>
      <c r="C392" s="454"/>
      <c r="D392" s="110"/>
      <c r="E392" s="333"/>
      <c r="F392" s="334"/>
      <c r="G392" s="334"/>
      <c r="H392" s="454"/>
      <c r="I392" s="455"/>
      <c r="J392" s="456"/>
      <c r="K392" s="456"/>
      <c r="L392" s="454"/>
      <c r="M392" s="454"/>
      <c r="N392" s="454"/>
      <c r="O392" s="454"/>
      <c r="P392" s="454"/>
      <c r="Q392" s="454"/>
      <c r="R392" s="454"/>
      <c r="S392" s="454"/>
      <c r="T392" s="454"/>
      <c r="U392" s="454"/>
      <c r="V392" s="454"/>
      <c r="W392" s="454"/>
      <c r="X392" s="454"/>
      <c r="Y392" s="454"/>
      <c r="Z392" s="454"/>
      <c r="AA392" s="454"/>
      <c r="AB392" s="454"/>
    </row>
    <row r="393" spans="1:28">
      <c r="A393" s="331"/>
      <c r="B393" s="332"/>
      <c r="C393" s="454"/>
      <c r="D393" s="334"/>
      <c r="E393" s="333"/>
      <c r="F393" s="334"/>
      <c r="G393" s="334"/>
      <c r="H393" s="454"/>
      <c r="I393" s="455"/>
      <c r="J393" s="456"/>
      <c r="K393" s="456"/>
      <c r="L393" s="454"/>
      <c r="M393" s="454"/>
      <c r="N393" s="454"/>
      <c r="O393" s="454"/>
      <c r="P393" s="454"/>
      <c r="Q393" s="454"/>
      <c r="R393" s="454"/>
      <c r="S393" s="454"/>
      <c r="T393" s="454"/>
      <c r="U393" s="454"/>
      <c r="V393" s="454"/>
      <c r="W393" s="454"/>
      <c r="X393" s="454"/>
      <c r="Y393" s="454"/>
      <c r="Z393" s="454"/>
      <c r="AA393" s="454"/>
      <c r="AB393" s="454"/>
    </row>
    <row r="394" spans="1:28">
      <c r="A394" s="331"/>
      <c r="B394" s="332"/>
      <c r="C394" s="454"/>
      <c r="D394" s="335"/>
      <c r="E394" s="333"/>
      <c r="F394" s="335"/>
      <c r="G394" s="335"/>
      <c r="H394" s="454"/>
      <c r="I394" s="455"/>
      <c r="J394" s="456"/>
      <c r="K394" s="456"/>
      <c r="L394" s="454"/>
      <c r="M394" s="454"/>
      <c r="N394" s="454"/>
      <c r="O394" s="454"/>
      <c r="P394" s="454"/>
      <c r="Q394" s="454"/>
      <c r="R394" s="454"/>
      <c r="S394" s="454"/>
      <c r="T394" s="454"/>
      <c r="U394" s="454"/>
      <c r="V394" s="454"/>
      <c r="W394" s="454"/>
      <c r="X394" s="454"/>
      <c r="Y394" s="454"/>
      <c r="Z394" s="454"/>
      <c r="AA394" s="454"/>
      <c r="AB394" s="454"/>
    </row>
    <row r="395" spans="1:28">
      <c r="A395" s="331"/>
      <c r="B395" s="332"/>
      <c r="C395" s="454"/>
      <c r="D395" s="334"/>
      <c r="E395" s="333"/>
      <c r="F395" s="334"/>
      <c r="G395" s="334"/>
      <c r="H395" s="454"/>
      <c r="I395" s="455"/>
      <c r="J395" s="456"/>
      <c r="K395" s="456"/>
      <c r="L395" s="454"/>
      <c r="M395" s="454"/>
      <c r="N395" s="454"/>
      <c r="O395" s="454"/>
      <c r="P395" s="454"/>
      <c r="Q395" s="454"/>
      <c r="R395" s="454"/>
      <c r="S395" s="454"/>
      <c r="T395" s="454"/>
      <c r="U395" s="454"/>
      <c r="V395" s="454"/>
      <c r="W395" s="454"/>
      <c r="X395" s="454"/>
      <c r="Y395" s="454"/>
      <c r="Z395" s="454"/>
      <c r="AA395" s="454"/>
      <c r="AB395" s="454"/>
    </row>
    <row r="396" spans="1:28">
      <c r="A396" s="331"/>
      <c r="B396" s="332"/>
      <c r="C396" s="454"/>
      <c r="D396" s="334"/>
      <c r="E396" s="333"/>
      <c r="F396" s="334"/>
      <c r="G396" s="334"/>
      <c r="H396" s="454"/>
      <c r="I396" s="455"/>
      <c r="J396" s="456"/>
      <c r="K396" s="456"/>
      <c r="L396" s="454"/>
      <c r="M396" s="454"/>
      <c r="N396" s="454"/>
      <c r="O396" s="454"/>
      <c r="P396" s="454"/>
      <c r="Q396" s="454"/>
      <c r="R396" s="454"/>
      <c r="S396" s="454"/>
      <c r="T396" s="454"/>
      <c r="U396" s="454"/>
      <c r="V396" s="454"/>
      <c r="W396" s="454"/>
      <c r="X396" s="454"/>
      <c r="Y396" s="454"/>
      <c r="Z396" s="454"/>
      <c r="AA396" s="454"/>
      <c r="AB396" s="454"/>
    </row>
    <row r="397" spans="1:28">
      <c r="A397" s="331"/>
      <c r="B397" s="332"/>
      <c r="C397" s="454"/>
      <c r="D397" s="334"/>
      <c r="E397" s="333"/>
      <c r="F397" s="334"/>
      <c r="G397" s="334"/>
      <c r="H397" s="454"/>
      <c r="I397" s="455"/>
      <c r="J397" s="456"/>
      <c r="K397" s="456"/>
      <c r="L397" s="454"/>
      <c r="M397" s="454"/>
      <c r="N397" s="454"/>
      <c r="O397" s="454"/>
      <c r="P397" s="454"/>
      <c r="Q397" s="454"/>
      <c r="R397" s="454"/>
      <c r="S397" s="454"/>
      <c r="T397" s="454"/>
      <c r="U397" s="454"/>
      <c r="V397" s="454"/>
      <c r="W397" s="454"/>
      <c r="X397" s="454"/>
      <c r="Y397" s="454"/>
      <c r="Z397" s="454"/>
      <c r="AA397" s="454"/>
      <c r="AB397" s="454"/>
    </row>
    <row r="398" spans="1:28">
      <c r="A398" s="331"/>
      <c r="B398" s="332"/>
      <c r="C398" s="454"/>
      <c r="D398" s="334"/>
      <c r="E398" s="333"/>
      <c r="F398" s="334"/>
      <c r="G398" s="334"/>
      <c r="H398" s="454"/>
      <c r="I398" s="455"/>
      <c r="J398" s="456"/>
      <c r="K398" s="456"/>
      <c r="L398" s="454"/>
      <c r="M398" s="454"/>
      <c r="N398" s="454"/>
      <c r="O398" s="454"/>
      <c r="P398" s="454"/>
      <c r="Q398" s="454"/>
      <c r="R398" s="454"/>
      <c r="S398" s="454"/>
      <c r="T398" s="454"/>
      <c r="U398" s="454"/>
      <c r="V398" s="454"/>
      <c r="W398" s="454"/>
      <c r="X398" s="454"/>
      <c r="Y398" s="454"/>
      <c r="Z398" s="454"/>
      <c r="AA398" s="454"/>
      <c r="AB398" s="454"/>
    </row>
    <row r="399" spans="1:28">
      <c r="A399" s="331"/>
      <c r="B399" s="332"/>
      <c r="C399" s="454"/>
      <c r="D399" s="334"/>
      <c r="E399" s="333"/>
      <c r="F399" s="334"/>
      <c r="G399" s="334"/>
      <c r="H399" s="454"/>
      <c r="I399" s="455"/>
      <c r="J399" s="456"/>
      <c r="K399" s="456"/>
      <c r="L399" s="454"/>
      <c r="M399" s="454"/>
      <c r="N399" s="454"/>
      <c r="O399" s="454"/>
      <c r="P399" s="454"/>
      <c r="Q399" s="454"/>
      <c r="R399" s="454"/>
      <c r="S399" s="454"/>
      <c r="T399" s="454"/>
      <c r="U399" s="454"/>
      <c r="V399" s="454"/>
      <c r="W399" s="454"/>
      <c r="X399" s="454"/>
      <c r="Y399" s="454"/>
      <c r="Z399" s="454"/>
      <c r="AA399" s="454"/>
      <c r="AB399" s="454"/>
    </row>
    <row r="400" spans="1:28">
      <c r="A400" s="331"/>
      <c r="B400" s="332"/>
      <c r="C400" s="454"/>
      <c r="D400" s="334"/>
      <c r="E400" s="333"/>
      <c r="F400" s="334"/>
      <c r="G400" s="334"/>
      <c r="H400" s="454"/>
      <c r="I400" s="455"/>
      <c r="J400" s="456"/>
      <c r="K400" s="456"/>
      <c r="L400" s="454"/>
      <c r="M400" s="454"/>
      <c r="N400" s="454"/>
      <c r="O400" s="454"/>
      <c r="P400" s="454"/>
      <c r="Q400" s="454"/>
      <c r="R400" s="454"/>
      <c r="S400" s="454"/>
      <c r="T400" s="454"/>
      <c r="U400" s="454"/>
      <c r="V400" s="454"/>
      <c r="W400" s="454"/>
      <c r="X400" s="454"/>
      <c r="Y400" s="454"/>
      <c r="Z400" s="454"/>
      <c r="AA400" s="454"/>
      <c r="AB400" s="454"/>
    </row>
    <row r="401" spans="1:28">
      <c r="A401" s="331"/>
      <c r="B401" s="332"/>
      <c r="C401" s="454"/>
      <c r="D401" s="334"/>
      <c r="E401" s="333"/>
      <c r="F401" s="334"/>
      <c r="G401" s="334"/>
      <c r="H401" s="454"/>
      <c r="I401" s="455"/>
      <c r="J401" s="456"/>
      <c r="K401" s="456"/>
      <c r="L401" s="454"/>
      <c r="M401" s="454"/>
      <c r="N401" s="454"/>
      <c r="O401" s="454"/>
      <c r="P401" s="454"/>
      <c r="Q401" s="454"/>
      <c r="R401" s="454"/>
      <c r="S401" s="454"/>
      <c r="T401" s="454"/>
      <c r="U401" s="454"/>
      <c r="V401" s="454"/>
      <c r="W401" s="454"/>
      <c r="X401" s="454"/>
      <c r="Y401" s="454"/>
      <c r="Z401" s="454"/>
      <c r="AA401" s="454"/>
      <c r="AB401" s="454"/>
    </row>
    <row r="402" spans="1:28">
      <c r="A402" s="331"/>
      <c r="B402" s="332"/>
      <c r="C402" s="454"/>
      <c r="D402" s="334"/>
      <c r="E402" s="333"/>
      <c r="F402" s="334"/>
      <c r="G402" s="334"/>
      <c r="H402" s="454"/>
      <c r="I402" s="455"/>
      <c r="J402" s="456"/>
      <c r="K402" s="456"/>
      <c r="L402" s="454"/>
      <c r="M402" s="454"/>
      <c r="N402" s="454"/>
      <c r="O402" s="454"/>
      <c r="P402" s="454"/>
      <c r="Q402" s="454"/>
      <c r="R402" s="454"/>
      <c r="S402" s="454"/>
      <c r="T402" s="454"/>
      <c r="U402" s="454"/>
      <c r="V402" s="454"/>
      <c r="W402" s="454"/>
      <c r="X402" s="454"/>
      <c r="Y402" s="454"/>
      <c r="Z402" s="454"/>
      <c r="AA402" s="454"/>
      <c r="AB402" s="454"/>
    </row>
    <row r="403" spans="1:28">
      <c r="A403" s="331"/>
      <c r="B403" s="332"/>
      <c r="C403" s="454"/>
      <c r="D403" s="334"/>
      <c r="E403" s="333"/>
      <c r="F403" s="334"/>
      <c r="G403" s="334"/>
      <c r="H403" s="454"/>
      <c r="I403" s="455"/>
      <c r="J403" s="456"/>
      <c r="K403" s="456"/>
      <c r="L403" s="454"/>
      <c r="M403" s="454"/>
      <c r="N403" s="454"/>
      <c r="O403" s="454"/>
      <c r="P403" s="454"/>
      <c r="Q403" s="454"/>
      <c r="R403" s="454"/>
      <c r="S403" s="454"/>
      <c r="T403" s="454"/>
      <c r="U403" s="454"/>
      <c r="V403" s="454"/>
      <c r="W403" s="454"/>
      <c r="X403" s="454"/>
      <c r="Y403" s="454"/>
      <c r="Z403" s="454"/>
      <c r="AA403" s="454"/>
      <c r="AB403" s="454"/>
    </row>
    <row r="404" spans="1:28">
      <c r="A404" s="331"/>
      <c r="B404" s="332"/>
      <c r="C404" s="454"/>
      <c r="D404" s="334"/>
      <c r="E404" s="333"/>
      <c r="F404" s="334"/>
      <c r="G404" s="334"/>
      <c r="H404" s="454"/>
      <c r="I404" s="455"/>
      <c r="J404" s="456"/>
      <c r="K404" s="456"/>
      <c r="L404" s="454"/>
      <c r="M404" s="454"/>
      <c r="N404" s="454"/>
      <c r="O404" s="454"/>
      <c r="P404" s="454"/>
      <c r="Q404" s="454"/>
      <c r="R404" s="454"/>
      <c r="S404" s="454"/>
      <c r="T404" s="454"/>
      <c r="U404" s="454"/>
      <c r="V404" s="454"/>
      <c r="W404" s="454"/>
      <c r="X404" s="454"/>
      <c r="Y404" s="454"/>
      <c r="Z404" s="454"/>
      <c r="AA404" s="454"/>
      <c r="AB404" s="454"/>
    </row>
    <row r="405" spans="1:28">
      <c r="A405" s="331"/>
      <c r="B405" s="332"/>
      <c r="C405" s="454"/>
      <c r="D405" s="334"/>
      <c r="E405" s="333"/>
      <c r="F405" s="334"/>
      <c r="G405" s="334"/>
      <c r="H405" s="454"/>
      <c r="I405" s="455"/>
      <c r="J405" s="456"/>
      <c r="K405" s="456"/>
      <c r="L405" s="454"/>
      <c r="M405" s="454"/>
      <c r="N405" s="454"/>
      <c r="O405" s="454"/>
      <c r="P405" s="454"/>
      <c r="Q405" s="454"/>
      <c r="R405" s="454"/>
      <c r="S405" s="454"/>
      <c r="T405" s="454"/>
      <c r="U405" s="454"/>
      <c r="V405" s="454"/>
      <c r="W405" s="454"/>
      <c r="X405" s="454"/>
      <c r="Y405" s="454"/>
      <c r="Z405" s="454"/>
      <c r="AA405" s="454"/>
      <c r="AB405" s="454"/>
    </row>
    <row r="406" spans="1:28">
      <c r="A406" s="331"/>
      <c r="B406" s="332"/>
      <c r="C406" s="454"/>
      <c r="D406" s="334"/>
      <c r="E406" s="333"/>
      <c r="F406" s="334"/>
      <c r="G406" s="334"/>
      <c r="H406" s="454"/>
      <c r="I406" s="455"/>
      <c r="J406" s="456"/>
      <c r="K406" s="456"/>
      <c r="L406" s="454"/>
      <c r="M406" s="454"/>
      <c r="N406" s="454"/>
      <c r="O406" s="454"/>
      <c r="P406" s="454"/>
      <c r="Q406" s="454"/>
      <c r="R406" s="454"/>
      <c r="S406" s="454"/>
      <c r="T406" s="454"/>
      <c r="U406" s="454"/>
      <c r="V406" s="454"/>
      <c r="W406" s="454"/>
      <c r="X406" s="454"/>
      <c r="Y406" s="454"/>
      <c r="Z406" s="454"/>
      <c r="AA406" s="454"/>
      <c r="AB406" s="454"/>
    </row>
    <row r="407" spans="1:28">
      <c r="A407" s="331"/>
      <c r="B407" s="332"/>
      <c r="C407" s="454"/>
      <c r="D407" s="334"/>
      <c r="E407" s="333"/>
      <c r="F407" s="334"/>
      <c r="G407" s="334"/>
      <c r="H407" s="454"/>
      <c r="I407" s="455"/>
      <c r="J407" s="456"/>
      <c r="K407" s="456"/>
      <c r="L407" s="454"/>
      <c r="M407" s="454"/>
      <c r="N407" s="454"/>
      <c r="O407" s="454"/>
      <c r="P407" s="454"/>
      <c r="Q407" s="454"/>
      <c r="R407" s="454"/>
      <c r="S407" s="454"/>
      <c r="T407" s="454"/>
      <c r="U407" s="454"/>
      <c r="V407" s="454"/>
      <c r="W407" s="454"/>
      <c r="X407" s="454"/>
      <c r="Y407" s="454"/>
      <c r="Z407" s="454"/>
      <c r="AA407" s="454"/>
      <c r="AB407" s="454"/>
    </row>
    <row r="408" spans="1:28">
      <c r="A408" s="331"/>
      <c r="B408" s="332"/>
      <c r="C408" s="454"/>
      <c r="D408" s="334"/>
      <c r="E408" s="333"/>
      <c r="F408" s="334"/>
      <c r="G408" s="334"/>
      <c r="H408" s="454"/>
      <c r="I408" s="455"/>
      <c r="J408" s="456"/>
      <c r="K408" s="456"/>
      <c r="L408" s="454"/>
      <c r="M408" s="454"/>
      <c r="N408" s="454"/>
      <c r="O408" s="454"/>
      <c r="P408" s="454"/>
      <c r="Q408" s="454"/>
      <c r="R408" s="454"/>
      <c r="S408" s="454"/>
      <c r="T408" s="454"/>
      <c r="U408" s="454"/>
      <c r="V408" s="454"/>
      <c r="W408" s="454"/>
      <c r="X408" s="454"/>
      <c r="Y408" s="454"/>
      <c r="Z408" s="454"/>
      <c r="AA408" s="454"/>
      <c r="AB408" s="454"/>
    </row>
    <row r="409" spans="1:28">
      <c r="A409" s="331"/>
      <c r="B409" s="332"/>
      <c r="C409" s="454"/>
      <c r="D409" s="334"/>
      <c r="E409" s="333"/>
      <c r="F409" s="334"/>
      <c r="G409" s="334"/>
      <c r="H409" s="454"/>
      <c r="I409" s="455"/>
      <c r="J409" s="456"/>
      <c r="K409" s="456"/>
      <c r="L409" s="454"/>
      <c r="M409" s="454"/>
      <c r="N409" s="454"/>
      <c r="O409" s="454"/>
      <c r="P409" s="454"/>
      <c r="Q409" s="454"/>
      <c r="R409" s="454"/>
      <c r="S409" s="454"/>
      <c r="T409" s="454"/>
      <c r="U409" s="454"/>
      <c r="V409" s="454"/>
      <c r="W409" s="454"/>
      <c r="X409" s="454"/>
      <c r="Y409" s="454"/>
      <c r="Z409" s="454"/>
      <c r="AA409" s="454"/>
      <c r="AB409" s="454"/>
    </row>
    <row r="410" spans="1:28">
      <c r="A410" s="331"/>
      <c r="B410" s="332"/>
      <c r="C410" s="454"/>
      <c r="D410" s="334"/>
      <c r="E410" s="333"/>
      <c r="F410" s="334"/>
      <c r="G410" s="334"/>
      <c r="H410" s="454"/>
      <c r="I410" s="455"/>
      <c r="J410" s="456"/>
      <c r="K410" s="456"/>
      <c r="L410" s="454"/>
      <c r="M410" s="454"/>
      <c r="N410" s="454"/>
      <c r="O410" s="454"/>
      <c r="P410" s="454"/>
      <c r="Q410" s="454"/>
      <c r="R410" s="454"/>
      <c r="S410" s="454"/>
      <c r="T410" s="454"/>
      <c r="U410" s="454"/>
      <c r="V410" s="454"/>
      <c r="W410" s="454"/>
      <c r="X410" s="454"/>
      <c r="Y410" s="454"/>
      <c r="Z410" s="454"/>
      <c r="AA410" s="454"/>
      <c r="AB410" s="454"/>
    </row>
    <row r="411" spans="1:28">
      <c r="A411" s="331"/>
      <c r="B411" s="332"/>
      <c r="C411" s="454"/>
      <c r="D411" s="334"/>
      <c r="E411" s="333"/>
      <c r="F411" s="334"/>
      <c r="G411" s="334"/>
      <c r="H411" s="454"/>
      <c r="I411" s="455"/>
      <c r="J411" s="456"/>
      <c r="K411" s="456"/>
      <c r="L411" s="454"/>
      <c r="M411" s="454"/>
      <c r="N411" s="454"/>
      <c r="O411" s="454"/>
      <c r="P411" s="454"/>
      <c r="Q411" s="454"/>
      <c r="R411" s="454"/>
      <c r="S411" s="454"/>
      <c r="T411" s="454"/>
      <c r="U411" s="454"/>
      <c r="V411" s="454"/>
      <c r="W411" s="454"/>
      <c r="X411" s="454"/>
      <c r="Y411" s="454"/>
      <c r="Z411" s="454"/>
      <c r="AA411" s="454"/>
      <c r="AB411" s="454"/>
    </row>
    <row r="412" spans="1:28">
      <c r="A412" s="331"/>
      <c r="B412" s="332"/>
      <c r="C412" s="454"/>
      <c r="D412" s="334"/>
      <c r="E412" s="333"/>
      <c r="F412" s="334"/>
      <c r="G412" s="334"/>
      <c r="H412" s="454"/>
      <c r="I412" s="455"/>
      <c r="J412" s="456"/>
      <c r="K412" s="456"/>
      <c r="L412" s="454"/>
      <c r="M412" s="454"/>
      <c r="N412" s="454"/>
      <c r="O412" s="454"/>
      <c r="P412" s="454"/>
      <c r="Q412" s="454"/>
      <c r="R412" s="454"/>
      <c r="S412" s="454"/>
      <c r="T412" s="454"/>
      <c r="U412" s="454"/>
      <c r="V412" s="454"/>
      <c r="W412" s="454"/>
      <c r="X412" s="454"/>
      <c r="Y412" s="454"/>
      <c r="Z412" s="454"/>
      <c r="AA412" s="454"/>
      <c r="AB412" s="454"/>
    </row>
    <row r="413" spans="1:28">
      <c r="A413" s="331"/>
      <c r="B413" s="332"/>
      <c r="C413" s="454"/>
      <c r="D413" s="334"/>
      <c r="E413" s="333"/>
      <c r="F413" s="334"/>
      <c r="G413" s="334"/>
      <c r="H413" s="454"/>
      <c r="I413" s="455"/>
      <c r="J413" s="456"/>
      <c r="K413" s="456"/>
      <c r="L413" s="454"/>
      <c r="M413" s="454"/>
      <c r="N413" s="454"/>
      <c r="O413" s="454"/>
      <c r="P413" s="454"/>
      <c r="Q413" s="454"/>
      <c r="R413" s="454"/>
      <c r="S413" s="454"/>
      <c r="T413" s="454"/>
      <c r="U413" s="454"/>
      <c r="V413" s="454"/>
      <c r="W413" s="454"/>
      <c r="X413" s="454"/>
      <c r="Y413" s="454"/>
      <c r="Z413" s="454"/>
      <c r="AA413" s="454"/>
      <c r="AB413" s="454"/>
    </row>
    <row r="414" spans="1:28">
      <c r="A414" s="331"/>
      <c r="B414" s="332"/>
      <c r="C414" s="454"/>
      <c r="D414" s="334"/>
      <c r="E414" s="333"/>
      <c r="F414" s="334"/>
      <c r="G414" s="336"/>
      <c r="H414" s="454"/>
      <c r="I414" s="455"/>
      <c r="J414" s="456"/>
      <c r="K414" s="456"/>
      <c r="L414" s="454"/>
      <c r="M414" s="454"/>
      <c r="N414" s="454"/>
      <c r="O414" s="454"/>
      <c r="P414" s="454"/>
      <c r="Q414" s="454"/>
      <c r="R414" s="454"/>
      <c r="S414" s="454"/>
      <c r="T414" s="454"/>
      <c r="U414" s="454"/>
      <c r="V414" s="454"/>
      <c r="W414" s="454"/>
      <c r="X414" s="454"/>
      <c r="Y414" s="454"/>
      <c r="Z414" s="454"/>
      <c r="AA414" s="454"/>
      <c r="AB414" s="454"/>
    </row>
    <row r="415" spans="1:28">
      <c r="A415" s="331"/>
      <c r="B415" s="332"/>
      <c r="C415" s="454"/>
      <c r="D415" s="334"/>
      <c r="E415" s="333"/>
      <c r="F415" s="333"/>
      <c r="G415" s="336"/>
      <c r="H415" s="454"/>
      <c r="I415" s="455"/>
      <c r="J415" s="456"/>
      <c r="K415" s="456"/>
      <c r="L415" s="454"/>
      <c r="M415" s="454"/>
      <c r="N415" s="454"/>
      <c r="O415" s="454"/>
      <c r="P415" s="454"/>
      <c r="Q415" s="454"/>
      <c r="R415" s="454"/>
      <c r="S415" s="454"/>
      <c r="T415" s="454"/>
      <c r="U415" s="454"/>
      <c r="V415" s="454"/>
      <c r="W415" s="454"/>
      <c r="X415" s="454"/>
      <c r="Y415" s="454"/>
      <c r="Z415" s="454"/>
      <c r="AA415" s="454"/>
      <c r="AB415" s="454"/>
    </row>
    <row r="416" spans="1:28">
      <c r="A416" s="331"/>
      <c r="B416" s="332"/>
      <c r="C416" s="454"/>
      <c r="D416" s="334"/>
      <c r="E416" s="333"/>
      <c r="F416" s="334"/>
      <c r="G416" s="336"/>
      <c r="H416" s="454"/>
      <c r="I416" s="455"/>
      <c r="J416" s="456"/>
      <c r="K416" s="456"/>
      <c r="L416" s="454"/>
      <c r="M416" s="454"/>
      <c r="N416" s="454"/>
      <c r="O416" s="454"/>
      <c r="P416" s="454"/>
      <c r="Q416" s="454"/>
      <c r="R416" s="454"/>
      <c r="S416" s="454"/>
      <c r="T416" s="454"/>
      <c r="U416" s="454"/>
      <c r="V416" s="454"/>
      <c r="W416" s="454"/>
      <c r="X416" s="454"/>
      <c r="Y416" s="454"/>
      <c r="Z416" s="454"/>
      <c r="AA416" s="454"/>
      <c r="AB416" s="454"/>
    </row>
    <row r="417" spans="1:28">
      <c r="A417" s="331"/>
      <c r="B417" s="332"/>
      <c r="C417" s="454"/>
      <c r="D417" s="334"/>
      <c r="E417" s="333"/>
      <c r="F417" s="334"/>
      <c r="G417" s="336"/>
      <c r="H417" s="454"/>
      <c r="I417" s="455"/>
      <c r="J417" s="456"/>
      <c r="K417" s="456"/>
      <c r="L417" s="454"/>
      <c r="M417" s="454"/>
      <c r="N417" s="454"/>
      <c r="O417" s="454"/>
      <c r="P417" s="454"/>
      <c r="Q417" s="454"/>
      <c r="R417" s="454"/>
      <c r="S417" s="454"/>
      <c r="T417" s="454"/>
      <c r="U417" s="454"/>
      <c r="V417" s="454"/>
      <c r="W417" s="454"/>
      <c r="X417" s="454"/>
      <c r="Y417" s="454"/>
      <c r="Z417" s="454"/>
      <c r="AA417" s="454"/>
      <c r="AB417" s="454"/>
    </row>
    <row r="418" spans="1:28">
      <c r="A418" s="331"/>
      <c r="B418" s="332"/>
      <c r="C418" s="454"/>
      <c r="D418" s="336"/>
      <c r="E418" s="333"/>
      <c r="F418" s="336"/>
      <c r="G418" s="336"/>
      <c r="H418" s="454"/>
      <c r="I418" s="455"/>
      <c r="J418" s="456"/>
      <c r="K418" s="456"/>
      <c r="L418" s="454"/>
      <c r="M418" s="454"/>
      <c r="N418" s="454"/>
      <c r="O418" s="454"/>
      <c r="P418" s="454"/>
      <c r="Q418" s="454"/>
      <c r="R418" s="454"/>
      <c r="S418" s="454"/>
      <c r="T418" s="454"/>
      <c r="U418" s="454"/>
      <c r="V418" s="454"/>
      <c r="W418" s="454"/>
      <c r="X418" s="454"/>
      <c r="Y418" s="454"/>
      <c r="Z418" s="454"/>
      <c r="AA418" s="454"/>
      <c r="AB418" s="454"/>
    </row>
    <row r="419" spans="1:28">
      <c r="A419" s="331"/>
      <c r="B419" s="332"/>
      <c r="C419" s="454"/>
      <c r="D419" s="334"/>
      <c r="E419" s="333"/>
      <c r="F419" s="334"/>
      <c r="G419" s="336"/>
      <c r="H419" s="454"/>
      <c r="I419" s="455"/>
      <c r="J419" s="456"/>
      <c r="K419" s="456"/>
      <c r="L419" s="454"/>
      <c r="M419" s="454"/>
      <c r="N419" s="454"/>
      <c r="O419" s="454"/>
      <c r="P419" s="454"/>
      <c r="Q419" s="454"/>
      <c r="R419" s="454"/>
      <c r="S419" s="454"/>
      <c r="T419" s="454"/>
      <c r="U419" s="454"/>
      <c r="V419" s="454"/>
      <c r="W419" s="454"/>
      <c r="X419" s="454"/>
      <c r="Y419" s="454"/>
      <c r="Z419" s="454"/>
      <c r="AA419" s="454"/>
      <c r="AB419" s="454"/>
    </row>
    <row r="420" spans="1:28">
      <c r="A420" s="331"/>
      <c r="B420" s="332"/>
      <c r="C420" s="454"/>
      <c r="D420" s="334"/>
      <c r="E420" s="333"/>
      <c r="F420" s="334"/>
      <c r="G420" s="334"/>
      <c r="H420" s="454"/>
      <c r="I420" s="455"/>
      <c r="J420" s="456"/>
      <c r="K420" s="456"/>
      <c r="L420" s="454"/>
      <c r="M420" s="454"/>
      <c r="N420" s="454"/>
      <c r="O420" s="454"/>
      <c r="P420" s="454"/>
      <c r="Q420" s="454"/>
      <c r="R420" s="454"/>
      <c r="S420" s="454"/>
      <c r="T420" s="454"/>
      <c r="U420" s="454"/>
      <c r="V420" s="454"/>
      <c r="W420" s="454"/>
      <c r="X420" s="454"/>
      <c r="Y420" s="454"/>
      <c r="Z420" s="454"/>
      <c r="AA420" s="454"/>
      <c r="AB420" s="454"/>
    </row>
    <row r="421" spans="1:28">
      <c r="A421" s="331"/>
      <c r="B421" s="332"/>
      <c r="C421" s="454"/>
      <c r="D421" s="334"/>
      <c r="E421" s="333"/>
      <c r="F421" s="334"/>
      <c r="G421" s="334"/>
      <c r="H421" s="454"/>
      <c r="I421" s="455"/>
      <c r="J421" s="456"/>
      <c r="K421" s="456"/>
      <c r="L421" s="454"/>
      <c r="M421" s="454"/>
      <c r="N421" s="454"/>
      <c r="O421" s="454"/>
      <c r="P421" s="454"/>
      <c r="Q421" s="454"/>
      <c r="R421" s="454"/>
      <c r="S421" s="454"/>
      <c r="T421" s="454"/>
      <c r="U421" s="454"/>
      <c r="V421" s="454"/>
      <c r="W421" s="454"/>
      <c r="X421" s="454"/>
      <c r="Y421" s="454"/>
      <c r="Z421" s="454"/>
      <c r="AA421" s="454"/>
      <c r="AB421" s="454"/>
    </row>
    <row r="422" spans="1:28">
      <c r="A422" s="331"/>
      <c r="B422" s="332"/>
      <c r="C422" s="454"/>
      <c r="D422" s="334"/>
      <c r="E422" s="333"/>
      <c r="F422" s="334"/>
      <c r="G422" s="334"/>
      <c r="H422" s="454"/>
      <c r="I422" s="455"/>
      <c r="J422" s="456"/>
      <c r="K422" s="456"/>
      <c r="L422" s="454"/>
      <c r="M422" s="454"/>
      <c r="N422" s="454"/>
      <c r="O422" s="454"/>
      <c r="P422" s="454"/>
      <c r="Q422" s="454"/>
      <c r="R422" s="454"/>
      <c r="S422" s="454"/>
      <c r="T422" s="454"/>
      <c r="U422" s="454"/>
      <c r="V422" s="454"/>
      <c r="W422" s="454"/>
      <c r="X422" s="454"/>
      <c r="Y422" s="454"/>
      <c r="Z422" s="454"/>
      <c r="AA422" s="454"/>
      <c r="AB422" s="454"/>
    </row>
    <row r="423" spans="1:28">
      <c r="A423" s="331"/>
      <c r="B423" s="332"/>
      <c r="C423" s="454"/>
      <c r="D423" s="334"/>
      <c r="E423" s="333"/>
      <c r="F423" s="334"/>
      <c r="G423" s="334"/>
      <c r="H423" s="454"/>
      <c r="I423" s="455"/>
      <c r="J423" s="456"/>
      <c r="K423" s="456"/>
      <c r="L423" s="454"/>
      <c r="M423" s="454"/>
      <c r="N423" s="454"/>
      <c r="O423" s="454"/>
      <c r="P423" s="454"/>
      <c r="Q423" s="454"/>
      <c r="R423" s="454"/>
      <c r="S423" s="454"/>
      <c r="T423" s="454"/>
      <c r="U423" s="454"/>
      <c r="V423" s="454"/>
      <c r="W423" s="454"/>
      <c r="X423" s="454"/>
      <c r="Y423" s="454"/>
      <c r="Z423" s="454"/>
      <c r="AA423" s="454"/>
      <c r="AB423" s="454"/>
    </row>
    <row r="424" spans="1:28">
      <c r="A424" s="331"/>
      <c r="B424" s="332"/>
      <c r="C424" s="454"/>
      <c r="D424" s="334"/>
      <c r="E424" s="333"/>
      <c r="F424" s="334"/>
      <c r="G424" s="334"/>
      <c r="H424" s="454"/>
      <c r="I424" s="455"/>
      <c r="J424" s="456"/>
      <c r="K424" s="456"/>
      <c r="L424" s="454"/>
      <c r="M424" s="454"/>
      <c r="N424" s="454"/>
      <c r="O424" s="454"/>
      <c r="P424" s="454"/>
      <c r="Q424" s="454"/>
      <c r="R424" s="454"/>
      <c r="S424" s="454"/>
      <c r="T424" s="454"/>
      <c r="U424" s="454"/>
      <c r="V424" s="454"/>
      <c r="W424" s="454"/>
      <c r="X424" s="454"/>
      <c r="Y424" s="454"/>
      <c r="Z424" s="454"/>
      <c r="AA424" s="454"/>
      <c r="AB424" s="454"/>
    </row>
    <row r="425" spans="1:28">
      <c r="A425" s="331"/>
      <c r="B425" s="332"/>
      <c r="C425" s="454"/>
      <c r="D425" s="333"/>
      <c r="E425" s="333"/>
      <c r="F425" s="333"/>
      <c r="G425" s="333"/>
      <c r="H425" s="454"/>
      <c r="I425" s="455"/>
      <c r="J425" s="456"/>
      <c r="K425" s="456"/>
      <c r="L425" s="454"/>
      <c r="M425" s="454"/>
      <c r="N425" s="454"/>
      <c r="O425" s="454"/>
      <c r="P425" s="454"/>
      <c r="Q425" s="454"/>
      <c r="R425" s="454"/>
      <c r="S425" s="454"/>
      <c r="T425" s="454"/>
      <c r="U425" s="454"/>
      <c r="V425" s="454"/>
      <c r="W425" s="454"/>
      <c r="X425" s="454"/>
      <c r="Y425" s="454"/>
      <c r="Z425" s="454"/>
      <c r="AA425" s="454"/>
      <c r="AB425" s="454"/>
    </row>
    <row r="426" spans="1:28">
      <c r="A426" s="331"/>
      <c r="B426" s="332"/>
      <c r="C426" s="454"/>
      <c r="D426" s="333"/>
      <c r="E426" s="333"/>
      <c r="F426" s="333"/>
      <c r="G426" s="333"/>
      <c r="H426" s="454"/>
      <c r="I426" s="455"/>
      <c r="J426" s="456"/>
      <c r="K426" s="456"/>
      <c r="L426" s="454"/>
      <c r="M426" s="454"/>
      <c r="N426" s="454"/>
      <c r="O426" s="454"/>
      <c r="P426" s="454"/>
      <c r="Q426" s="454"/>
      <c r="R426" s="454"/>
      <c r="S426" s="454"/>
      <c r="T426" s="454"/>
      <c r="U426" s="454"/>
      <c r="V426" s="454"/>
      <c r="W426" s="454"/>
      <c r="X426" s="454"/>
      <c r="Y426" s="454"/>
      <c r="Z426" s="454"/>
      <c r="AA426" s="454"/>
      <c r="AB426" s="454"/>
    </row>
    <row r="427" spans="1:28">
      <c r="A427" s="331"/>
      <c r="B427" s="332"/>
      <c r="C427" s="454"/>
      <c r="D427" s="333"/>
      <c r="E427" s="333"/>
      <c r="F427" s="333"/>
      <c r="G427" s="333"/>
      <c r="H427" s="454"/>
      <c r="I427" s="455"/>
      <c r="J427" s="456"/>
      <c r="K427" s="456"/>
      <c r="L427" s="454"/>
      <c r="M427" s="454"/>
      <c r="N427" s="454"/>
      <c r="O427" s="454"/>
      <c r="P427" s="454"/>
      <c r="Q427" s="454"/>
      <c r="R427" s="454"/>
      <c r="S427" s="454"/>
      <c r="T427" s="454"/>
      <c r="U427" s="454"/>
      <c r="V427" s="454"/>
      <c r="W427" s="454"/>
      <c r="X427" s="454"/>
      <c r="Y427" s="454"/>
      <c r="Z427" s="454"/>
      <c r="AA427" s="454"/>
      <c r="AB427" s="454"/>
    </row>
    <row r="428" spans="1:28">
      <c r="A428" s="331"/>
      <c r="B428" s="332"/>
      <c r="C428" s="454"/>
      <c r="D428" s="333"/>
      <c r="E428" s="333"/>
      <c r="F428" s="333"/>
      <c r="G428" s="333"/>
      <c r="H428" s="454"/>
      <c r="I428" s="455"/>
      <c r="J428" s="456"/>
      <c r="K428" s="456"/>
      <c r="L428" s="454"/>
      <c r="M428" s="454"/>
      <c r="N428" s="454"/>
      <c r="O428" s="454"/>
      <c r="P428" s="454"/>
      <c r="Q428" s="454"/>
      <c r="R428" s="454"/>
      <c r="S428" s="454"/>
      <c r="T428" s="454"/>
      <c r="U428" s="454"/>
      <c r="V428" s="454"/>
      <c r="W428" s="454"/>
      <c r="X428" s="454"/>
      <c r="Y428" s="454"/>
      <c r="Z428" s="454"/>
      <c r="AA428" s="454"/>
      <c r="AB428" s="454"/>
    </row>
    <row r="429" spans="1:28">
      <c r="A429" s="331"/>
      <c r="B429" s="332"/>
      <c r="C429" s="454"/>
      <c r="D429" s="333"/>
      <c r="E429" s="333"/>
      <c r="F429" s="333"/>
      <c r="G429" s="333"/>
      <c r="H429" s="454"/>
      <c r="I429" s="455"/>
      <c r="J429" s="456"/>
      <c r="K429" s="456"/>
      <c r="L429" s="454"/>
      <c r="M429" s="454"/>
      <c r="N429" s="454"/>
      <c r="O429" s="454"/>
      <c r="P429" s="454"/>
      <c r="Q429" s="454"/>
      <c r="R429" s="454"/>
      <c r="S429" s="454"/>
      <c r="T429" s="454"/>
      <c r="U429" s="454"/>
      <c r="V429" s="454"/>
      <c r="W429" s="454"/>
      <c r="X429" s="454"/>
      <c r="Y429" s="454"/>
      <c r="Z429" s="454"/>
      <c r="AA429" s="454"/>
      <c r="AB429" s="454"/>
    </row>
    <row r="430" spans="1:28">
      <c r="A430" s="331"/>
      <c r="B430" s="332"/>
      <c r="C430" s="454"/>
      <c r="D430" s="333"/>
      <c r="E430" s="333"/>
      <c r="F430" s="333"/>
      <c r="G430" s="333"/>
      <c r="H430" s="454"/>
      <c r="I430" s="455"/>
      <c r="J430" s="456"/>
      <c r="K430" s="456"/>
      <c r="L430" s="454"/>
      <c r="M430" s="454"/>
      <c r="N430" s="454"/>
      <c r="O430" s="454"/>
      <c r="P430" s="454"/>
      <c r="Q430" s="454"/>
      <c r="R430" s="454"/>
      <c r="S430" s="454"/>
      <c r="T430" s="454"/>
      <c r="U430" s="454"/>
      <c r="V430" s="454"/>
      <c r="W430" s="454"/>
      <c r="X430" s="454"/>
      <c r="Y430" s="454"/>
      <c r="Z430" s="454"/>
      <c r="AA430" s="454"/>
      <c r="AB430" s="454"/>
    </row>
    <row r="431" spans="1:28">
      <c r="A431" s="331"/>
      <c r="B431" s="332"/>
      <c r="C431" s="454"/>
      <c r="D431" s="333"/>
      <c r="E431" s="333"/>
      <c r="F431" s="333"/>
      <c r="G431" s="333"/>
      <c r="H431" s="454"/>
      <c r="I431" s="455"/>
      <c r="J431" s="456"/>
      <c r="K431" s="456"/>
      <c r="L431" s="454"/>
      <c r="M431" s="454"/>
      <c r="N431" s="454"/>
      <c r="O431" s="454"/>
      <c r="P431" s="454"/>
      <c r="Q431" s="454"/>
      <c r="R431" s="454"/>
      <c r="S431" s="454"/>
      <c r="T431" s="454"/>
      <c r="U431" s="454"/>
      <c r="V431" s="454"/>
      <c r="W431" s="454"/>
      <c r="X431" s="454"/>
      <c r="Y431" s="454"/>
      <c r="Z431" s="454"/>
      <c r="AA431" s="454"/>
      <c r="AB431" s="454"/>
    </row>
    <row r="432" spans="1:28">
      <c r="A432" s="331"/>
      <c r="B432" s="332"/>
      <c r="C432" s="454"/>
      <c r="D432" s="333"/>
      <c r="E432" s="333"/>
      <c r="F432" s="333"/>
      <c r="G432" s="333"/>
      <c r="H432" s="454"/>
      <c r="I432" s="455"/>
      <c r="J432" s="456"/>
      <c r="K432" s="456"/>
      <c r="L432" s="454"/>
      <c r="M432" s="454"/>
      <c r="N432" s="454"/>
      <c r="O432" s="454"/>
      <c r="P432" s="454"/>
      <c r="Q432" s="454"/>
      <c r="R432" s="454"/>
      <c r="S432" s="454"/>
      <c r="T432" s="454"/>
      <c r="U432" s="454"/>
      <c r="V432" s="454"/>
      <c r="W432" s="454"/>
      <c r="X432" s="454"/>
      <c r="Y432" s="454"/>
      <c r="Z432" s="454"/>
      <c r="AA432" s="454"/>
      <c r="AB432" s="454"/>
    </row>
    <row r="433" spans="1:28">
      <c r="A433" s="331"/>
      <c r="B433" s="332"/>
      <c r="C433" s="454"/>
      <c r="D433" s="333"/>
      <c r="E433" s="333"/>
      <c r="F433" s="333"/>
      <c r="G433" s="333"/>
      <c r="H433" s="454"/>
      <c r="I433" s="455"/>
      <c r="J433" s="456"/>
      <c r="K433" s="456"/>
      <c r="L433" s="454"/>
      <c r="M433" s="454"/>
      <c r="N433" s="454"/>
      <c r="O433" s="454"/>
      <c r="P433" s="454"/>
      <c r="Q433" s="454"/>
      <c r="R433" s="454"/>
      <c r="S433" s="454"/>
      <c r="T433" s="454"/>
      <c r="U433" s="454"/>
      <c r="V433" s="454"/>
      <c r="W433" s="454"/>
      <c r="X433" s="454"/>
      <c r="Y433" s="454"/>
      <c r="Z433" s="454"/>
      <c r="AA433" s="454"/>
      <c r="AB433" s="454"/>
    </row>
    <row r="434" spans="1:28">
      <c r="A434" s="331"/>
      <c r="B434" s="332"/>
      <c r="C434" s="454"/>
      <c r="D434" s="333"/>
      <c r="E434" s="333"/>
      <c r="F434" s="333"/>
      <c r="G434" s="333"/>
      <c r="H434" s="454"/>
      <c r="I434" s="455"/>
      <c r="J434" s="456"/>
      <c r="K434" s="456"/>
      <c r="L434" s="454"/>
      <c r="M434" s="454"/>
      <c r="N434" s="454"/>
      <c r="O434" s="454"/>
      <c r="P434" s="454"/>
      <c r="Q434" s="454"/>
      <c r="R434" s="454"/>
      <c r="S434" s="454"/>
      <c r="T434" s="454"/>
      <c r="U434" s="454"/>
      <c r="V434" s="454"/>
      <c r="W434" s="454"/>
      <c r="X434" s="454"/>
      <c r="Y434" s="454"/>
      <c r="Z434" s="454"/>
      <c r="AA434" s="454"/>
      <c r="AB434" s="454"/>
    </row>
    <row r="435" spans="1:28">
      <c r="A435" s="331"/>
      <c r="B435" s="332"/>
      <c r="C435" s="454"/>
      <c r="D435" s="334"/>
      <c r="E435" s="333"/>
      <c r="F435" s="334"/>
      <c r="G435" s="334"/>
      <c r="H435" s="454"/>
      <c r="I435" s="455"/>
      <c r="J435" s="456"/>
      <c r="K435" s="456"/>
      <c r="L435" s="454"/>
      <c r="M435" s="454"/>
      <c r="N435" s="454"/>
      <c r="O435" s="454"/>
      <c r="P435" s="454"/>
      <c r="Q435" s="454"/>
      <c r="R435" s="454"/>
      <c r="S435" s="454"/>
      <c r="T435" s="454"/>
      <c r="U435" s="454"/>
      <c r="V435" s="454"/>
      <c r="W435" s="454"/>
      <c r="X435" s="454"/>
      <c r="Y435" s="454"/>
      <c r="Z435" s="454"/>
      <c r="AA435" s="454"/>
      <c r="AB435" s="454"/>
    </row>
    <row r="436" spans="1:28">
      <c r="A436" s="331"/>
      <c r="B436" s="332"/>
      <c r="C436" s="454"/>
      <c r="D436" s="334"/>
      <c r="E436" s="333"/>
      <c r="F436" s="334"/>
      <c r="G436" s="334"/>
      <c r="H436" s="454"/>
      <c r="I436" s="455"/>
      <c r="J436" s="456"/>
      <c r="K436" s="456"/>
      <c r="L436" s="454"/>
      <c r="M436" s="454"/>
      <c r="N436" s="454"/>
      <c r="O436" s="454"/>
      <c r="P436" s="454"/>
      <c r="Q436" s="454"/>
      <c r="R436" s="454"/>
      <c r="S436" s="454"/>
      <c r="T436" s="454"/>
      <c r="U436" s="454"/>
      <c r="V436" s="454"/>
      <c r="W436" s="454"/>
      <c r="X436" s="454"/>
      <c r="Y436" s="454"/>
      <c r="Z436" s="454"/>
      <c r="AA436" s="454"/>
      <c r="AB436" s="454"/>
    </row>
    <row r="437" spans="1:28">
      <c r="A437" s="331"/>
      <c r="B437" s="332"/>
      <c r="C437" s="454"/>
      <c r="D437" s="333"/>
      <c r="E437" s="333"/>
      <c r="F437" s="333"/>
      <c r="G437" s="333"/>
      <c r="H437" s="454"/>
      <c r="I437" s="455"/>
      <c r="J437" s="456"/>
      <c r="K437" s="456"/>
      <c r="L437" s="454"/>
      <c r="M437" s="454"/>
      <c r="N437" s="454"/>
      <c r="O437" s="454"/>
      <c r="P437" s="454"/>
      <c r="Q437" s="454"/>
      <c r="R437" s="454"/>
      <c r="S437" s="454"/>
      <c r="T437" s="454"/>
      <c r="U437" s="454"/>
      <c r="V437" s="454"/>
      <c r="W437" s="454"/>
      <c r="X437" s="454"/>
      <c r="Y437" s="454"/>
      <c r="Z437" s="454"/>
      <c r="AA437" s="454"/>
      <c r="AB437" s="454"/>
    </row>
    <row r="438" spans="1:28">
      <c r="A438" s="331"/>
      <c r="B438" s="332"/>
      <c r="C438" s="454"/>
      <c r="D438" s="333"/>
      <c r="E438" s="333"/>
      <c r="F438" s="333"/>
      <c r="G438" s="333"/>
      <c r="H438" s="454"/>
      <c r="I438" s="455"/>
      <c r="J438" s="456"/>
      <c r="K438" s="456"/>
      <c r="L438" s="454"/>
      <c r="M438" s="454"/>
      <c r="N438" s="454"/>
      <c r="O438" s="454"/>
      <c r="P438" s="454"/>
      <c r="Q438" s="454"/>
      <c r="R438" s="454"/>
      <c r="S438" s="454"/>
      <c r="T438" s="454"/>
      <c r="U438" s="454"/>
      <c r="V438" s="454"/>
      <c r="W438" s="454"/>
      <c r="X438" s="454"/>
      <c r="Y438" s="454"/>
      <c r="Z438" s="454"/>
      <c r="AA438" s="454"/>
      <c r="AB438" s="454"/>
    </row>
    <row r="439" spans="1:28">
      <c r="A439" s="331"/>
      <c r="B439" s="332"/>
      <c r="C439" s="454"/>
      <c r="D439" s="333"/>
      <c r="E439" s="333"/>
      <c r="F439" s="333"/>
      <c r="G439" s="333"/>
      <c r="H439" s="454"/>
      <c r="I439" s="455"/>
      <c r="J439" s="456"/>
      <c r="K439" s="456"/>
      <c r="L439" s="454"/>
      <c r="M439" s="454"/>
      <c r="N439" s="454"/>
      <c r="O439" s="454"/>
      <c r="P439" s="454"/>
      <c r="Q439" s="454"/>
      <c r="R439" s="454"/>
      <c r="S439" s="454"/>
      <c r="T439" s="454"/>
      <c r="U439" s="454"/>
      <c r="V439" s="454"/>
      <c r="W439" s="454"/>
      <c r="X439" s="454"/>
      <c r="Y439" s="454"/>
      <c r="Z439" s="454"/>
      <c r="AA439" s="454"/>
      <c r="AB439" s="454"/>
    </row>
    <row r="440" spans="1:28">
      <c r="A440" s="331"/>
      <c r="B440" s="332"/>
      <c r="C440" s="454"/>
      <c r="D440" s="333"/>
      <c r="E440" s="333"/>
      <c r="F440" s="333"/>
      <c r="G440" s="333"/>
      <c r="H440" s="454"/>
      <c r="I440" s="455"/>
      <c r="J440" s="456"/>
      <c r="K440" s="456"/>
      <c r="L440" s="454"/>
      <c r="M440" s="454"/>
      <c r="N440" s="454"/>
      <c r="O440" s="454"/>
      <c r="P440" s="454"/>
      <c r="Q440" s="454"/>
      <c r="R440" s="454"/>
      <c r="S440" s="454"/>
      <c r="T440" s="454"/>
      <c r="U440" s="454"/>
      <c r="V440" s="454"/>
      <c r="W440" s="454"/>
      <c r="X440" s="454"/>
      <c r="Y440" s="454"/>
      <c r="Z440" s="454"/>
      <c r="AA440" s="454"/>
      <c r="AB440" s="454"/>
    </row>
    <row r="441" spans="1:28">
      <c r="A441" s="331"/>
      <c r="B441" s="332"/>
      <c r="C441" s="454"/>
      <c r="D441" s="337"/>
      <c r="E441" s="333"/>
      <c r="F441" s="337"/>
      <c r="G441" s="337"/>
      <c r="H441" s="454"/>
      <c r="I441" s="455"/>
      <c r="J441" s="456"/>
      <c r="K441" s="456"/>
      <c r="L441" s="454"/>
      <c r="M441" s="454"/>
      <c r="N441" s="454"/>
      <c r="O441" s="454"/>
      <c r="P441" s="454"/>
      <c r="Q441" s="454"/>
      <c r="R441" s="454"/>
      <c r="S441" s="454"/>
      <c r="T441" s="454"/>
      <c r="U441" s="454"/>
      <c r="V441" s="454"/>
      <c r="W441" s="454"/>
      <c r="X441" s="454"/>
      <c r="Y441" s="454"/>
      <c r="Z441" s="454"/>
      <c r="AA441" s="454"/>
      <c r="AB441" s="454"/>
    </row>
    <row r="442" spans="1:28">
      <c r="A442" s="331"/>
      <c r="B442" s="332"/>
      <c r="C442" s="454"/>
      <c r="D442" s="335"/>
      <c r="E442" s="333"/>
      <c r="F442" s="335"/>
      <c r="G442" s="335"/>
      <c r="H442" s="454"/>
      <c r="I442" s="455"/>
      <c r="J442" s="456"/>
      <c r="K442" s="456"/>
      <c r="L442" s="454"/>
      <c r="M442" s="454"/>
      <c r="N442" s="454"/>
      <c r="O442" s="454"/>
      <c r="P442" s="454"/>
      <c r="Q442" s="454"/>
      <c r="R442" s="454"/>
      <c r="S442" s="454"/>
      <c r="T442" s="454"/>
      <c r="U442" s="454"/>
      <c r="V442" s="454"/>
      <c r="W442" s="454"/>
      <c r="X442" s="454"/>
      <c r="Y442" s="454"/>
      <c r="Z442" s="454"/>
      <c r="AA442" s="454"/>
      <c r="AB442" s="454"/>
    </row>
    <row r="443" spans="1:28">
      <c r="A443" s="331"/>
      <c r="B443" s="332"/>
      <c r="C443" s="454"/>
      <c r="D443" s="336"/>
      <c r="E443" s="333"/>
      <c r="F443" s="336"/>
      <c r="G443" s="336"/>
      <c r="H443" s="454"/>
      <c r="I443" s="455"/>
      <c r="J443" s="456"/>
      <c r="K443" s="456"/>
      <c r="L443" s="454"/>
      <c r="M443" s="454"/>
      <c r="N443" s="454"/>
      <c r="O443" s="454"/>
      <c r="P443" s="454"/>
      <c r="Q443" s="454"/>
      <c r="R443" s="454"/>
      <c r="S443" s="454"/>
      <c r="T443" s="454"/>
      <c r="U443" s="454"/>
      <c r="V443" s="454"/>
      <c r="W443" s="454"/>
      <c r="X443" s="454"/>
      <c r="Y443" s="454"/>
      <c r="Z443" s="454"/>
      <c r="AA443" s="454"/>
      <c r="AB443" s="454"/>
    </row>
    <row r="444" spans="1:28">
      <c r="A444" s="331"/>
      <c r="B444" s="332"/>
      <c r="C444" s="454"/>
      <c r="D444" s="336"/>
      <c r="E444" s="333"/>
      <c r="F444" s="336"/>
      <c r="G444" s="336"/>
      <c r="H444" s="454"/>
      <c r="I444" s="455"/>
      <c r="J444" s="456"/>
      <c r="K444" s="456"/>
      <c r="L444" s="454"/>
      <c r="M444" s="454"/>
      <c r="N444" s="454"/>
      <c r="O444" s="454"/>
      <c r="P444" s="454"/>
      <c r="Q444" s="454"/>
      <c r="R444" s="454"/>
      <c r="S444" s="454"/>
      <c r="T444" s="454"/>
      <c r="U444" s="454"/>
      <c r="V444" s="454"/>
      <c r="W444" s="454"/>
      <c r="X444" s="454"/>
      <c r="Y444" s="454"/>
      <c r="Z444" s="454"/>
      <c r="AA444" s="454"/>
      <c r="AB444" s="454"/>
    </row>
    <row r="445" spans="1:28">
      <c r="A445" s="331"/>
      <c r="B445" s="332"/>
      <c r="C445" s="454"/>
      <c r="D445" s="334"/>
      <c r="E445" s="333"/>
      <c r="F445" s="334"/>
      <c r="G445" s="336"/>
      <c r="H445" s="454"/>
      <c r="I445" s="455"/>
      <c r="J445" s="456"/>
      <c r="K445" s="456"/>
      <c r="L445" s="454"/>
      <c r="M445" s="454"/>
      <c r="N445" s="454"/>
      <c r="O445" s="454"/>
      <c r="P445" s="454"/>
      <c r="Q445" s="454"/>
      <c r="R445" s="454"/>
      <c r="S445" s="454"/>
      <c r="T445" s="454"/>
      <c r="U445" s="454"/>
      <c r="V445" s="454"/>
      <c r="W445" s="454"/>
      <c r="X445" s="454"/>
      <c r="Y445" s="454"/>
      <c r="Z445" s="454"/>
      <c r="AA445" s="454"/>
      <c r="AB445" s="454"/>
    </row>
    <row r="446" spans="1:28">
      <c r="A446" s="331"/>
      <c r="B446" s="332"/>
      <c r="C446" s="454"/>
      <c r="D446" s="334"/>
      <c r="E446" s="333"/>
      <c r="F446" s="333"/>
      <c r="G446" s="336"/>
      <c r="H446" s="454"/>
      <c r="I446" s="455"/>
      <c r="J446" s="456"/>
      <c r="K446" s="456"/>
      <c r="L446" s="454"/>
      <c r="M446" s="454"/>
      <c r="N446" s="454"/>
      <c r="O446" s="454"/>
      <c r="P446" s="454"/>
      <c r="Q446" s="454"/>
      <c r="R446" s="454"/>
      <c r="S446" s="454"/>
      <c r="T446" s="454"/>
      <c r="U446" s="454"/>
      <c r="V446" s="454"/>
      <c r="W446" s="454"/>
      <c r="X446" s="454"/>
      <c r="Y446" s="454"/>
      <c r="Z446" s="454"/>
      <c r="AA446" s="454"/>
      <c r="AB446" s="454"/>
    </row>
    <row r="447" spans="1:28">
      <c r="A447" s="331"/>
      <c r="B447" s="332"/>
      <c r="C447" s="454"/>
      <c r="D447" s="334"/>
      <c r="E447" s="333"/>
      <c r="F447" s="334"/>
      <c r="G447" s="336"/>
      <c r="H447" s="454"/>
      <c r="I447" s="455"/>
      <c r="J447" s="456"/>
      <c r="K447" s="456"/>
      <c r="L447" s="454"/>
      <c r="M447" s="454"/>
      <c r="N447" s="454"/>
      <c r="O447" s="454"/>
      <c r="P447" s="454"/>
      <c r="Q447" s="454"/>
      <c r="R447" s="454"/>
      <c r="S447" s="454"/>
      <c r="T447" s="454"/>
      <c r="U447" s="454"/>
      <c r="V447" s="454"/>
      <c r="W447" s="454"/>
      <c r="X447" s="454"/>
      <c r="Y447" s="454"/>
      <c r="Z447" s="454"/>
      <c r="AA447" s="454"/>
      <c r="AB447" s="454"/>
    </row>
    <row r="448" spans="1:28">
      <c r="A448" s="331"/>
      <c r="B448" s="332"/>
      <c r="C448" s="454"/>
      <c r="D448" s="334"/>
      <c r="E448" s="333"/>
      <c r="F448" s="334"/>
      <c r="G448" s="336"/>
      <c r="H448" s="454"/>
      <c r="I448" s="455"/>
      <c r="J448" s="456"/>
      <c r="K448" s="456"/>
      <c r="L448" s="454"/>
      <c r="M448" s="454"/>
      <c r="N448" s="454"/>
      <c r="O448" s="454"/>
      <c r="P448" s="454"/>
      <c r="Q448" s="454"/>
      <c r="R448" s="454"/>
      <c r="S448" s="454"/>
      <c r="T448" s="454"/>
      <c r="U448" s="454"/>
      <c r="V448" s="454"/>
      <c r="W448" s="454"/>
      <c r="X448" s="454"/>
      <c r="Y448" s="454"/>
      <c r="Z448" s="454"/>
      <c r="AA448" s="454"/>
      <c r="AB448" s="454"/>
    </row>
    <row r="449" spans="1:28">
      <c r="A449" s="331"/>
      <c r="B449" s="332"/>
      <c r="C449" s="454"/>
      <c r="D449" s="334"/>
      <c r="E449" s="333"/>
      <c r="F449" s="334"/>
      <c r="G449" s="336"/>
      <c r="H449" s="454"/>
      <c r="I449" s="455"/>
      <c r="J449" s="456"/>
      <c r="K449" s="456"/>
      <c r="L449" s="454"/>
      <c r="M449" s="454"/>
      <c r="N449" s="454"/>
      <c r="O449" s="454"/>
      <c r="P449" s="454"/>
      <c r="Q449" s="454"/>
      <c r="R449" s="454"/>
      <c r="S449" s="454"/>
      <c r="T449" s="454"/>
      <c r="U449" s="454"/>
      <c r="V449" s="454"/>
      <c r="W449" s="454"/>
      <c r="X449" s="454"/>
      <c r="Y449" s="454"/>
      <c r="Z449" s="454"/>
      <c r="AA449" s="454"/>
      <c r="AB449" s="454"/>
    </row>
    <row r="450" spans="1:28">
      <c r="A450" s="331"/>
      <c r="B450" s="332"/>
      <c r="C450" s="454"/>
      <c r="D450" s="334"/>
      <c r="E450" s="333"/>
      <c r="F450" s="334"/>
      <c r="G450" s="336"/>
      <c r="H450" s="454"/>
      <c r="I450" s="455"/>
      <c r="J450" s="456"/>
      <c r="K450" s="456"/>
      <c r="L450" s="454"/>
      <c r="M450" s="454"/>
      <c r="N450" s="454"/>
      <c r="O450" s="454"/>
      <c r="P450" s="454"/>
      <c r="Q450" s="454"/>
      <c r="R450" s="454"/>
      <c r="S450" s="454"/>
      <c r="T450" s="454"/>
      <c r="U450" s="454"/>
      <c r="V450" s="454"/>
      <c r="W450" s="454"/>
      <c r="X450" s="454"/>
      <c r="Y450" s="454"/>
      <c r="Z450" s="454"/>
      <c r="AA450" s="454"/>
      <c r="AB450" s="454"/>
    </row>
    <row r="451" spans="1:28">
      <c r="A451" s="331"/>
      <c r="B451" s="332"/>
      <c r="C451" s="454"/>
      <c r="D451" s="334"/>
      <c r="E451" s="333"/>
      <c r="F451" s="334"/>
      <c r="G451" s="336"/>
      <c r="H451" s="454"/>
      <c r="I451" s="455"/>
      <c r="J451" s="456"/>
      <c r="K451" s="456"/>
      <c r="L451" s="454"/>
      <c r="M451" s="454"/>
      <c r="N451" s="454"/>
      <c r="O451" s="454"/>
      <c r="P451" s="454"/>
      <c r="Q451" s="454"/>
      <c r="R451" s="454"/>
      <c r="S451" s="454"/>
      <c r="T451" s="454"/>
      <c r="U451" s="454"/>
      <c r="V451" s="454"/>
      <c r="W451" s="454"/>
      <c r="X451" s="454"/>
      <c r="Y451" s="454"/>
      <c r="Z451" s="454"/>
      <c r="AA451" s="454"/>
      <c r="AB451" s="454"/>
    </row>
    <row r="452" spans="1:28">
      <c r="A452" s="331"/>
      <c r="B452" s="332"/>
      <c r="C452" s="454"/>
      <c r="D452" s="334"/>
      <c r="E452" s="333"/>
      <c r="F452" s="334"/>
      <c r="G452" s="336"/>
      <c r="H452" s="454"/>
      <c r="I452" s="455"/>
      <c r="J452" s="456"/>
      <c r="K452" s="456"/>
      <c r="L452" s="454"/>
      <c r="M452" s="454"/>
      <c r="N452" s="454"/>
      <c r="O452" s="454"/>
      <c r="P452" s="454"/>
      <c r="Q452" s="454"/>
      <c r="R452" s="454"/>
      <c r="S452" s="454"/>
      <c r="T452" s="454"/>
      <c r="U452" s="454"/>
      <c r="V452" s="454"/>
      <c r="W452" s="454"/>
      <c r="X452" s="454"/>
      <c r="Y452" s="454"/>
      <c r="Z452" s="454"/>
      <c r="AA452" s="454"/>
      <c r="AB452" s="454"/>
    </row>
    <row r="453" spans="1:28">
      <c r="A453" s="331"/>
      <c r="B453" s="332"/>
      <c r="C453" s="454"/>
      <c r="D453" s="334"/>
      <c r="E453" s="333"/>
      <c r="F453" s="334"/>
      <c r="G453" s="336"/>
      <c r="H453" s="454"/>
      <c r="I453" s="455"/>
      <c r="J453" s="456"/>
      <c r="K453" s="456"/>
      <c r="L453" s="454"/>
      <c r="M453" s="454"/>
      <c r="N453" s="454"/>
      <c r="O453" s="454"/>
      <c r="P453" s="454"/>
      <c r="Q453" s="454"/>
      <c r="R453" s="454"/>
      <c r="S453" s="454"/>
      <c r="T453" s="454"/>
      <c r="U453" s="454"/>
      <c r="V453" s="454"/>
      <c r="W453" s="454"/>
      <c r="X453" s="454"/>
      <c r="Y453" s="454"/>
      <c r="Z453" s="454"/>
      <c r="AA453" s="454"/>
      <c r="AB453" s="454"/>
    </row>
    <row r="454" spans="1:28">
      <c r="A454" s="331"/>
      <c r="B454" s="332"/>
      <c r="C454" s="454"/>
      <c r="D454" s="334"/>
      <c r="E454" s="333"/>
      <c r="F454" s="334"/>
      <c r="G454" s="336"/>
      <c r="H454" s="454"/>
      <c r="I454" s="455"/>
      <c r="J454" s="456"/>
      <c r="K454" s="456"/>
      <c r="L454" s="454"/>
      <c r="M454" s="454"/>
      <c r="N454" s="454"/>
      <c r="O454" s="454"/>
      <c r="P454" s="454"/>
      <c r="Q454" s="454"/>
      <c r="R454" s="454"/>
      <c r="S454" s="454"/>
      <c r="T454" s="454"/>
      <c r="U454" s="454"/>
      <c r="V454" s="454"/>
      <c r="W454" s="454"/>
      <c r="X454" s="454"/>
      <c r="Y454" s="454"/>
      <c r="Z454" s="454"/>
      <c r="AA454" s="454"/>
      <c r="AB454" s="454"/>
    </row>
    <row r="455" spans="1:28">
      <c r="A455" s="331"/>
      <c r="B455" s="332"/>
      <c r="C455" s="454"/>
      <c r="D455" s="334"/>
      <c r="E455" s="333"/>
      <c r="F455" s="334"/>
      <c r="G455" s="335"/>
      <c r="H455" s="454"/>
      <c r="I455" s="455"/>
      <c r="J455" s="456"/>
      <c r="K455" s="456"/>
      <c r="L455" s="454"/>
      <c r="M455" s="454"/>
      <c r="N455" s="454"/>
      <c r="O455" s="454"/>
      <c r="P455" s="454"/>
      <c r="Q455" s="454"/>
      <c r="R455" s="454"/>
      <c r="S455" s="454"/>
      <c r="T455" s="454"/>
      <c r="U455" s="454"/>
      <c r="V455" s="454"/>
      <c r="W455" s="454"/>
      <c r="X455" s="454"/>
      <c r="Y455" s="454"/>
      <c r="Z455" s="454"/>
      <c r="AA455" s="454"/>
      <c r="AB455" s="454"/>
    </row>
    <row r="456" spans="1:28">
      <c r="A456" s="331"/>
      <c r="B456" s="332"/>
      <c r="C456" s="454"/>
      <c r="D456" s="334"/>
      <c r="E456" s="333"/>
      <c r="F456" s="334"/>
      <c r="G456" s="336"/>
      <c r="H456" s="454"/>
      <c r="I456" s="455"/>
      <c r="J456" s="456"/>
      <c r="K456" s="456"/>
      <c r="L456" s="454"/>
      <c r="M456" s="454"/>
      <c r="N456" s="454"/>
      <c r="O456" s="454"/>
      <c r="P456" s="454"/>
      <c r="Q456" s="454"/>
      <c r="R456" s="454"/>
      <c r="S456" s="454"/>
      <c r="T456" s="454"/>
      <c r="U456" s="454"/>
      <c r="V456" s="454"/>
      <c r="W456" s="454"/>
      <c r="X456" s="454"/>
      <c r="Y456" s="454"/>
      <c r="Z456" s="454"/>
      <c r="AA456" s="454"/>
      <c r="AB456" s="454"/>
    </row>
    <row r="457" spans="1:28">
      <c r="A457" s="331"/>
      <c r="B457" s="332"/>
      <c r="C457" s="454"/>
      <c r="D457" s="334"/>
      <c r="E457" s="333"/>
      <c r="F457" s="334"/>
      <c r="G457" s="334"/>
      <c r="H457" s="454"/>
      <c r="I457" s="455"/>
      <c r="J457" s="456"/>
      <c r="K457" s="456"/>
      <c r="L457" s="454"/>
      <c r="M457" s="454"/>
      <c r="N457" s="454"/>
      <c r="O457" s="454"/>
      <c r="P457" s="454"/>
      <c r="Q457" s="454"/>
      <c r="R457" s="454"/>
      <c r="S457" s="454"/>
      <c r="T457" s="454"/>
      <c r="U457" s="454"/>
      <c r="V457" s="454"/>
      <c r="W457" s="454"/>
      <c r="X457" s="454"/>
      <c r="Y457" s="454"/>
      <c r="Z457" s="454"/>
      <c r="AA457" s="454"/>
      <c r="AB457" s="454"/>
    </row>
    <row r="458" spans="1:28">
      <c r="A458" s="331"/>
      <c r="B458" s="332"/>
      <c r="C458" s="454"/>
      <c r="D458" s="334"/>
      <c r="E458" s="333"/>
      <c r="F458" s="334"/>
      <c r="G458" s="336"/>
      <c r="H458" s="454"/>
      <c r="I458" s="455"/>
      <c r="J458" s="456"/>
      <c r="K458" s="456"/>
      <c r="L458" s="454"/>
      <c r="M458" s="454"/>
      <c r="N458" s="454"/>
      <c r="O458" s="454"/>
      <c r="P458" s="454"/>
      <c r="Q458" s="454"/>
      <c r="R458" s="454"/>
      <c r="S458" s="454"/>
      <c r="T458" s="454"/>
      <c r="U458" s="454"/>
      <c r="V458" s="454"/>
      <c r="W458" s="454"/>
      <c r="X458" s="454"/>
      <c r="Y458" s="454"/>
      <c r="Z458" s="454"/>
      <c r="AA458" s="454"/>
      <c r="AB458" s="454"/>
    </row>
    <row r="459" spans="1:28">
      <c r="A459" s="331"/>
      <c r="B459" s="332"/>
      <c r="C459" s="454"/>
      <c r="D459" s="334"/>
      <c r="E459" s="333"/>
      <c r="F459" s="334"/>
      <c r="G459" s="334"/>
      <c r="H459" s="454"/>
      <c r="I459" s="455"/>
      <c r="J459" s="456"/>
      <c r="K459" s="456"/>
      <c r="L459" s="454"/>
      <c r="M459" s="454"/>
      <c r="N459" s="454"/>
      <c r="O459" s="454"/>
      <c r="P459" s="454"/>
      <c r="Q459" s="454"/>
      <c r="R459" s="454"/>
      <c r="S459" s="454"/>
      <c r="T459" s="454"/>
      <c r="U459" s="454"/>
      <c r="V459" s="454"/>
      <c r="W459" s="454"/>
      <c r="X459" s="454"/>
      <c r="Y459" s="454"/>
      <c r="Z459" s="454"/>
      <c r="AA459" s="454"/>
      <c r="AB459" s="454"/>
    </row>
    <row r="460" spans="1:28">
      <c r="A460" s="331"/>
      <c r="B460" s="332"/>
      <c r="C460" s="454"/>
      <c r="D460" s="334"/>
      <c r="E460" s="333"/>
      <c r="F460" s="334"/>
      <c r="G460" s="334"/>
      <c r="H460" s="454"/>
      <c r="I460" s="455"/>
      <c r="J460" s="456"/>
      <c r="K460" s="456"/>
      <c r="L460" s="454"/>
      <c r="M460" s="454"/>
      <c r="N460" s="454"/>
      <c r="O460" s="454"/>
      <c r="P460" s="454"/>
      <c r="Q460" s="454"/>
      <c r="R460" s="454"/>
      <c r="S460" s="454"/>
      <c r="T460" s="454"/>
      <c r="U460" s="454"/>
      <c r="V460" s="454"/>
      <c r="W460" s="454"/>
      <c r="X460" s="454"/>
      <c r="Y460" s="454"/>
      <c r="Z460" s="454"/>
      <c r="AA460" s="454"/>
      <c r="AB460" s="454"/>
    </row>
    <row r="461" spans="1:28">
      <c r="A461" s="331"/>
      <c r="B461" s="332"/>
      <c r="C461" s="454"/>
      <c r="D461" s="334"/>
      <c r="E461" s="333"/>
      <c r="F461" s="334"/>
      <c r="G461" s="334"/>
      <c r="H461" s="454"/>
      <c r="I461" s="455"/>
      <c r="J461" s="456"/>
      <c r="K461" s="456"/>
      <c r="L461" s="454"/>
      <c r="M461" s="454"/>
      <c r="N461" s="454"/>
      <c r="O461" s="454"/>
      <c r="P461" s="454"/>
      <c r="Q461" s="454"/>
      <c r="R461" s="454"/>
      <c r="S461" s="454"/>
      <c r="T461" s="454"/>
      <c r="U461" s="454"/>
      <c r="V461" s="454"/>
      <c r="W461" s="454"/>
      <c r="X461" s="454"/>
      <c r="Y461" s="454"/>
      <c r="Z461" s="454"/>
      <c r="AA461" s="454"/>
      <c r="AB461" s="454"/>
    </row>
    <row r="462" spans="1:28">
      <c r="A462" s="331"/>
      <c r="B462" s="332"/>
      <c r="C462" s="454"/>
      <c r="D462" s="334"/>
      <c r="E462" s="333"/>
      <c r="F462" s="334"/>
      <c r="G462" s="334"/>
      <c r="H462" s="454"/>
      <c r="I462" s="455"/>
      <c r="J462" s="456"/>
      <c r="K462" s="456"/>
      <c r="L462" s="454"/>
      <c r="M462" s="454"/>
      <c r="N462" s="454"/>
      <c r="O462" s="454"/>
      <c r="P462" s="454"/>
      <c r="Q462" s="454"/>
      <c r="R462" s="454"/>
      <c r="S462" s="454"/>
      <c r="T462" s="454"/>
      <c r="U462" s="454"/>
      <c r="V462" s="454"/>
      <c r="W462" s="454"/>
      <c r="X462" s="454"/>
      <c r="Y462" s="454"/>
      <c r="Z462" s="454"/>
      <c r="AA462" s="454"/>
      <c r="AB462" s="454"/>
    </row>
    <row r="463" spans="1:28">
      <c r="A463" s="331"/>
      <c r="B463" s="332"/>
      <c r="C463" s="454"/>
      <c r="D463" s="334"/>
      <c r="E463" s="333"/>
      <c r="F463" s="334"/>
      <c r="G463" s="334"/>
      <c r="H463" s="454"/>
      <c r="I463" s="455"/>
      <c r="J463" s="456"/>
      <c r="K463" s="456"/>
      <c r="L463" s="454"/>
      <c r="M463" s="454"/>
      <c r="N463" s="454"/>
      <c r="O463" s="454"/>
      <c r="P463" s="454"/>
      <c r="Q463" s="454"/>
      <c r="R463" s="454"/>
      <c r="S463" s="454"/>
      <c r="T463" s="454"/>
      <c r="U463" s="454"/>
      <c r="V463" s="454"/>
      <c r="W463" s="454"/>
      <c r="X463" s="454"/>
      <c r="Y463" s="454"/>
      <c r="Z463" s="454"/>
      <c r="AA463" s="454"/>
      <c r="AB463" s="454"/>
    </row>
    <row r="464" spans="1:28">
      <c r="A464" s="331"/>
      <c r="B464" s="332"/>
      <c r="C464" s="454"/>
      <c r="D464" s="334"/>
      <c r="E464" s="333"/>
      <c r="F464" s="334"/>
      <c r="G464" s="334"/>
      <c r="H464" s="454"/>
      <c r="I464" s="455"/>
      <c r="J464" s="456"/>
      <c r="K464" s="456"/>
      <c r="L464" s="454"/>
      <c r="M464" s="454"/>
      <c r="N464" s="454"/>
      <c r="O464" s="454"/>
      <c r="P464" s="454"/>
      <c r="Q464" s="454"/>
      <c r="R464" s="454"/>
      <c r="S464" s="454"/>
      <c r="T464" s="454"/>
      <c r="U464" s="454"/>
      <c r="V464" s="454"/>
      <c r="W464" s="454"/>
      <c r="X464" s="454"/>
      <c r="Y464" s="454"/>
      <c r="Z464" s="454"/>
      <c r="AA464" s="454"/>
      <c r="AB464" s="454"/>
    </row>
    <row r="465" spans="1:28">
      <c r="A465" s="331"/>
      <c r="B465" s="332"/>
      <c r="C465" s="454"/>
      <c r="D465" s="334"/>
      <c r="E465" s="333"/>
      <c r="F465" s="334"/>
      <c r="G465" s="334"/>
      <c r="H465" s="454"/>
      <c r="I465" s="455"/>
      <c r="J465" s="456"/>
      <c r="K465" s="456"/>
      <c r="L465" s="454"/>
      <c r="M465" s="454"/>
      <c r="N465" s="454"/>
      <c r="O465" s="454"/>
      <c r="P465" s="454"/>
      <c r="Q465" s="454"/>
      <c r="R465" s="454"/>
      <c r="S465" s="454"/>
      <c r="T465" s="454"/>
      <c r="U465" s="454"/>
      <c r="V465" s="454"/>
      <c r="W465" s="454"/>
      <c r="X465" s="454"/>
      <c r="Y465" s="454"/>
      <c r="Z465" s="454"/>
      <c r="AA465" s="454"/>
      <c r="AB465" s="454"/>
    </row>
    <row r="466" spans="1:28">
      <c r="A466" s="331"/>
      <c r="B466" s="332"/>
      <c r="C466" s="454"/>
      <c r="D466" s="334"/>
      <c r="E466" s="333"/>
      <c r="F466" s="334"/>
      <c r="G466" s="334"/>
      <c r="H466" s="454"/>
      <c r="I466" s="455"/>
      <c r="J466" s="456"/>
      <c r="K466" s="456"/>
      <c r="L466" s="454"/>
      <c r="M466" s="454"/>
      <c r="N466" s="454"/>
      <c r="O466" s="454"/>
      <c r="P466" s="454"/>
      <c r="Q466" s="454"/>
      <c r="R466" s="454"/>
      <c r="S466" s="454"/>
      <c r="T466" s="454"/>
      <c r="U466" s="454"/>
      <c r="V466" s="454"/>
      <c r="W466" s="454"/>
      <c r="X466" s="454"/>
      <c r="Y466" s="454"/>
      <c r="Z466" s="454"/>
      <c r="AA466" s="454"/>
      <c r="AB466" s="454"/>
    </row>
    <row r="467" spans="1:28">
      <c r="A467" s="331"/>
      <c r="B467" s="332"/>
      <c r="C467" s="454"/>
      <c r="D467" s="334"/>
      <c r="E467" s="333"/>
      <c r="F467" s="334"/>
      <c r="G467" s="334"/>
      <c r="H467" s="454"/>
      <c r="I467" s="455"/>
      <c r="J467" s="456"/>
      <c r="K467" s="456"/>
      <c r="L467" s="454"/>
      <c r="M467" s="454"/>
      <c r="N467" s="454"/>
      <c r="O467" s="454"/>
      <c r="P467" s="454"/>
      <c r="Q467" s="454"/>
      <c r="R467" s="454"/>
      <c r="S467" s="454"/>
      <c r="T467" s="454"/>
      <c r="U467" s="454"/>
      <c r="V467" s="454"/>
      <c r="W467" s="454"/>
      <c r="X467" s="454"/>
      <c r="Y467" s="454"/>
      <c r="Z467" s="454"/>
      <c r="AA467" s="454"/>
      <c r="AB467" s="454"/>
    </row>
    <row r="468" spans="1:28">
      <c r="A468" s="331"/>
      <c r="B468" s="332"/>
      <c r="C468" s="454"/>
      <c r="D468" s="334"/>
      <c r="E468" s="333"/>
      <c r="F468" s="334"/>
      <c r="G468" s="334"/>
      <c r="H468" s="454"/>
      <c r="I468" s="455"/>
      <c r="J468" s="456"/>
      <c r="K468" s="456"/>
      <c r="L468" s="454"/>
      <c r="M468" s="454"/>
      <c r="N468" s="454"/>
      <c r="O468" s="454"/>
      <c r="P468" s="454"/>
      <c r="Q468" s="454"/>
      <c r="R468" s="454"/>
      <c r="S468" s="454"/>
      <c r="T468" s="454"/>
      <c r="U468" s="454"/>
      <c r="V468" s="454"/>
      <c r="W468" s="454"/>
      <c r="X468" s="454"/>
      <c r="Y468" s="454"/>
      <c r="Z468" s="454"/>
      <c r="AA468" s="454"/>
      <c r="AB468" s="454"/>
    </row>
    <row r="469" spans="1:28">
      <c r="A469" s="331"/>
      <c r="B469" s="332"/>
      <c r="C469" s="454"/>
      <c r="D469" s="334"/>
      <c r="E469" s="333"/>
      <c r="F469" s="334"/>
      <c r="G469" s="334"/>
      <c r="H469" s="454"/>
      <c r="I469" s="455"/>
      <c r="J469" s="456"/>
      <c r="K469" s="456"/>
      <c r="L469" s="454"/>
      <c r="M469" s="454"/>
      <c r="N469" s="454"/>
      <c r="O469" s="454"/>
      <c r="P469" s="454"/>
      <c r="Q469" s="454"/>
      <c r="R469" s="454"/>
      <c r="S469" s="454"/>
      <c r="T469" s="454"/>
      <c r="U469" s="454"/>
      <c r="V469" s="454"/>
      <c r="W469" s="454"/>
      <c r="X469" s="454"/>
      <c r="Y469" s="454"/>
      <c r="Z469" s="454"/>
      <c r="AA469" s="454"/>
      <c r="AB469" s="454"/>
    </row>
    <row r="470" spans="1:28">
      <c r="A470" s="331"/>
      <c r="B470" s="332"/>
      <c r="C470" s="454"/>
      <c r="D470" s="334"/>
      <c r="E470" s="333"/>
      <c r="F470" s="334"/>
      <c r="G470" s="334"/>
      <c r="H470" s="454"/>
      <c r="I470" s="455"/>
      <c r="J470" s="456"/>
      <c r="K470" s="456"/>
      <c r="L470" s="454"/>
      <c r="M470" s="454"/>
      <c r="N470" s="454"/>
      <c r="O470" s="454"/>
      <c r="P470" s="454"/>
      <c r="Q470" s="454"/>
      <c r="R470" s="454"/>
      <c r="S470" s="454"/>
      <c r="T470" s="454"/>
      <c r="U470" s="454"/>
      <c r="V470" s="454"/>
      <c r="W470" s="454"/>
      <c r="X470" s="454"/>
      <c r="Y470" s="454"/>
      <c r="Z470" s="454"/>
      <c r="AA470" s="454"/>
      <c r="AB470" s="454"/>
    </row>
    <row r="471" spans="1:28">
      <c r="A471" s="331"/>
      <c r="B471" s="332"/>
      <c r="C471" s="454"/>
      <c r="D471" s="334"/>
      <c r="E471" s="333"/>
      <c r="F471" s="334"/>
      <c r="G471" s="334"/>
      <c r="H471" s="454"/>
      <c r="I471" s="455"/>
      <c r="J471" s="456"/>
      <c r="K471" s="456"/>
      <c r="L471" s="454"/>
      <c r="M471" s="454"/>
      <c r="N471" s="454"/>
      <c r="O471" s="454"/>
      <c r="P471" s="454"/>
      <c r="Q471" s="454"/>
      <c r="R471" s="454"/>
      <c r="S471" s="454"/>
      <c r="T471" s="454"/>
      <c r="U471" s="454"/>
      <c r="V471" s="454"/>
      <c r="W471" s="454"/>
      <c r="X471" s="454"/>
      <c r="Y471" s="454"/>
      <c r="Z471" s="454"/>
      <c r="AA471" s="454"/>
      <c r="AB471" s="454"/>
    </row>
    <row r="472" spans="1:28">
      <c r="A472" s="331"/>
      <c r="B472" s="332"/>
      <c r="C472" s="454"/>
      <c r="D472" s="334"/>
      <c r="E472" s="333"/>
      <c r="F472" s="334"/>
      <c r="G472" s="334"/>
      <c r="H472" s="454"/>
      <c r="I472" s="455"/>
      <c r="J472" s="456"/>
      <c r="K472" s="456"/>
      <c r="L472" s="454"/>
      <c r="M472" s="454"/>
      <c r="N472" s="454"/>
      <c r="O472" s="454"/>
      <c r="P472" s="454"/>
      <c r="Q472" s="454"/>
      <c r="R472" s="454"/>
      <c r="S472" s="454"/>
      <c r="T472" s="454"/>
      <c r="U472" s="454"/>
      <c r="V472" s="454"/>
      <c r="W472" s="454"/>
      <c r="X472" s="454"/>
      <c r="Y472" s="454"/>
      <c r="Z472" s="454"/>
      <c r="AA472" s="454"/>
      <c r="AB472" s="454"/>
    </row>
    <row r="473" spans="1:28">
      <c r="A473" s="331"/>
      <c r="B473" s="332"/>
      <c r="C473" s="454"/>
      <c r="D473" s="334"/>
      <c r="E473" s="333"/>
      <c r="F473" s="334"/>
      <c r="G473" s="334"/>
      <c r="H473" s="454"/>
      <c r="I473" s="455"/>
      <c r="J473" s="456"/>
      <c r="K473" s="456"/>
      <c r="L473" s="454"/>
      <c r="M473" s="454"/>
      <c r="N473" s="454"/>
      <c r="O473" s="454"/>
      <c r="P473" s="454"/>
      <c r="Q473" s="454"/>
      <c r="R473" s="454"/>
      <c r="S473" s="454"/>
      <c r="T473" s="454"/>
      <c r="U473" s="454"/>
      <c r="V473" s="454"/>
      <c r="W473" s="454"/>
      <c r="X473" s="454"/>
      <c r="Y473" s="454"/>
      <c r="Z473" s="454"/>
      <c r="AA473" s="454"/>
      <c r="AB473" s="454"/>
    </row>
    <row r="474" spans="1:28">
      <c r="A474" s="331"/>
      <c r="B474" s="332"/>
      <c r="C474" s="454"/>
      <c r="D474" s="334"/>
      <c r="E474" s="333"/>
      <c r="F474" s="334"/>
      <c r="G474" s="334"/>
      <c r="H474" s="454"/>
      <c r="I474" s="455"/>
      <c r="J474" s="456"/>
      <c r="K474" s="456"/>
      <c r="L474" s="454"/>
      <c r="M474" s="454"/>
      <c r="N474" s="454"/>
      <c r="O474" s="454"/>
      <c r="P474" s="454"/>
      <c r="Q474" s="454"/>
      <c r="R474" s="454"/>
      <c r="S474" s="454"/>
      <c r="T474" s="454"/>
      <c r="U474" s="454"/>
      <c r="V474" s="454"/>
      <c r="W474" s="454"/>
      <c r="X474" s="454"/>
      <c r="Y474" s="454"/>
      <c r="Z474" s="454"/>
      <c r="AA474" s="454"/>
      <c r="AB474" s="454"/>
    </row>
    <row r="475" spans="1:28">
      <c r="A475" s="331"/>
      <c r="B475" s="332"/>
      <c r="C475" s="454"/>
      <c r="D475" s="334"/>
      <c r="E475" s="333"/>
      <c r="F475" s="334"/>
      <c r="G475" s="334"/>
      <c r="H475" s="454"/>
      <c r="I475" s="455"/>
      <c r="J475" s="456"/>
      <c r="K475" s="456"/>
      <c r="L475" s="454"/>
      <c r="M475" s="454"/>
      <c r="N475" s="454"/>
      <c r="O475" s="454"/>
      <c r="P475" s="454"/>
      <c r="Q475" s="454"/>
      <c r="R475" s="454"/>
      <c r="S475" s="454"/>
      <c r="T475" s="454"/>
      <c r="U475" s="454"/>
      <c r="V475" s="454"/>
      <c r="W475" s="454"/>
      <c r="X475" s="454"/>
      <c r="Y475" s="454"/>
      <c r="Z475" s="454"/>
      <c r="AA475" s="454"/>
      <c r="AB475" s="454"/>
    </row>
    <row r="476" spans="1:28">
      <c r="A476" s="331"/>
      <c r="B476" s="332"/>
      <c r="C476" s="454"/>
      <c r="D476" s="334"/>
      <c r="E476" s="333"/>
      <c r="F476" s="334"/>
      <c r="G476" s="334"/>
      <c r="H476" s="454"/>
      <c r="I476" s="455"/>
      <c r="J476" s="456"/>
      <c r="K476" s="456"/>
      <c r="L476" s="454"/>
      <c r="M476" s="454"/>
      <c r="N476" s="454"/>
      <c r="O476" s="454"/>
      <c r="P476" s="454"/>
      <c r="Q476" s="454"/>
      <c r="R476" s="454"/>
      <c r="S476" s="454"/>
      <c r="T476" s="454"/>
      <c r="U476" s="454"/>
      <c r="V476" s="454"/>
      <c r="W476" s="454"/>
      <c r="X476" s="454"/>
      <c r="Y476" s="454"/>
      <c r="Z476" s="454"/>
      <c r="AA476" s="454"/>
      <c r="AB476" s="454"/>
    </row>
    <row r="477" spans="1:28">
      <c r="A477" s="331"/>
      <c r="B477" s="332"/>
      <c r="C477" s="454"/>
      <c r="D477" s="334"/>
      <c r="E477" s="333"/>
      <c r="F477" s="334"/>
      <c r="G477" s="334"/>
      <c r="H477" s="454"/>
      <c r="I477" s="455"/>
      <c r="J477" s="456"/>
      <c r="K477" s="456"/>
      <c r="L477" s="454"/>
      <c r="M477" s="454"/>
      <c r="N477" s="454"/>
      <c r="O477" s="454"/>
      <c r="P477" s="454"/>
      <c r="Q477" s="454"/>
      <c r="R477" s="454"/>
      <c r="S477" s="454"/>
      <c r="T477" s="454"/>
      <c r="U477" s="454"/>
      <c r="V477" s="454"/>
      <c r="W477" s="454"/>
      <c r="X477" s="454"/>
      <c r="Y477" s="454"/>
      <c r="Z477" s="454"/>
      <c r="AA477" s="454"/>
      <c r="AB477" s="454"/>
    </row>
    <row r="478" spans="1:28">
      <c r="A478" s="331"/>
      <c r="B478" s="332"/>
      <c r="C478" s="454"/>
      <c r="D478" s="334"/>
      <c r="E478" s="333"/>
      <c r="F478" s="334"/>
      <c r="G478" s="334"/>
      <c r="H478" s="454"/>
      <c r="I478" s="455"/>
      <c r="J478" s="456"/>
      <c r="K478" s="456"/>
      <c r="L478" s="454"/>
      <c r="M478" s="454"/>
      <c r="N478" s="454"/>
      <c r="O478" s="454"/>
      <c r="P478" s="454"/>
      <c r="Q478" s="454"/>
      <c r="R478" s="454"/>
      <c r="S478" s="454"/>
      <c r="T478" s="454"/>
      <c r="U478" s="454"/>
      <c r="V478" s="454"/>
      <c r="W478" s="454"/>
      <c r="X478" s="454"/>
      <c r="Y478" s="454"/>
      <c r="Z478" s="454"/>
      <c r="AA478" s="454"/>
      <c r="AB478" s="454"/>
    </row>
    <row r="479" spans="1:28">
      <c r="A479" s="331"/>
      <c r="B479" s="332"/>
      <c r="C479" s="454"/>
      <c r="D479" s="334"/>
      <c r="E479" s="333"/>
      <c r="F479" s="334"/>
      <c r="G479" s="334"/>
      <c r="H479" s="454"/>
      <c r="I479" s="455"/>
      <c r="J479" s="456"/>
      <c r="K479" s="456"/>
      <c r="L479" s="454"/>
      <c r="M479" s="454"/>
      <c r="N479" s="454"/>
      <c r="O479" s="454"/>
      <c r="P479" s="454"/>
      <c r="Q479" s="454"/>
      <c r="R479" s="454"/>
      <c r="S479" s="454"/>
      <c r="T479" s="454"/>
      <c r="U479" s="454"/>
      <c r="V479" s="454"/>
      <c r="W479" s="454"/>
      <c r="X479" s="454"/>
      <c r="Y479" s="454"/>
      <c r="Z479" s="454"/>
      <c r="AA479" s="454"/>
      <c r="AB479" s="454"/>
    </row>
    <row r="480" spans="1:28">
      <c r="A480" s="331"/>
      <c r="B480" s="332"/>
      <c r="C480" s="454"/>
      <c r="D480" s="110"/>
      <c r="E480" s="333"/>
      <c r="F480" s="334"/>
      <c r="G480" s="334"/>
      <c r="H480" s="454"/>
      <c r="I480" s="455"/>
      <c r="J480" s="456"/>
      <c r="K480" s="456"/>
      <c r="L480" s="454"/>
      <c r="M480" s="454"/>
      <c r="N480" s="454"/>
      <c r="O480" s="454"/>
      <c r="P480" s="454"/>
      <c r="Q480" s="454"/>
      <c r="R480" s="454"/>
      <c r="S480" s="454"/>
      <c r="T480" s="454"/>
      <c r="U480" s="454"/>
      <c r="V480" s="454"/>
      <c r="W480" s="454"/>
      <c r="X480" s="454"/>
      <c r="Y480" s="454"/>
      <c r="Z480" s="454"/>
      <c r="AA480" s="454"/>
      <c r="AB480" s="454"/>
    </row>
    <row r="481" spans="1:28">
      <c r="A481" s="331"/>
      <c r="B481" s="332"/>
      <c r="C481" s="454"/>
      <c r="D481" s="334"/>
      <c r="E481" s="333"/>
      <c r="F481" s="334"/>
      <c r="G481" s="334"/>
      <c r="H481" s="454"/>
      <c r="I481" s="455"/>
      <c r="J481" s="456"/>
      <c r="K481" s="456"/>
      <c r="L481" s="454"/>
      <c r="M481" s="454"/>
      <c r="N481" s="454"/>
      <c r="O481" s="454"/>
      <c r="P481" s="454"/>
      <c r="Q481" s="454"/>
      <c r="R481" s="454"/>
      <c r="S481" s="454"/>
      <c r="T481" s="454"/>
      <c r="U481" s="454"/>
      <c r="V481" s="454"/>
      <c r="W481" s="454"/>
      <c r="X481" s="454"/>
      <c r="Y481" s="454"/>
      <c r="Z481" s="454"/>
      <c r="AA481" s="454"/>
      <c r="AB481" s="454"/>
    </row>
    <row r="482" spans="1:28">
      <c r="A482" s="331"/>
      <c r="B482" s="332"/>
      <c r="C482" s="454"/>
      <c r="D482" s="335"/>
      <c r="E482" s="333"/>
      <c r="F482" s="335"/>
      <c r="G482" s="335"/>
      <c r="H482" s="454"/>
      <c r="I482" s="455"/>
      <c r="J482" s="456"/>
      <c r="K482" s="456"/>
      <c r="L482" s="454"/>
      <c r="M482" s="454"/>
      <c r="N482" s="454"/>
      <c r="O482" s="454"/>
      <c r="P482" s="454"/>
      <c r="Q482" s="454"/>
      <c r="R482" s="454"/>
      <c r="S482" s="454"/>
      <c r="T482" s="454"/>
      <c r="U482" s="454"/>
      <c r="V482" s="454"/>
      <c r="W482" s="454"/>
      <c r="X482" s="454"/>
      <c r="Y482" s="454"/>
      <c r="Z482" s="454"/>
      <c r="AA482" s="454"/>
      <c r="AB482" s="454"/>
    </row>
    <row r="483" spans="1:28">
      <c r="A483" s="331"/>
      <c r="B483" s="332"/>
      <c r="C483" s="454"/>
      <c r="D483" s="334"/>
      <c r="E483" s="333"/>
      <c r="F483" s="334"/>
      <c r="G483" s="334"/>
      <c r="H483" s="454"/>
      <c r="I483" s="455"/>
      <c r="J483" s="456"/>
      <c r="K483" s="456"/>
      <c r="L483" s="454"/>
      <c r="M483" s="454"/>
      <c r="N483" s="454"/>
      <c r="O483" s="454"/>
      <c r="P483" s="454"/>
      <c r="Q483" s="454"/>
      <c r="R483" s="454"/>
      <c r="S483" s="454"/>
      <c r="T483" s="454"/>
      <c r="U483" s="454"/>
      <c r="V483" s="454"/>
      <c r="W483" s="454"/>
      <c r="X483" s="454"/>
      <c r="Y483" s="454"/>
      <c r="Z483" s="454"/>
      <c r="AA483" s="454"/>
      <c r="AB483" s="454"/>
    </row>
    <row r="484" spans="1:28">
      <c r="A484" s="331"/>
      <c r="B484" s="332"/>
      <c r="C484" s="454"/>
      <c r="D484" s="334"/>
      <c r="E484" s="333"/>
      <c r="F484" s="334"/>
      <c r="G484" s="334"/>
      <c r="H484" s="454"/>
      <c r="I484" s="455"/>
      <c r="J484" s="456"/>
      <c r="K484" s="456"/>
      <c r="L484" s="454"/>
      <c r="M484" s="454"/>
      <c r="N484" s="454"/>
      <c r="O484" s="454"/>
      <c r="P484" s="454"/>
      <c r="Q484" s="454"/>
      <c r="R484" s="454"/>
      <c r="S484" s="454"/>
      <c r="T484" s="454"/>
      <c r="U484" s="454"/>
      <c r="V484" s="454"/>
      <c r="W484" s="454"/>
      <c r="X484" s="454"/>
      <c r="Y484" s="454"/>
      <c r="Z484" s="454"/>
      <c r="AA484" s="454"/>
      <c r="AB484" s="454"/>
    </row>
    <row r="485" spans="1:28">
      <c r="A485" s="331"/>
      <c r="B485" s="332"/>
      <c r="C485" s="454"/>
      <c r="D485" s="334"/>
      <c r="E485" s="333"/>
      <c r="F485" s="334"/>
      <c r="G485" s="334"/>
      <c r="H485" s="454"/>
      <c r="I485" s="455"/>
      <c r="J485" s="456"/>
      <c r="K485" s="456"/>
      <c r="L485" s="454"/>
      <c r="M485" s="454"/>
      <c r="N485" s="454"/>
      <c r="O485" s="454"/>
      <c r="P485" s="454"/>
      <c r="Q485" s="454"/>
      <c r="R485" s="454"/>
      <c r="S485" s="454"/>
      <c r="T485" s="454"/>
      <c r="U485" s="454"/>
      <c r="V485" s="454"/>
      <c r="W485" s="454"/>
      <c r="X485" s="454"/>
      <c r="Y485" s="454"/>
      <c r="Z485" s="454"/>
      <c r="AA485" s="454"/>
      <c r="AB485" s="454"/>
    </row>
    <row r="486" spans="1:28">
      <c r="A486" s="331"/>
      <c r="B486" s="332"/>
      <c r="C486" s="454"/>
      <c r="D486" s="334"/>
      <c r="E486" s="333"/>
      <c r="F486" s="334"/>
      <c r="G486" s="334"/>
      <c r="H486" s="454"/>
      <c r="I486" s="455"/>
      <c r="J486" s="456"/>
      <c r="K486" s="456"/>
      <c r="L486" s="454"/>
      <c r="M486" s="454"/>
      <c r="N486" s="454"/>
      <c r="O486" s="454"/>
      <c r="P486" s="454"/>
      <c r="Q486" s="454"/>
      <c r="R486" s="454"/>
      <c r="S486" s="454"/>
      <c r="T486" s="454"/>
      <c r="U486" s="454"/>
      <c r="V486" s="454"/>
      <c r="W486" s="454"/>
      <c r="X486" s="454"/>
      <c r="Y486" s="454"/>
      <c r="Z486" s="454"/>
      <c r="AA486" s="454"/>
      <c r="AB486" s="454"/>
    </row>
    <row r="487" spans="1:28">
      <c r="A487" s="331"/>
      <c r="B487" s="332"/>
      <c r="C487" s="454"/>
      <c r="D487" s="334"/>
      <c r="E487" s="333"/>
      <c r="F487" s="334"/>
      <c r="G487" s="334"/>
      <c r="H487" s="454"/>
      <c r="I487" s="455"/>
      <c r="J487" s="456"/>
      <c r="K487" s="456"/>
      <c r="L487" s="454"/>
      <c r="M487" s="454"/>
      <c r="N487" s="454"/>
      <c r="O487" s="454"/>
      <c r="P487" s="454"/>
      <c r="Q487" s="454"/>
      <c r="R487" s="454"/>
      <c r="S487" s="454"/>
      <c r="T487" s="454"/>
      <c r="U487" s="454"/>
      <c r="V487" s="454"/>
      <c r="W487" s="454"/>
      <c r="X487" s="454"/>
      <c r="Y487" s="454"/>
      <c r="Z487" s="454"/>
      <c r="AA487" s="454"/>
      <c r="AB487" s="454"/>
    </row>
    <row r="488" spans="1:28">
      <c r="A488" s="331"/>
      <c r="B488" s="332"/>
      <c r="C488" s="454"/>
      <c r="D488" s="334"/>
      <c r="E488" s="333"/>
      <c r="F488" s="334"/>
      <c r="G488" s="334"/>
      <c r="H488" s="454"/>
      <c r="I488" s="455"/>
      <c r="J488" s="456"/>
      <c r="K488" s="456"/>
      <c r="L488" s="454"/>
      <c r="M488" s="454"/>
      <c r="N488" s="454"/>
      <c r="O488" s="454"/>
      <c r="P488" s="454"/>
      <c r="Q488" s="454"/>
      <c r="R488" s="454"/>
      <c r="S488" s="454"/>
      <c r="T488" s="454"/>
      <c r="U488" s="454"/>
      <c r="V488" s="454"/>
      <c r="W488" s="454"/>
      <c r="X488" s="454"/>
      <c r="Y488" s="454"/>
      <c r="Z488" s="454"/>
      <c r="AA488" s="454"/>
      <c r="AB488" s="454"/>
    </row>
    <row r="489" spans="1:28">
      <c r="A489" s="331"/>
      <c r="B489" s="332"/>
      <c r="C489" s="454"/>
      <c r="D489" s="334"/>
      <c r="E489" s="333"/>
      <c r="F489" s="334"/>
      <c r="G489" s="334"/>
      <c r="H489" s="454"/>
      <c r="I489" s="455"/>
      <c r="J489" s="456"/>
      <c r="K489" s="456"/>
      <c r="L489" s="454"/>
      <c r="M489" s="454"/>
      <c r="N489" s="454"/>
      <c r="O489" s="454"/>
      <c r="P489" s="454"/>
      <c r="Q489" s="454"/>
      <c r="R489" s="454"/>
      <c r="S489" s="454"/>
      <c r="T489" s="454"/>
      <c r="U489" s="454"/>
      <c r="V489" s="454"/>
      <c r="W489" s="454"/>
      <c r="X489" s="454"/>
      <c r="Y489" s="454"/>
      <c r="Z489" s="454"/>
      <c r="AA489" s="454"/>
      <c r="AB489" s="454"/>
    </row>
    <row r="490" spans="1:28">
      <c r="A490" s="331"/>
      <c r="B490" s="332"/>
      <c r="C490" s="454"/>
      <c r="D490" s="334"/>
      <c r="E490" s="333"/>
      <c r="F490" s="334"/>
      <c r="G490" s="334"/>
      <c r="H490" s="454"/>
      <c r="I490" s="455"/>
      <c r="J490" s="456"/>
      <c r="K490" s="456"/>
      <c r="L490" s="454"/>
      <c r="M490" s="454"/>
      <c r="N490" s="454"/>
      <c r="O490" s="454"/>
      <c r="P490" s="454"/>
      <c r="Q490" s="454"/>
      <c r="R490" s="454"/>
      <c r="S490" s="454"/>
      <c r="T490" s="454"/>
      <c r="U490" s="454"/>
      <c r="V490" s="454"/>
      <c r="W490" s="454"/>
      <c r="X490" s="454"/>
      <c r="Y490" s="454"/>
      <c r="Z490" s="454"/>
      <c r="AA490" s="454"/>
      <c r="AB490" s="454"/>
    </row>
    <row r="491" spans="1:28">
      <c r="A491" s="331"/>
      <c r="B491" s="332"/>
      <c r="C491" s="454"/>
      <c r="D491" s="334"/>
      <c r="E491" s="333"/>
      <c r="F491" s="334"/>
      <c r="G491" s="334"/>
      <c r="H491" s="454"/>
      <c r="I491" s="455"/>
      <c r="J491" s="456"/>
      <c r="K491" s="456"/>
      <c r="L491" s="454"/>
      <c r="M491" s="454"/>
      <c r="N491" s="454"/>
      <c r="O491" s="454"/>
      <c r="P491" s="454"/>
      <c r="Q491" s="454"/>
      <c r="R491" s="454"/>
      <c r="S491" s="454"/>
      <c r="T491" s="454"/>
      <c r="U491" s="454"/>
      <c r="V491" s="454"/>
      <c r="W491" s="454"/>
      <c r="X491" s="454"/>
      <c r="Y491" s="454"/>
      <c r="Z491" s="454"/>
      <c r="AA491" s="454"/>
      <c r="AB491" s="454"/>
    </row>
    <row r="492" spans="1:28">
      <c r="A492" s="331"/>
      <c r="B492" s="332"/>
      <c r="C492" s="454"/>
      <c r="D492" s="334"/>
      <c r="E492" s="333"/>
      <c r="F492" s="334"/>
      <c r="G492" s="334"/>
      <c r="H492" s="454"/>
      <c r="I492" s="455"/>
      <c r="J492" s="456"/>
      <c r="K492" s="456"/>
      <c r="L492" s="454"/>
      <c r="M492" s="454"/>
      <c r="N492" s="454"/>
      <c r="O492" s="454"/>
      <c r="P492" s="454"/>
      <c r="Q492" s="454"/>
      <c r="R492" s="454"/>
      <c r="S492" s="454"/>
      <c r="T492" s="454"/>
      <c r="U492" s="454"/>
      <c r="V492" s="454"/>
      <c r="W492" s="454"/>
      <c r="X492" s="454"/>
      <c r="Y492" s="454"/>
      <c r="Z492" s="454"/>
      <c r="AA492" s="454"/>
      <c r="AB492" s="454"/>
    </row>
    <row r="493" spans="1:28">
      <c r="A493" s="331"/>
      <c r="B493" s="332"/>
      <c r="C493" s="454"/>
      <c r="D493" s="334"/>
      <c r="E493" s="333"/>
      <c r="F493" s="334"/>
      <c r="G493" s="334"/>
      <c r="H493" s="454"/>
      <c r="I493" s="455"/>
      <c r="J493" s="456"/>
      <c r="K493" s="456"/>
      <c r="L493" s="454"/>
      <c r="M493" s="454"/>
      <c r="N493" s="454"/>
      <c r="O493" s="454"/>
      <c r="P493" s="454"/>
      <c r="Q493" s="454"/>
      <c r="R493" s="454"/>
      <c r="S493" s="454"/>
      <c r="T493" s="454"/>
      <c r="U493" s="454"/>
      <c r="V493" s="454"/>
      <c r="W493" s="454"/>
      <c r="X493" s="454"/>
      <c r="Y493" s="454"/>
      <c r="Z493" s="454"/>
      <c r="AA493" s="454"/>
      <c r="AB493" s="454"/>
    </row>
    <row r="494" spans="1:28">
      <c r="A494" s="331"/>
      <c r="B494" s="332"/>
      <c r="C494" s="454"/>
      <c r="D494" s="334"/>
      <c r="E494" s="333"/>
      <c r="F494" s="334"/>
      <c r="G494" s="334"/>
      <c r="H494" s="454"/>
      <c r="I494" s="455"/>
      <c r="J494" s="456"/>
      <c r="K494" s="456"/>
      <c r="L494" s="454"/>
      <c r="M494" s="454"/>
      <c r="N494" s="454"/>
      <c r="O494" s="454"/>
      <c r="P494" s="454"/>
      <c r="Q494" s="454"/>
      <c r="R494" s="454"/>
      <c r="S494" s="454"/>
      <c r="T494" s="454"/>
      <c r="U494" s="454"/>
      <c r="V494" s="454"/>
      <c r="W494" s="454"/>
      <c r="X494" s="454"/>
      <c r="Y494" s="454"/>
      <c r="Z494" s="454"/>
      <c r="AA494" s="454"/>
      <c r="AB494" s="454"/>
    </row>
    <row r="495" spans="1:28">
      <c r="A495" s="331"/>
      <c r="B495" s="332"/>
      <c r="C495" s="454"/>
      <c r="D495" s="334"/>
      <c r="E495" s="333"/>
      <c r="F495" s="334"/>
      <c r="G495" s="334"/>
      <c r="H495" s="454"/>
      <c r="I495" s="455"/>
      <c r="J495" s="456"/>
      <c r="K495" s="456"/>
      <c r="L495" s="454"/>
      <c r="M495" s="454"/>
      <c r="N495" s="454"/>
      <c r="O495" s="454"/>
      <c r="P495" s="454"/>
      <c r="Q495" s="454"/>
      <c r="R495" s="454"/>
      <c r="S495" s="454"/>
      <c r="T495" s="454"/>
      <c r="U495" s="454"/>
      <c r="V495" s="454"/>
      <c r="W495" s="454"/>
      <c r="X495" s="454"/>
      <c r="Y495" s="454"/>
      <c r="Z495" s="454"/>
      <c r="AA495" s="454"/>
      <c r="AB495" s="454"/>
    </row>
    <row r="496" spans="1:28">
      <c r="A496" s="331"/>
      <c r="B496" s="332"/>
      <c r="C496" s="454"/>
      <c r="D496" s="334"/>
      <c r="E496" s="333"/>
      <c r="F496" s="334"/>
      <c r="G496" s="334"/>
      <c r="H496" s="454"/>
      <c r="I496" s="455"/>
      <c r="J496" s="456"/>
      <c r="K496" s="456"/>
      <c r="L496" s="454"/>
      <c r="M496" s="454"/>
      <c r="N496" s="454"/>
      <c r="O496" s="454"/>
      <c r="P496" s="454"/>
      <c r="Q496" s="454"/>
      <c r="R496" s="454"/>
      <c r="S496" s="454"/>
      <c r="T496" s="454"/>
      <c r="U496" s="454"/>
      <c r="V496" s="454"/>
      <c r="W496" s="454"/>
      <c r="X496" s="454"/>
      <c r="Y496" s="454"/>
      <c r="Z496" s="454"/>
      <c r="AA496" s="454"/>
      <c r="AB496" s="454"/>
    </row>
    <row r="497" spans="1:28">
      <c r="A497" s="331"/>
      <c r="B497" s="332"/>
      <c r="C497" s="454"/>
      <c r="D497" s="334"/>
      <c r="E497" s="333"/>
      <c r="F497" s="334"/>
      <c r="G497" s="334"/>
      <c r="H497" s="454"/>
      <c r="I497" s="455"/>
      <c r="J497" s="456"/>
      <c r="K497" s="456"/>
      <c r="L497" s="454"/>
      <c r="M497" s="454"/>
      <c r="N497" s="454"/>
      <c r="O497" s="454"/>
      <c r="P497" s="454"/>
      <c r="Q497" s="454"/>
      <c r="R497" s="454"/>
      <c r="S497" s="454"/>
      <c r="T497" s="454"/>
      <c r="U497" s="454"/>
      <c r="V497" s="454"/>
      <c r="W497" s="454"/>
      <c r="X497" s="454"/>
      <c r="Y497" s="454"/>
      <c r="Z497" s="454"/>
      <c r="AA497" s="454"/>
      <c r="AB497" s="454"/>
    </row>
    <row r="498" spans="1:28">
      <c r="A498" s="331"/>
      <c r="B498" s="332"/>
      <c r="C498" s="454"/>
      <c r="D498" s="334"/>
      <c r="E498" s="333"/>
      <c r="F498" s="334"/>
      <c r="G498" s="334"/>
      <c r="H498" s="454"/>
      <c r="I498" s="455"/>
      <c r="J498" s="456"/>
      <c r="K498" s="456"/>
      <c r="L498" s="454"/>
      <c r="M498" s="454"/>
      <c r="N498" s="454"/>
      <c r="O498" s="454"/>
      <c r="P498" s="454"/>
      <c r="Q498" s="454"/>
      <c r="R498" s="454"/>
      <c r="S498" s="454"/>
      <c r="T498" s="454"/>
      <c r="U498" s="454"/>
      <c r="V498" s="454"/>
      <c r="W498" s="454"/>
      <c r="X498" s="454"/>
      <c r="Y498" s="454"/>
      <c r="Z498" s="454"/>
      <c r="AA498" s="454"/>
      <c r="AB498" s="454"/>
    </row>
    <row r="499" spans="1:28">
      <c r="A499" s="331"/>
      <c r="B499" s="332"/>
      <c r="C499" s="454"/>
      <c r="D499" s="334"/>
      <c r="E499" s="333"/>
      <c r="F499" s="334"/>
      <c r="G499" s="334"/>
      <c r="H499" s="454"/>
      <c r="I499" s="455"/>
      <c r="J499" s="456"/>
      <c r="K499" s="456"/>
      <c r="L499" s="454"/>
      <c r="M499" s="454"/>
      <c r="N499" s="454"/>
      <c r="O499" s="454"/>
      <c r="P499" s="454"/>
      <c r="Q499" s="454"/>
      <c r="R499" s="454"/>
      <c r="S499" s="454"/>
      <c r="T499" s="454"/>
      <c r="U499" s="454"/>
      <c r="V499" s="454"/>
      <c r="W499" s="454"/>
      <c r="X499" s="454"/>
      <c r="Y499" s="454"/>
      <c r="Z499" s="454"/>
      <c r="AA499" s="454"/>
      <c r="AB499" s="454"/>
    </row>
    <row r="500" spans="1:28">
      <c r="A500" s="331"/>
      <c r="B500" s="332"/>
      <c r="C500" s="454"/>
      <c r="D500" s="334"/>
      <c r="E500" s="333"/>
      <c r="F500" s="334"/>
      <c r="G500" s="334"/>
      <c r="H500" s="454"/>
      <c r="I500" s="455"/>
      <c r="J500" s="456"/>
      <c r="K500" s="456"/>
      <c r="L500" s="454"/>
      <c r="M500" s="454"/>
      <c r="N500" s="454"/>
      <c r="O500" s="454"/>
      <c r="P500" s="454"/>
      <c r="Q500" s="454"/>
      <c r="R500" s="454"/>
      <c r="S500" s="454"/>
      <c r="T500" s="454"/>
      <c r="U500" s="454"/>
      <c r="V500" s="454"/>
      <c r="W500" s="454"/>
      <c r="X500" s="454"/>
      <c r="Y500" s="454"/>
      <c r="Z500" s="454"/>
      <c r="AA500" s="454"/>
      <c r="AB500" s="454"/>
    </row>
    <row r="501" spans="1:28">
      <c r="A501" s="331"/>
      <c r="B501" s="332"/>
      <c r="C501" s="454"/>
      <c r="D501" s="334"/>
      <c r="E501" s="333"/>
      <c r="F501" s="334"/>
      <c r="G501" s="334"/>
      <c r="H501" s="454"/>
      <c r="I501" s="455"/>
      <c r="J501" s="456"/>
      <c r="K501" s="456"/>
      <c r="L501" s="454"/>
      <c r="M501" s="454"/>
      <c r="N501" s="454"/>
      <c r="O501" s="454"/>
      <c r="P501" s="454"/>
      <c r="Q501" s="454"/>
      <c r="R501" s="454"/>
      <c r="S501" s="454"/>
      <c r="T501" s="454"/>
      <c r="U501" s="454"/>
      <c r="V501" s="454"/>
      <c r="W501" s="454"/>
      <c r="X501" s="454"/>
      <c r="Y501" s="454"/>
      <c r="Z501" s="454"/>
      <c r="AA501" s="454"/>
      <c r="AB501" s="454"/>
    </row>
    <row r="502" spans="1:28">
      <c r="A502" s="331"/>
      <c r="B502" s="332"/>
      <c r="C502" s="454"/>
      <c r="D502" s="334"/>
      <c r="E502" s="333"/>
      <c r="F502" s="334"/>
      <c r="G502" s="336"/>
      <c r="H502" s="454"/>
      <c r="I502" s="455"/>
      <c r="J502" s="456"/>
      <c r="K502" s="456"/>
      <c r="L502" s="454"/>
      <c r="M502" s="454"/>
      <c r="N502" s="454"/>
      <c r="O502" s="454"/>
      <c r="P502" s="454"/>
      <c r="Q502" s="454"/>
      <c r="R502" s="454"/>
      <c r="S502" s="454"/>
      <c r="T502" s="454"/>
      <c r="U502" s="454"/>
      <c r="V502" s="454"/>
      <c r="W502" s="454"/>
      <c r="X502" s="454"/>
      <c r="Y502" s="454"/>
      <c r="Z502" s="454"/>
      <c r="AA502" s="454"/>
      <c r="AB502" s="454"/>
    </row>
    <row r="503" spans="1:28">
      <c r="A503" s="331"/>
      <c r="B503" s="332"/>
      <c r="C503" s="454"/>
      <c r="D503" s="334"/>
      <c r="E503" s="333"/>
      <c r="F503" s="333"/>
      <c r="G503" s="336"/>
      <c r="H503" s="454"/>
      <c r="I503" s="455"/>
      <c r="J503" s="456"/>
      <c r="K503" s="456"/>
      <c r="L503" s="454"/>
      <c r="M503" s="454"/>
      <c r="N503" s="454"/>
      <c r="O503" s="454"/>
      <c r="P503" s="454"/>
      <c r="Q503" s="454"/>
      <c r="R503" s="454"/>
      <c r="S503" s="454"/>
      <c r="T503" s="454"/>
      <c r="U503" s="454"/>
      <c r="V503" s="454"/>
      <c r="W503" s="454"/>
      <c r="X503" s="454"/>
      <c r="Y503" s="454"/>
      <c r="Z503" s="454"/>
      <c r="AA503" s="454"/>
      <c r="AB503" s="454"/>
    </row>
    <row r="504" spans="1:28">
      <c r="A504" s="331"/>
      <c r="B504" s="332"/>
      <c r="C504" s="454"/>
      <c r="D504" s="334"/>
      <c r="E504" s="333"/>
      <c r="F504" s="334"/>
      <c r="G504" s="336"/>
      <c r="H504" s="454"/>
      <c r="I504" s="455"/>
      <c r="J504" s="456"/>
      <c r="K504" s="456"/>
      <c r="L504" s="454"/>
      <c r="M504" s="454"/>
      <c r="N504" s="454"/>
      <c r="O504" s="454"/>
      <c r="P504" s="454"/>
      <c r="Q504" s="454"/>
      <c r="R504" s="454"/>
      <c r="S504" s="454"/>
      <c r="T504" s="454"/>
      <c r="U504" s="454"/>
      <c r="V504" s="454"/>
      <c r="W504" s="454"/>
      <c r="X504" s="454"/>
      <c r="Y504" s="454"/>
      <c r="Z504" s="454"/>
      <c r="AA504" s="454"/>
      <c r="AB504" s="454"/>
    </row>
    <row r="505" spans="1:28">
      <c r="A505" s="331"/>
      <c r="B505" s="332"/>
      <c r="C505" s="454"/>
      <c r="D505" s="334"/>
      <c r="E505" s="333"/>
      <c r="F505" s="334"/>
      <c r="G505" s="336"/>
      <c r="H505" s="454"/>
      <c r="I505" s="455"/>
      <c r="J505" s="456"/>
      <c r="K505" s="456"/>
      <c r="L505" s="454"/>
      <c r="M505" s="454"/>
      <c r="N505" s="454"/>
      <c r="O505" s="454"/>
      <c r="P505" s="454"/>
      <c r="Q505" s="454"/>
      <c r="R505" s="454"/>
      <c r="S505" s="454"/>
      <c r="T505" s="454"/>
      <c r="U505" s="454"/>
      <c r="V505" s="454"/>
      <c r="W505" s="454"/>
      <c r="X505" s="454"/>
      <c r="Y505" s="454"/>
      <c r="Z505" s="454"/>
      <c r="AA505" s="454"/>
      <c r="AB505" s="454"/>
    </row>
    <row r="506" spans="1:28">
      <c r="A506" s="331"/>
      <c r="B506" s="332"/>
      <c r="C506" s="454"/>
      <c r="D506" s="336"/>
      <c r="E506" s="333"/>
      <c r="F506" s="336"/>
      <c r="G506" s="336"/>
      <c r="H506" s="454"/>
      <c r="I506" s="455"/>
      <c r="J506" s="456"/>
      <c r="K506" s="456"/>
      <c r="L506" s="454"/>
      <c r="M506" s="454"/>
      <c r="N506" s="454"/>
      <c r="O506" s="454"/>
      <c r="P506" s="454"/>
      <c r="Q506" s="454"/>
      <c r="R506" s="454"/>
      <c r="S506" s="454"/>
      <c r="T506" s="454"/>
      <c r="U506" s="454"/>
      <c r="V506" s="454"/>
      <c r="W506" s="454"/>
      <c r="X506" s="454"/>
      <c r="Y506" s="454"/>
      <c r="Z506" s="454"/>
      <c r="AA506" s="454"/>
      <c r="AB506" s="454"/>
    </row>
    <row r="507" spans="1:28">
      <c r="A507" s="331"/>
      <c r="B507" s="332"/>
      <c r="C507" s="454"/>
      <c r="D507" s="334"/>
      <c r="E507" s="333"/>
      <c r="F507" s="334"/>
      <c r="G507" s="336"/>
      <c r="H507" s="454"/>
      <c r="I507" s="455"/>
      <c r="J507" s="456"/>
      <c r="K507" s="456"/>
      <c r="L507" s="454"/>
      <c r="M507" s="454"/>
      <c r="N507" s="454"/>
      <c r="O507" s="454"/>
      <c r="P507" s="454"/>
      <c r="Q507" s="454"/>
      <c r="R507" s="454"/>
      <c r="S507" s="454"/>
      <c r="T507" s="454"/>
      <c r="U507" s="454"/>
      <c r="V507" s="454"/>
      <c r="W507" s="454"/>
      <c r="X507" s="454"/>
      <c r="Y507" s="454"/>
      <c r="Z507" s="454"/>
      <c r="AA507" s="454"/>
      <c r="AB507" s="454"/>
    </row>
    <row r="508" spans="1:28">
      <c r="A508" s="331"/>
      <c r="B508" s="332"/>
      <c r="C508" s="454"/>
      <c r="D508" s="334"/>
      <c r="E508" s="333"/>
      <c r="F508" s="334"/>
      <c r="G508" s="334"/>
      <c r="H508" s="454"/>
      <c r="I508" s="455"/>
      <c r="J508" s="456"/>
      <c r="K508" s="456"/>
      <c r="L508" s="454"/>
      <c r="M508" s="454"/>
      <c r="N508" s="454"/>
      <c r="O508" s="454"/>
      <c r="P508" s="454"/>
      <c r="Q508" s="454"/>
      <c r="R508" s="454"/>
      <c r="S508" s="454"/>
      <c r="T508" s="454"/>
      <c r="U508" s="454"/>
      <c r="V508" s="454"/>
      <c r="W508" s="454"/>
      <c r="X508" s="454"/>
      <c r="Y508" s="454"/>
      <c r="Z508" s="454"/>
      <c r="AA508" s="454"/>
      <c r="AB508" s="454"/>
    </row>
    <row r="509" spans="1:28">
      <c r="A509" s="331"/>
      <c r="B509" s="332"/>
      <c r="C509" s="454"/>
      <c r="D509" s="334"/>
      <c r="E509" s="333"/>
      <c r="F509" s="334"/>
      <c r="G509" s="334"/>
      <c r="H509" s="454"/>
      <c r="I509" s="455"/>
      <c r="J509" s="456"/>
      <c r="K509" s="456"/>
      <c r="L509" s="454"/>
      <c r="M509" s="454"/>
      <c r="N509" s="454"/>
      <c r="O509" s="454"/>
      <c r="P509" s="454"/>
      <c r="Q509" s="454"/>
      <c r="R509" s="454"/>
      <c r="S509" s="454"/>
      <c r="T509" s="454"/>
      <c r="U509" s="454"/>
      <c r="V509" s="454"/>
      <c r="W509" s="454"/>
      <c r="X509" s="454"/>
      <c r="Y509" s="454"/>
      <c r="Z509" s="454"/>
      <c r="AA509" s="454"/>
      <c r="AB509" s="454"/>
    </row>
    <row r="510" spans="1:28">
      <c r="A510" s="331"/>
      <c r="B510" s="332"/>
      <c r="C510" s="454"/>
      <c r="D510" s="334"/>
      <c r="E510" s="333"/>
      <c r="F510" s="334"/>
      <c r="G510" s="334"/>
      <c r="H510" s="454"/>
      <c r="I510" s="455"/>
      <c r="J510" s="456"/>
      <c r="K510" s="456"/>
      <c r="L510" s="454"/>
      <c r="M510" s="454"/>
      <c r="N510" s="454"/>
      <c r="O510" s="454"/>
      <c r="P510" s="454"/>
      <c r="Q510" s="454"/>
      <c r="R510" s="454"/>
      <c r="S510" s="454"/>
      <c r="T510" s="454"/>
      <c r="U510" s="454"/>
      <c r="V510" s="454"/>
      <c r="W510" s="454"/>
      <c r="X510" s="454"/>
      <c r="Y510" s="454"/>
      <c r="Z510" s="454"/>
      <c r="AA510" s="454"/>
      <c r="AB510" s="454"/>
    </row>
    <row r="511" spans="1:28">
      <c r="A511" s="331"/>
      <c r="B511" s="332"/>
      <c r="C511" s="454"/>
      <c r="D511" s="334"/>
      <c r="E511" s="333"/>
      <c r="F511" s="334"/>
      <c r="G511" s="334"/>
      <c r="H511" s="454"/>
      <c r="I511" s="455"/>
      <c r="J511" s="456"/>
      <c r="K511" s="456"/>
      <c r="L511" s="454"/>
      <c r="M511" s="454"/>
      <c r="N511" s="454"/>
      <c r="O511" s="454"/>
      <c r="P511" s="454"/>
      <c r="Q511" s="454"/>
      <c r="R511" s="454"/>
      <c r="S511" s="454"/>
      <c r="T511" s="454"/>
      <c r="U511" s="454"/>
      <c r="V511" s="454"/>
      <c r="W511" s="454"/>
      <c r="X511" s="454"/>
      <c r="Y511" s="454"/>
      <c r="Z511" s="454"/>
      <c r="AA511" s="454"/>
      <c r="AB511" s="454"/>
    </row>
    <row r="512" spans="1:28">
      <c r="A512" s="331"/>
      <c r="B512" s="332"/>
      <c r="C512" s="454"/>
      <c r="D512" s="334"/>
      <c r="E512" s="333"/>
      <c r="F512" s="334"/>
      <c r="G512" s="334"/>
      <c r="H512" s="454"/>
      <c r="I512" s="455"/>
      <c r="J512" s="456"/>
      <c r="K512" s="456"/>
      <c r="L512" s="454"/>
      <c r="M512" s="454"/>
      <c r="N512" s="454"/>
      <c r="O512" s="454"/>
      <c r="P512" s="454"/>
      <c r="Q512" s="454"/>
      <c r="R512" s="454"/>
      <c r="S512" s="454"/>
      <c r="T512" s="454"/>
      <c r="U512" s="454"/>
      <c r="V512" s="454"/>
      <c r="W512" s="454"/>
      <c r="X512" s="454"/>
      <c r="Y512" s="454"/>
      <c r="Z512" s="454"/>
      <c r="AA512" s="454"/>
      <c r="AB512" s="454"/>
    </row>
    <row r="513" spans="1:28">
      <c r="A513" s="331"/>
      <c r="B513" s="332"/>
      <c r="C513" s="454"/>
      <c r="D513" s="333"/>
      <c r="E513" s="333"/>
      <c r="F513" s="333"/>
      <c r="G513" s="333"/>
      <c r="H513" s="454"/>
      <c r="I513" s="455"/>
      <c r="J513" s="456"/>
      <c r="K513" s="456"/>
      <c r="L513" s="454"/>
      <c r="M513" s="454"/>
      <c r="N513" s="454"/>
      <c r="O513" s="454"/>
      <c r="P513" s="454"/>
      <c r="Q513" s="454"/>
      <c r="R513" s="454"/>
      <c r="S513" s="454"/>
      <c r="T513" s="454"/>
      <c r="U513" s="454"/>
      <c r="V513" s="454"/>
      <c r="W513" s="454"/>
      <c r="X513" s="454"/>
      <c r="Y513" s="454"/>
      <c r="Z513" s="454"/>
      <c r="AA513" s="454"/>
      <c r="AB513" s="454"/>
    </row>
    <row r="514" spans="1:28">
      <c r="A514" s="331"/>
      <c r="B514" s="332"/>
      <c r="C514" s="454"/>
      <c r="D514" s="333"/>
      <c r="E514" s="333"/>
      <c r="F514" s="333"/>
      <c r="G514" s="333"/>
      <c r="H514" s="454"/>
      <c r="I514" s="455"/>
      <c r="J514" s="456"/>
      <c r="K514" s="456"/>
      <c r="L514" s="454"/>
      <c r="M514" s="454"/>
      <c r="N514" s="454"/>
      <c r="O514" s="454"/>
      <c r="P514" s="454"/>
      <c r="Q514" s="454"/>
      <c r="R514" s="454"/>
      <c r="S514" s="454"/>
      <c r="T514" s="454"/>
      <c r="U514" s="454"/>
      <c r="V514" s="454"/>
      <c r="W514" s="454"/>
      <c r="X514" s="454"/>
      <c r="Y514" s="454"/>
      <c r="Z514" s="454"/>
      <c r="AA514" s="454"/>
      <c r="AB514" s="454"/>
    </row>
    <row r="515" spans="1:28">
      <c r="A515" s="331"/>
      <c r="B515" s="332"/>
      <c r="C515" s="454"/>
      <c r="D515" s="333"/>
      <c r="E515" s="333"/>
      <c r="F515" s="333"/>
      <c r="G515" s="333"/>
      <c r="H515" s="454"/>
      <c r="I515" s="455"/>
      <c r="J515" s="456"/>
      <c r="K515" s="456"/>
      <c r="L515" s="454"/>
      <c r="M515" s="454"/>
      <c r="N515" s="454"/>
      <c r="O515" s="454"/>
      <c r="P515" s="454"/>
      <c r="Q515" s="454"/>
      <c r="R515" s="454"/>
      <c r="S515" s="454"/>
      <c r="T515" s="454"/>
      <c r="U515" s="454"/>
      <c r="V515" s="454"/>
      <c r="W515" s="454"/>
      <c r="X515" s="454"/>
      <c r="Y515" s="454"/>
      <c r="Z515" s="454"/>
      <c r="AA515" s="454"/>
      <c r="AB515" s="454"/>
    </row>
    <row r="516" spans="1:28">
      <c r="A516" s="331"/>
      <c r="B516" s="332"/>
      <c r="C516" s="454"/>
      <c r="D516" s="333"/>
      <c r="E516" s="333"/>
      <c r="F516" s="333"/>
      <c r="G516" s="333"/>
      <c r="H516" s="454"/>
      <c r="I516" s="455"/>
      <c r="J516" s="456"/>
      <c r="K516" s="456"/>
      <c r="L516" s="454"/>
      <c r="M516" s="454"/>
      <c r="N516" s="454"/>
      <c r="O516" s="454"/>
      <c r="P516" s="454"/>
      <c r="Q516" s="454"/>
      <c r="R516" s="454"/>
      <c r="S516" s="454"/>
      <c r="T516" s="454"/>
      <c r="U516" s="454"/>
      <c r="V516" s="454"/>
      <c r="W516" s="454"/>
      <c r="X516" s="454"/>
      <c r="Y516" s="454"/>
      <c r="Z516" s="454"/>
      <c r="AA516" s="454"/>
      <c r="AB516" s="454"/>
    </row>
    <row r="517" spans="1:28">
      <c r="A517" s="331"/>
      <c r="B517" s="332"/>
      <c r="C517" s="454"/>
      <c r="D517" s="333"/>
      <c r="E517" s="333"/>
      <c r="F517" s="333"/>
      <c r="G517" s="333"/>
      <c r="H517" s="454"/>
      <c r="I517" s="455"/>
      <c r="J517" s="456"/>
      <c r="K517" s="456"/>
      <c r="L517" s="454"/>
      <c r="M517" s="454"/>
      <c r="N517" s="454"/>
      <c r="O517" s="454"/>
      <c r="P517" s="454"/>
      <c r="Q517" s="454"/>
      <c r="R517" s="454"/>
      <c r="S517" s="454"/>
      <c r="T517" s="454"/>
      <c r="U517" s="454"/>
      <c r="V517" s="454"/>
      <c r="W517" s="454"/>
      <c r="X517" s="454"/>
      <c r="Y517" s="454"/>
      <c r="Z517" s="454"/>
      <c r="AA517" s="454"/>
      <c r="AB517" s="454"/>
    </row>
    <row r="518" spans="1:28">
      <c r="A518" s="331"/>
      <c r="B518" s="332"/>
      <c r="C518" s="454"/>
      <c r="D518" s="333"/>
      <c r="E518" s="333"/>
      <c r="F518" s="333"/>
      <c r="G518" s="333"/>
      <c r="H518" s="454"/>
      <c r="I518" s="455"/>
      <c r="J518" s="456"/>
      <c r="K518" s="456"/>
      <c r="L518" s="454"/>
      <c r="M518" s="454"/>
      <c r="N518" s="454"/>
      <c r="O518" s="454"/>
      <c r="P518" s="454"/>
      <c r="Q518" s="454"/>
      <c r="R518" s="454"/>
      <c r="S518" s="454"/>
      <c r="T518" s="454"/>
      <c r="U518" s="454"/>
      <c r="V518" s="454"/>
      <c r="W518" s="454"/>
      <c r="X518" s="454"/>
      <c r="Y518" s="454"/>
      <c r="Z518" s="454"/>
      <c r="AA518" s="454"/>
      <c r="AB518" s="454"/>
    </row>
    <row r="519" spans="1:28">
      <c r="A519" s="331"/>
      <c r="B519" s="332"/>
      <c r="C519" s="454"/>
      <c r="D519" s="333"/>
      <c r="E519" s="333"/>
      <c r="F519" s="333"/>
      <c r="G519" s="333"/>
      <c r="H519" s="454"/>
      <c r="I519" s="455"/>
      <c r="J519" s="456"/>
      <c r="K519" s="456"/>
      <c r="L519" s="454"/>
      <c r="M519" s="454"/>
      <c r="N519" s="454"/>
      <c r="O519" s="454"/>
      <c r="P519" s="454"/>
      <c r="Q519" s="454"/>
      <c r="R519" s="454"/>
      <c r="S519" s="454"/>
      <c r="T519" s="454"/>
      <c r="U519" s="454"/>
      <c r="V519" s="454"/>
      <c r="W519" s="454"/>
      <c r="X519" s="454"/>
      <c r="Y519" s="454"/>
      <c r="Z519" s="454"/>
      <c r="AA519" s="454"/>
      <c r="AB519" s="454"/>
    </row>
    <row r="520" spans="1:28">
      <c r="A520" s="331"/>
      <c r="B520" s="332"/>
      <c r="C520" s="454"/>
      <c r="D520" s="333"/>
      <c r="E520" s="333"/>
      <c r="F520" s="333"/>
      <c r="G520" s="333"/>
      <c r="H520" s="454"/>
      <c r="I520" s="455"/>
      <c r="J520" s="456"/>
      <c r="K520" s="456"/>
      <c r="L520" s="454"/>
      <c r="M520" s="454"/>
      <c r="N520" s="454"/>
      <c r="O520" s="454"/>
      <c r="P520" s="454"/>
      <c r="Q520" s="454"/>
      <c r="R520" s="454"/>
      <c r="S520" s="454"/>
      <c r="T520" s="454"/>
      <c r="U520" s="454"/>
      <c r="V520" s="454"/>
      <c r="W520" s="454"/>
      <c r="X520" s="454"/>
      <c r="Y520" s="454"/>
      <c r="Z520" s="454"/>
      <c r="AA520" s="454"/>
      <c r="AB520" s="454"/>
    </row>
    <row r="521" spans="1:28">
      <c r="A521" s="331"/>
      <c r="B521" s="332"/>
      <c r="C521" s="454"/>
      <c r="D521" s="333"/>
      <c r="E521" s="333"/>
      <c r="F521" s="333"/>
      <c r="G521" s="333"/>
      <c r="H521" s="454"/>
      <c r="I521" s="455"/>
      <c r="J521" s="456"/>
      <c r="K521" s="456"/>
      <c r="L521" s="454"/>
      <c r="M521" s="454"/>
      <c r="N521" s="454"/>
      <c r="O521" s="454"/>
      <c r="P521" s="454"/>
      <c r="Q521" s="454"/>
      <c r="R521" s="454"/>
      <c r="S521" s="454"/>
      <c r="T521" s="454"/>
      <c r="U521" s="454"/>
      <c r="V521" s="454"/>
      <c r="W521" s="454"/>
      <c r="X521" s="454"/>
      <c r="Y521" s="454"/>
      <c r="Z521" s="454"/>
      <c r="AA521" s="454"/>
      <c r="AB521" s="454"/>
    </row>
    <row r="522" spans="1:28">
      <c r="A522" s="331"/>
      <c r="B522" s="332"/>
      <c r="C522" s="454"/>
      <c r="D522" s="333"/>
      <c r="E522" s="333"/>
      <c r="F522" s="333"/>
      <c r="G522" s="333"/>
      <c r="H522" s="454"/>
      <c r="I522" s="455"/>
      <c r="J522" s="456"/>
      <c r="K522" s="456"/>
      <c r="L522" s="454"/>
      <c r="M522" s="454"/>
      <c r="N522" s="454"/>
      <c r="O522" s="454"/>
      <c r="P522" s="454"/>
      <c r="Q522" s="454"/>
      <c r="R522" s="454"/>
      <c r="S522" s="454"/>
      <c r="T522" s="454"/>
      <c r="U522" s="454"/>
      <c r="V522" s="454"/>
      <c r="W522" s="454"/>
      <c r="X522" s="454"/>
      <c r="Y522" s="454"/>
      <c r="Z522" s="454"/>
      <c r="AA522" s="454"/>
      <c r="AB522" s="454"/>
    </row>
    <row r="523" spans="1:28">
      <c r="A523" s="331"/>
      <c r="B523" s="332"/>
      <c r="C523" s="454"/>
      <c r="D523" s="334"/>
      <c r="E523" s="333"/>
      <c r="F523" s="334"/>
      <c r="G523" s="334"/>
      <c r="H523" s="454"/>
      <c r="I523" s="455"/>
      <c r="J523" s="456"/>
      <c r="K523" s="456"/>
      <c r="L523" s="454"/>
      <c r="M523" s="454"/>
      <c r="N523" s="454"/>
      <c r="O523" s="454"/>
      <c r="P523" s="454"/>
      <c r="Q523" s="454"/>
      <c r="R523" s="454"/>
      <c r="S523" s="454"/>
      <c r="T523" s="454"/>
      <c r="U523" s="454"/>
      <c r="V523" s="454"/>
      <c r="W523" s="454"/>
      <c r="X523" s="454"/>
      <c r="Y523" s="454"/>
      <c r="Z523" s="454"/>
      <c r="AA523" s="454"/>
      <c r="AB523" s="454"/>
    </row>
    <row r="524" spans="1:28">
      <c r="A524" s="331"/>
      <c r="B524" s="332"/>
      <c r="C524" s="454"/>
      <c r="D524" s="334"/>
      <c r="E524" s="333"/>
      <c r="F524" s="334"/>
      <c r="G524" s="334"/>
      <c r="H524" s="454"/>
      <c r="I524" s="455"/>
      <c r="J524" s="456"/>
      <c r="K524" s="456"/>
      <c r="L524" s="454"/>
      <c r="M524" s="454"/>
      <c r="N524" s="454"/>
      <c r="O524" s="454"/>
      <c r="P524" s="454"/>
      <c r="Q524" s="454"/>
      <c r="R524" s="454"/>
      <c r="S524" s="454"/>
      <c r="T524" s="454"/>
      <c r="U524" s="454"/>
      <c r="V524" s="454"/>
      <c r="W524" s="454"/>
      <c r="X524" s="454"/>
      <c r="Y524" s="454"/>
      <c r="Z524" s="454"/>
      <c r="AA524" s="454"/>
      <c r="AB524" s="454"/>
    </row>
    <row r="525" spans="1:28">
      <c r="A525" s="331"/>
      <c r="B525" s="332"/>
      <c r="C525" s="454"/>
      <c r="D525" s="333"/>
      <c r="E525" s="333"/>
      <c r="F525" s="333"/>
      <c r="G525" s="333"/>
      <c r="H525" s="454"/>
      <c r="I525" s="455"/>
      <c r="J525" s="456"/>
      <c r="K525" s="456"/>
      <c r="L525" s="454"/>
      <c r="M525" s="454"/>
      <c r="N525" s="454"/>
      <c r="O525" s="454"/>
      <c r="P525" s="454"/>
      <c r="Q525" s="454"/>
      <c r="R525" s="454"/>
      <c r="S525" s="454"/>
      <c r="T525" s="454"/>
      <c r="U525" s="454"/>
      <c r="V525" s="454"/>
      <c r="W525" s="454"/>
      <c r="X525" s="454"/>
      <c r="Y525" s="454"/>
      <c r="Z525" s="454"/>
      <c r="AA525" s="454"/>
      <c r="AB525" s="454"/>
    </row>
    <row r="526" spans="1:28">
      <c r="A526" s="331"/>
      <c r="B526" s="332"/>
      <c r="C526" s="454"/>
      <c r="D526" s="333"/>
      <c r="E526" s="333"/>
      <c r="F526" s="333"/>
      <c r="G526" s="333"/>
      <c r="H526" s="454"/>
      <c r="I526" s="455"/>
      <c r="J526" s="456"/>
      <c r="K526" s="456"/>
      <c r="L526" s="454"/>
      <c r="M526" s="454"/>
      <c r="N526" s="454"/>
      <c r="O526" s="454"/>
      <c r="P526" s="454"/>
      <c r="Q526" s="454"/>
      <c r="R526" s="454"/>
      <c r="S526" s="454"/>
      <c r="T526" s="454"/>
      <c r="U526" s="454"/>
      <c r="V526" s="454"/>
      <c r="W526" s="454"/>
      <c r="X526" s="454"/>
      <c r="Y526" s="454"/>
      <c r="Z526" s="454"/>
      <c r="AA526" s="454"/>
      <c r="AB526" s="454"/>
    </row>
    <row r="527" spans="1:28">
      <c r="A527" s="331"/>
      <c r="B527" s="332"/>
      <c r="C527" s="454"/>
      <c r="D527" s="333"/>
      <c r="E527" s="333"/>
      <c r="F527" s="333"/>
      <c r="G527" s="333"/>
      <c r="H527" s="454"/>
      <c r="I527" s="455"/>
      <c r="J527" s="456"/>
      <c r="K527" s="456"/>
      <c r="L527" s="454"/>
      <c r="M527" s="454"/>
      <c r="N527" s="454"/>
      <c r="O527" s="454"/>
      <c r="P527" s="454"/>
      <c r="Q527" s="454"/>
      <c r="R527" s="454"/>
      <c r="S527" s="454"/>
      <c r="T527" s="454"/>
      <c r="U527" s="454"/>
      <c r="V527" s="454"/>
      <c r="W527" s="454"/>
      <c r="X527" s="454"/>
      <c r="Y527" s="454"/>
      <c r="Z527" s="454"/>
      <c r="AA527" s="454"/>
      <c r="AB527" s="454"/>
    </row>
    <row r="528" spans="1:28">
      <c r="A528" s="331"/>
      <c r="B528" s="332"/>
      <c r="C528" s="454"/>
      <c r="D528" s="333"/>
      <c r="E528" s="333"/>
      <c r="F528" s="333"/>
      <c r="G528" s="333"/>
      <c r="H528" s="454"/>
      <c r="I528" s="455"/>
      <c r="J528" s="456"/>
      <c r="K528" s="456"/>
      <c r="L528" s="454"/>
      <c r="M528" s="454"/>
      <c r="N528" s="454"/>
      <c r="O528" s="454"/>
      <c r="P528" s="454"/>
      <c r="Q528" s="454"/>
      <c r="R528" s="454"/>
      <c r="S528" s="454"/>
      <c r="T528" s="454"/>
      <c r="U528" s="454"/>
      <c r="V528" s="454"/>
      <c r="W528" s="454"/>
      <c r="X528" s="454"/>
      <c r="Y528" s="454"/>
      <c r="Z528" s="454"/>
      <c r="AA528" s="454"/>
      <c r="AB528" s="454"/>
    </row>
    <row r="529" spans="1:28">
      <c r="A529" s="331"/>
      <c r="B529" s="332"/>
      <c r="C529" s="454"/>
      <c r="D529" s="337"/>
      <c r="E529" s="333"/>
      <c r="F529" s="337"/>
      <c r="G529" s="337"/>
      <c r="H529" s="454"/>
      <c r="I529" s="455"/>
      <c r="J529" s="456"/>
      <c r="K529" s="456"/>
      <c r="L529" s="454"/>
      <c r="M529" s="454"/>
      <c r="N529" s="454"/>
      <c r="O529" s="454"/>
      <c r="P529" s="454"/>
      <c r="Q529" s="454"/>
      <c r="R529" s="454"/>
      <c r="S529" s="454"/>
      <c r="T529" s="454"/>
      <c r="U529" s="454"/>
      <c r="V529" s="454"/>
      <c r="W529" s="454"/>
      <c r="X529" s="454"/>
      <c r="Y529" s="454"/>
      <c r="Z529" s="454"/>
      <c r="AA529" s="454"/>
      <c r="AB529" s="454"/>
    </row>
    <row r="530" spans="1:28">
      <c r="A530" s="331"/>
      <c r="B530" s="332"/>
      <c r="C530" s="454"/>
      <c r="D530" s="335"/>
      <c r="E530" s="333"/>
      <c r="F530" s="335"/>
      <c r="G530" s="335"/>
      <c r="H530" s="454"/>
      <c r="I530" s="455"/>
      <c r="J530" s="456"/>
      <c r="K530" s="456"/>
      <c r="L530" s="454"/>
      <c r="M530" s="454"/>
      <c r="N530" s="454"/>
      <c r="O530" s="454"/>
      <c r="P530" s="454"/>
      <c r="Q530" s="454"/>
      <c r="R530" s="454"/>
      <c r="S530" s="454"/>
      <c r="T530" s="454"/>
      <c r="U530" s="454"/>
      <c r="V530" s="454"/>
      <c r="W530" s="454"/>
      <c r="X530" s="454"/>
      <c r="Y530" s="454"/>
      <c r="Z530" s="454"/>
      <c r="AA530" s="454"/>
      <c r="AB530" s="454"/>
    </row>
    <row r="531" spans="1:28">
      <c r="A531" s="331"/>
      <c r="B531" s="332"/>
      <c r="C531" s="454"/>
      <c r="D531" s="336"/>
      <c r="E531" s="333"/>
      <c r="F531" s="336"/>
      <c r="G531" s="336"/>
      <c r="H531" s="454"/>
      <c r="I531" s="455"/>
      <c r="J531" s="456"/>
      <c r="K531" s="456"/>
      <c r="L531" s="454"/>
      <c r="M531" s="454"/>
      <c r="N531" s="454"/>
      <c r="O531" s="454"/>
      <c r="P531" s="454"/>
      <c r="Q531" s="454"/>
      <c r="R531" s="454"/>
      <c r="S531" s="454"/>
      <c r="T531" s="454"/>
      <c r="U531" s="454"/>
      <c r="V531" s="454"/>
      <c r="W531" s="454"/>
      <c r="X531" s="454"/>
      <c r="Y531" s="454"/>
      <c r="Z531" s="454"/>
      <c r="AA531" s="454"/>
      <c r="AB531" s="454"/>
    </row>
    <row r="532" spans="1:28">
      <c r="A532" s="331"/>
      <c r="B532" s="332"/>
      <c r="C532" s="454"/>
      <c r="D532" s="336"/>
      <c r="E532" s="333"/>
      <c r="F532" s="336"/>
      <c r="G532" s="336"/>
      <c r="H532" s="454"/>
      <c r="I532" s="455"/>
      <c r="J532" s="456"/>
      <c r="K532" s="456"/>
      <c r="L532" s="454"/>
      <c r="M532" s="454"/>
      <c r="N532" s="454"/>
      <c r="O532" s="454"/>
      <c r="P532" s="454"/>
      <c r="Q532" s="454"/>
      <c r="R532" s="454"/>
      <c r="S532" s="454"/>
      <c r="T532" s="454"/>
      <c r="U532" s="454"/>
      <c r="V532" s="454"/>
      <c r="W532" s="454"/>
      <c r="X532" s="454"/>
      <c r="Y532" s="454"/>
      <c r="Z532" s="454"/>
      <c r="AA532" s="454"/>
      <c r="AB532" s="454"/>
    </row>
    <row r="533" spans="1:28">
      <c r="A533" s="331"/>
      <c r="B533" s="332"/>
      <c r="C533" s="454"/>
      <c r="D533" s="334"/>
      <c r="E533" s="333"/>
      <c r="F533" s="334"/>
      <c r="G533" s="336"/>
      <c r="H533" s="454"/>
      <c r="I533" s="455"/>
      <c r="J533" s="456"/>
      <c r="K533" s="456"/>
      <c r="L533" s="454"/>
      <c r="M533" s="454"/>
      <c r="N533" s="454"/>
      <c r="O533" s="454"/>
      <c r="P533" s="454"/>
      <c r="Q533" s="454"/>
      <c r="R533" s="454"/>
      <c r="S533" s="454"/>
      <c r="T533" s="454"/>
      <c r="U533" s="454"/>
      <c r="V533" s="454"/>
      <c r="W533" s="454"/>
      <c r="X533" s="454"/>
      <c r="Y533" s="454"/>
      <c r="Z533" s="454"/>
      <c r="AA533" s="454"/>
      <c r="AB533" s="454"/>
    </row>
    <row r="534" spans="1:28">
      <c r="A534" s="331"/>
      <c r="B534" s="332"/>
      <c r="C534" s="454"/>
      <c r="D534" s="334"/>
      <c r="E534" s="333"/>
      <c r="F534" s="333"/>
      <c r="G534" s="336"/>
      <c r="H534" s="454"/>
      <c r="I534" s="455"/>
      <c r="J534" s="456"/>
      <c r="K534" s="456"/>
      <c r="L534" s="454"/>
      <c r="M534" s="454"/>
      <c r="N534" s="454"/>
      <c r="O534" s="454"/>
      <c r="P534" s="454"/>
      <c r="Q534" s="454"/>
      <c r="R534" s="454"/>
      <c r="S534" s="454"/>
      <c r="T534" s="454"/>
      <c r="U534" s="454"/>
      <c r="V534" s="454"/>
      <c r="W534" s="454"/>
      <c r="X534" s="454"/>
      <c r="Y534" s="454"/>
      <c r="Z534" s="454"/>
      <c r="AA534" s="454"/>
      <c r="AB534" s="454"/>
    </row>
    <row r="535" spans="1:28">
      <c r="A535" s="331"/>
      <c r="B535" s="332"/>
      <c r="C535" s="454"/>
      <c r="D535" s="334"/>
      <c r="E535" s="333"/>
      <c r="F535" s="334"/>
      <c r="G535" s="336"/>
      <c r="H535" s="454"/>
      <c r="I535" s="455"/>
      <c r="J535" s="456"/>
      <c r="K535" s="456"/>
      <c r="L535" s="454"/>
      <c r="M535" s="454"/>
      <c r="N535" s="454"/>
      <c r="O535" s="454"/>
      <c r="P535" s="454"/>
      <c r="Q535" s="454"/>
      <c r="R535" s="454"/>
      <c r="S535" s="454"/>
      <c r="T535" s="454"/>
      <c r="U535" s="454"/>
      <c r="V535" s="454"/>
      <c r="W535" s="454"/>
      <c r="X535" s="454"/>
      <c r="Y535" s="454"/>
      <c r="Z535" s="454"/>
      <c r="AA535" s="454"/>
      <c r="AB535" s="454"/>
    </row>
    <row r="536" spans="1:28">
      <c r="A536" s="331"/>
      <c r="B536" s="332"/>
      <c r="C536" s="454"/>
      <c r="D536" s="334"/>
      <c r="E536" s="333"/>
      <c r="F536" s="334"/>
      <c r="G536" s="336"/>
      <c r="H536" s="454"/>
      <c r="I536" s="455"/>
      <c r="J536" s="456"/>
      <c r="K536" s="456"/>
      <c r="L536" s="454"/>
      <c r="M536" s="454"/>
      <c r="N536" s="454"/>
      <c r="O536" s="454"/>
      <c r="P536" s="454"/>
      <c r="Q536" s="454"/>
      <c r="R536" s="454"/>
      <c r="S536" s="454"/>
      <c r="T536" s="454"/>
      <c r="U536" s="454"/>
      <c r="V536" s="454"/>
      <c r="W536" s="454"/>
      <c r="X536" s="454"/>
      <c r="Y536" s="454"/>
      <c r="Z536" s="454"/>
      <c r="AA536" s="454"/>
      <c r="AB536" s="454"/>
    </row>
    <row r="537" spans="1:28">
      <c r="A537" s="331"/>
      <c r="B537" s="332"/>
      <c r="C537" s="454"/>
      <c r="D537" s="334"/>
      <c r="E537" s="333"/>
      <c r="F537" s="334"/>
      <c r="G537" s="336"/>
      <c r="H537" s="454"/>
      <c r="I537" s="455"/>
      <c r="J537" s="456"/>
      <c r="K537" s="456"/>
      <c r="L537" s="454"/>
      <c r="M537" s="454"/>
      <c r="N537" s="454"/>
      <c r="O537" s="454"/>
      <c r="P537" s="454"/>
      <c r="Q537" s="454"/>
      <c r="R537" s="454"/>
      <c r="S537" s="454"/>
      <c r="T537" s="454"/>
      <c r="U537" s="454"/>
      <c r="V537" s="454"/>
      <c r="W537" s="454"/>
      <c r="X537" s="454"/>
      <c r="Y537" s="454"/>
      <c r="Z537" s="454"/>
      <c r="AA537" s="454"/>
      <c r="AB537" s="454"/>
    </row>
    <row r="538" spans="1:28">
      <c r="A538" s="331"/>
      <c r="B538" s="332"/>
      <c r="C538" s="454"/>
      <c r="D538" s="334"/>
      <c r="E538" s="333"/>
      <c r="F538" s="334"/>
      <c r="G538" s="336"/>
      <c r="H538" s="454"/>
      <c r="I538" s="455"/>
      <c r="J538" s="456"/>
      <c r="K538" s="456"/>
      <c r="L538" s="454"/>
      <c r="M538" s="454"/>
      <c r="N538" s="454"/>
      <c r="O538" s="454"/>
      <c r="P538" s="454"/>
      <c r="Q538" s="454"/>
      <c r="R538" s="454"/>
      <c r="S538" s="454"/>
      <c r="T538" s="454"/>
      <c r="U538" s="454"/>
      <c r="V538" s="454"/>
      <c r="W538" s="454"/>
      <c r="X538" s="454"/>
      <c r="Y538" s="454"/>
      <c r="Z538" s="454"/>
      <c r="AA538" s="454"/>
      <c r="AB538" s="454"/>
    </row>
    <row r="539" spans="1:28">
      <c r="A539" s="331"/>
      <c r="B539" s="332"/>
      <c r="C539" s="454"/>
      <c r="D539" s="334"/>
      <c r="E539" s="333"/>
      <c r="F539" s="334"/>
      <c r="G539" s="336"/>
      <c r="H539" s="454"/>
      <c r="I539" s="455"/>
      <c r="J539" s="456"/>
      <c r="K539" s="456"/>
      <c r="L539" s="454"/>
      <c r="M539" s="454"/>
      <c r="N539" s="454"/>
      <c r="O539" s="454"/>
      <c r="P539" s="454"/>
      <c r="Q539" s="454"/>
      <c r="R539" s="454"/>
      <c r="S539" s="454"/>
      <c r="T539" s="454"/>
      <c r="U539" s="454"/>
      <c r="V539" s="454"/>
      <c r="W539" s="454"/>
      <c r="X539" s="454"/>
      <c r="Y539" s="454"/>
      <c r="Z539" s="454"/>
      <c r="AA539" s="454"/>
      <c r="AB539" s="454"/>
    </row>
    <row r="540" spans="1:28">
      <c r="A540" s="331"/>
      <c r="B540" s="332"/>
      <c r="C540" s="454"/>
      <c r="D540" s="334"/>
      <c r="E540" s="333"/>
      <c r="F540" s="334"/>
      <c r="G540" s="336"/>
      <c r="H540" s="454"/>
      <c r="I540" s="455"/>
      <c r="J540" s="456"/>
      <c r="K540" s="456"/>
      <c r="L540" s="454"/>
      <c r="M540" s="454"/>
      <c r="N540" s="454"/>
      <c r="O540" s="454"/>
      <c r="P540" s="454"/>
      <c r="Q540" s="454"/>
      <c r="R540" s="454"/>
      <c r="S540" s="454"/>
      <c r="T540" s="454"/>
      <c r="U540" s="454"/>
      <c r="V540" s="454"/>
      <c r="W540" s="454"/>
      <c r="X540" s="454"/>
      <c r="Y540" s="454"/>
      <c r="Z540" s="454"/>
      <c r="AA540" s="454"/>
      <c r="AB540" s="454"/>
    </row>
    <row r="541" spans="1:28">
      <c r="A541" s="331"/>
      <c r="B541" s="332"/>
      <c r="C541" s="454"/>
      <c r="D541" s="334"/>
      <c r="E541" s="333"/>
      <c r="F541" s="334"/>
      <c r="G541" s="336"/>
      <c r="H541" s="454"/>
      <c r="I541" s="455"/>
      <c r="J541" s="456"/>
      <c r="K541" s="456"/>
      <c r="L541" s="454"/>
      <c r="M541" s="454"/>
      <c r="N541" s="454"/>
      <c r="O541" s="454"/>
      <c r="P541" s="454"/>
      <c r="Q541" s="454"/>
      <c r="R541" s="454"/>
      <c r="S541" s="454"/>
      <c r="T541" s="454"/>
      <c r="U541" s="454"/>
      <c r="V541" s="454"/>
      <c r="W541" s="454"/>
      <c r="X541" s="454"/>
      <c r="Y541" s="454"/>
      <c r="Z541" s="454"/>
      <c r="AA541" s="454"/>
      <c r="AB541" s="454"/>
    </row>
    <row r="542" spans="1:28">
      <c r="A542" s="331"/>
      <c r="B542" s="332"/>
      <c r="C542" s="454"/>
      <c r="D542" s="334"/>
      <c r="E542" s="333"/>
      <c r="F542" s="334"/>
      <c r="G542" s="336"/>
      <c r="H542" s="454"/>
      <c r="I542" s="455"/>
      <c r="J542" s="456"/>
      <c r="K542" s="456"/>
      <c r="L542" s="454"/>
      <c r="M542" s="454"/>
      <c r="N542" s="454"/>
      <c r="O542" s="454"/>
      <c r="P542" s="454"/>
      <c r="Q542" s="454"/>
      <c r="R542" s="454"/>
      <c r="S542" s="454"/>
      <c r="T542" s="454"/>
      <c r="U542" s="454"/>
      <c r="V542" s="454"/>
      <c r="W542" s="454"/>
      <c r="X542" s="454"/>
      <c r="Y542" s="454"/>
      <c r="Z542" s="454"/>
      <c r="AA542" s="454"/>
      <c r="AB542" s="454"/>
    </row>
    <row r="543" spans="1:28">
      <c r="A543" s="331"/>
      <c r="B543" s="332"/>
      <c r="C543" s="454"/>
      <c r="D543" s="334"/>
      <c r="E543" s="333"/>
      <c r="F543" s="334"/>
      <c r="G543" s="335"/>
      <c r="H543" s="454"/>
      <c r="I543" s="455"/>
      <c r="J543" s="456"/>
      <c r="K543" s="456"/>
      <c r="L543" s="454"/>
      <c r="M543" s="454"/>
      <c r="N543" s="454"/>
      <c r="O543" s="454"/>
      <c r="P543" s="454"/>
      <c r="Q543" s="454"/>
      <c r="R543" s="454"/>
      <c r="S543" s="454"/>
      <c r="T543" s="454"/>
      <c r="U543" s="454"/>
      <c r="V543" s="454"/>
      <c r="W543" s="454"/>
      <c r="X543" s="454"/>
      <c r="Y543" s="454"/>
      <c r="Z543" s="454"/>
      <c r="AA543" s="454"/>
      <c r="AB543" s="454"/>
    </row>
    <row r="544" spans="1:28">
      <c r="A544" s="331"/>
      <c r="B544" s="332"/>
      <c r="C544" s="454"/>
      <c r="D544" s="334"/>
      <c r="E544" s="333"/>
      <c r="F544" s="334"/>
      <c r="G544" s="336"/>
      <c r="H544" s="454"/>
      <c r="I544" s="455"/>
      <c r="J544" s="456"/>
      <c r="K544" s="456"/>
      <c r="L544" s="454"/>
      <c r="M544" s="454"/>
      <c r="N544" s="454"/>
      <c r="O544" s="454"/>
      <c r="P544" s="454"/>
      <c r="Q544" s="454"/>
      <c r="R544" s="454"/>
      <c r="S544" s="454"/>
      <c r="T544" s="454"/>
      <c r="U544" s="454"/>
      <c r="V544" s="454"/>
      <c r="W544" s="454"/>
      <c r="X544" s="454"/>
      <c r="Y544" s="454"/>
      <c r="Z544" s="454"/>
      <c r="AA544" s="454"/>
      <c r="AB544" s="454"/>
    </row>
    <row r="545" spans="1:28">
      <c r="A545" s="331"/>
      <c r="B545" s="332"/>
      <c r="C545" s="454"/>
      <c r="D545" s="334"/>
      <c r="E545" s="333"/>
      <c r="F545" s="334"/>
      <c r="G545" s="334"/>
      <c r="H545" s="454"/>
      <c r="I545" s="455"/>
      <c r="J545" s="456"/>
      <c r="K545" s="456"/>
      <c r="L545" s="454"/>
      <c r="M545" s="454"/>
      <c r="N545" s="454"/>
      <c r="O545" s="454"/>
      <c r="P545" s="454"/>
      <c r="Q545" s="454"/>
      <c r="R545" s="454"/>
      <c r="S545" s="454"/>
      <c r="T545" s="454"/>
      <c r="U545" s="454"/>
      <c r="V545" s="454"/>
      <c r="W545" s="454"/>
      <c r="X545" s="454"/>
      <c r="Y545" s="454"/>
      <c r="Z545" s="454"/>
      <c r="AA545" s="454"/>
      <c r="AB545" s="454"/>
    </row>
    <row r="546" spans="1:28">
      <c r="A546" s="331"/>
      <c r="B546" s="332"/>
      <c r="C546" s="454"/>
      <c r="D546" s="334"/>
      <c r="E546" s="333"/>
      <c r="F546" s="334"/>
      <c r="G546" s="336"/>
      <c r="H546" s="454"/>
      <c r="I546" s="455"/>
      <c r="J546" s="456"/>
      <c r="K546" s="456"/>
      <c r="L546" s="454"/>
      <c r="M546" s="454"/>
      <c r="N546" s="454"/>
      <c r="O546" s="454"/>
      <c r="P546" s="454"/>
      <c r="Q546" s="454"/>
      <c r="R546" s="454"/>
      <c r="S546" s="454"/>
      <c r="T546" s="454"/>
      <c r="U546" s="454"/>
      <c r="V546" s="454"/>
      <c r="W546" s="454"/>
      <c r="X546" s="454"/>
      <c r="Y546" s="454"/>
      <c r="Z546" s="454"/>
      <c r="AA546" s="454"/>
      <c r="AB546" s="454"/>
    </row>
    <row r="547" spans="1:28">
      <c r="A547" s="331"/>
      <c r="B547" s="332"/>
      <c r="C547" s="454"/>
      <c r="D547" s="334"/>
      <c r="E547" s="333"/>
      <c r="F547" s="334"/>
      <c r="G547" s="334"/>
      <c r="H547" s="454"/>
      <c r="I547" s="455"/>
      <c r="J547" s="456"/>
      <c r="K547" s="456"/>
      <c r="L547" s="454"/>
      <c r="M547" s="454"/>
      <c r="N547" s="454"/>
      <c r="O547" s="454"/>
      <c r="P547" s="454"/>
      <c r="Q547" s="454"/>
      <c r="R547" s="454"/>
      <c r="S547" s="454"/>
      <c r="T547" s="454"/>
      <c r="U547" s="454"/>
      <c r="V547" s="454"/>
      <c r="W547" s="454"/>
      <c r="X547" s="454"/>
      <c r="Y547" s="454"/>
      <c r="Z547" s="454"/>
      <c r="AA547" s="454"/>
      <c r="AB547" s="454"/>
    </row>
    <row r="548" spans="1:28">
      <c r="A548" s="331"/>
      <c r="B548" s="332"/>
      <c r="C548" s="454"/>
      <c r="D548" s="334"/>
      <c r="E548" s="333"/>
      <c r="F548" s="334"/>
      <c r="G548" s="334"/>
      <c r="H548" s="454"/>
      <c r="I548" s="455"/>
      <c r="J548" s="456"/>
      <c r="K548" s="456"/>
      <c r="L548" s="454"/>
      <c r="M548" s="454"/>
      <c r="N548" s="454"/>
      <c r="O548" s="454"/>
      <c r="P548" s="454"/>
      <c r="Q548" s="454"/>
      <c r="R548" s="454"/>
      <c r="S548" s="454"/>
      <c r="T548" s="454"/>
      <c r="U548" s="454"/>
      <c r="V548" s="454"/>
      <c r="W548" s="454"/>
      <c r="X548" s="454"/>
      <c r="Y548" s="454"/>
      <c r="Z548" s="454"/>
      <c r="AA548" s="454"/>
      <c r="AB548" s="454"/>
    </row>
    <row r="549" spans="1:28">
      <c r="A549" s="331"/>
      <c r="B549" s="332"/>
      <c r="C549" s="454"/>
      <c r="D549" s="334"/>
      <c r="E549" s="333"/>
      <c r="F549" s="334"/>
      <c r="G549" s="334"/>
      <c r="H549" s="454"/>
      <c r="I549" s="455"/>
      <c r="J549" s="456"/>
      <c r="K549" s="456"/>
      <c r="L549" s="454"/>
      <c r="M549" s="454"/>
      <c r="N549" s="454"/>
      <c r="O549" s="454"/>
      <c r="P549" s="454"/>
      <c r="Q549" s="454"/>
      <c r="R549" s="454"/>
      <c r="S549" s="454"/>
      <c r="T549" s="454"/>
      <c r="U549" s="454"/>
      <c r="V549" s="454"/>
      <c r="W549" s="454"/>
      <c r="X549" s="454"/>
      <c r="Y549" s="454"/>
      <c r="Z549" s="454"/>
      <c r="AA549" s="454"/>
      <c r="AB549" s="454"/>
    </row>
    <row r="550" spans="1:28">
      <c r="A550" s="331"/>
      <c r="B550" s="332"/>
      <c r="C550" s="454"/>
      <c r="D550" s="334"/>
      <c r="E550" s="333"/>
      <c r="F550" s="334"/>
      <c r="G550" s="334"/>
      <c r="H550" s="454"/>
      <c r="I550" s="455"/>
      <c r="J550" s="456"/>
      <c r="K550" s="456"/>
      <c r="L550" s="454"/>
      <c r="M550" s="454"/>
      <c r="N550" s="454"/>
      <c r="O550" s="454"/>
      <c r="P550" s="454"/>
      <c r="Q550" s="454"/>
      <c r="R550" s="454"/>
      <c r="S550" s="454"/>
      <c r="T550" s="454"/>
      <c r="U550" s="454"/>
      <c r="V550" s="454"/>
      <c r="W550" s="454"/>
      <c r="X550" s="454"/>
      <c r="Y550" s="454"/>
      <c r="Z550" s="454"/>
      <c r="AA550" s="454"/>
      <c r="AB550" s="454"/>
    </row>
    <row r="551" spans="1:28">
      <c r="A551" s="331"/>
      <c r="B551" s="332"/>
      <c r="C551" s="454"/>
      <c r="D551" s="334"/>
      <c r="E551" s="333"/>
      <c r="F551" s="334"/>
      <c r="G551" s="334"/>
      <c r="H551" s="454"/>
      <c r="I551" s="455"/>
      <c r="J551" s="456"/>
      <c r="K551" s="456"/>
      <c r="L551" s="454"/>
      <c r="M551" s="454"/>
      <c r="N551" s="454"/>
      <c r="O551" s="454"/>
      <c r="P551" s="454"/>
      <c r="Q551" s="454"/>
      <c r="R551" s="454"/>
      <c r="S551" s="454"/>
      <c r="T551" s="454"/>
      <c r="U551" s="454"/>
      <c r="V551" s="454"/>
      <c r="W551" s="454"/>
      <c r="X551" s="454"/>
      <c r="Y551" s="454"/>
      <c r="Z551" s="454"/>
      <c r="AA551" s="454"/>
      <c r="AB551" s="454"/>
    </row>
    <row r="552" spans="1:28">
      <c r="A552" s="331"/>
      <c r="B552" s="332"/>
      <c r="C552" s="454"/>
      <c r="D552" s="334"/>
      <c r="E552" s="333"/>
      <c r="F552" s="334"/>
      <c r="G552" s="334"/>
      <c r="H552" s="454"/>
      <c r="I552" s="455"/>
      <c r="J552" s="456"/>
      <c r="K552" s="456"/>
      <c r="L552" s="454"/>
      <c r="M552" s="454"/>
      <c r="N552" s="454"/>
      <c r="O552" s="454"/>
      <c r="P552" s="454"/>
      <c r="Q552" s="454"/>
      <c r="R552" s="454"/>
      <c r="S552" s="454"/>
      <c r="T552" s="454"/>
      <c r="U552" s="454"/>
      <c r="V552" s="454"/>
      <c r="W552" s="454"/>
      <c r="X552" s="454"/>
      <c r="Y552" s="454"/>
      <c r="Z552" s="454"/>
      <c r="AA552" s="454"/>
      <c r="AB552" s="454"/>
    </row>
    <row r="553" spans="1:28">
      <c r="A553" s="331"/>
      <c r="B553" s="332"/>
      <c r="C553" s="454"/>
      <c r="D553" s="334"/>
      <c r="E553" s="333"/>
      <c r="F553" s="334"/>
      <c r="G553" s="334"/>
      <c r="H553" s="454"/>
      <c r="I553" s="455"/>
      <c r="J553" s="456"/>
      <c r="K553" s="456"/>
      <c r="L553" s="454"/>
      <c r="M553" s="454"/>
      <c r="N553" s="454"/>
      <c r="O553" s="454"/>
      <c r="P553" s="454"/>
      <c r="Q553" s="454"/>
      <c r="R553" s="454"/>
      <c r="S553" s="454"/>
      <c r="T553" s="454"/>
      <c r="U553" s="454"/>
      <c r="V553" s="454"/>
      <c r="W553" s="454"/>
      <c r="X553" s="454"/>
      <c r="Y553" s="454"/>
      <c r="Z553" s="454"/>
      <c r="AA553" s="454"/>
      <c r="AB553" s="454"/>
    </row>
    <row r="554" spans="1:28">
      <c r="A554" s="331"/>
      <c r="B554" s="332"/>
      <c r="C554" s="454"/>
      <c r="D554" s="334"/>
      <c r="E554" s="333"/>
      <c r="F554" s="334"/>
      <c r="G554" s="334"/>
      <c r="H554" s="454"/>
      <c r="I554" s="455"/>
      <c r="J554" s="456"/>
      <c r="K554" s="456"/>
      <c r="L554" s="454"/>
      <c r="M554" s="454"/>
      <c r="N554" s="454"/>
      <c r="O554" s="454"/>
      <c r="P554" s="454"/>
      <c r="Q554" s="454"/>
      <c r="R554" s="454"/>
      <c r="S554" s="454"/>
      <c r="T554" s="454"/>
      <c r="U554" s="454"/>
      <c r="V554" s="454"/>
      <c r="W554" s="454"/>
      <c r="X554" s="454"/>
      <c r="Y554" s="454"/>
      <c r="Z554" s="454"/>
      <c r="AA554" s="454"/>
      <c r="AB554" s="454"/>
    </row>
    <row r="555" spans="1:28">
      <c r="A555" s="331"/>
      <c r="B555" s="332"/>
      <c r="C555" s="454"/>
      <c r="D555" s="334"/>
      <c r="E555" s="333"/>
      <c r="F555" s="334"/>
      <c r="G555" s="334"/>
      <c r="H555" s="454"/>
      <c r="I555" s="455"/>
      <c r="J555" s="456"/>
      <c r="K555" s="456"/>
      <c r="L555" s="454"/>
      <c r="M555" s="454"/>
      <c r="N555" s="454"/>
      <c r="O555" s="454"/>
      <c r="P555" s="454"/>
      <c r="Q555" s="454"/>
      <c r="R555" s="454"/>
      <c r="S555" s="454"/>
      <c r="T555" s="454"/>
      <c r="U555" s="454"/>
      <c r="V555" s="454"/>
      <c r="W555" s="454"/>
      <c r="X555" s="454"/>
      <c r="Y555" s="454"/>
      <c r="Z555" s="454"/>
      <c r="AA555" s="454"/>
      <c r="AB555" s="454"/>
    </row>
    <row r="556" spans="1:28">
      <c r="A556" s="331"/>
      <c r="B556" s="332"/>
      <c r="C556" s="454"/>
      <c r="D556" s="334"/>
      <c r="E556" s="333"/>
      <c r="F556" s="334"/>
      <c r="G556" s="334"/>
      <c r="H556" s="454"/>
      <c r="I556" s="455"/>
      <c r="J556" s="456"/>
      <c r="K556" s="456"/>
      <c r="L556" s="454"/>
      <c r="M556" s="454"/>
      <c r="N556" s="454"/>
      <c r="O556" s="454"/>
      <c r="P556" s="454"/>
      <c r="Q556" s="454"/>
      <c r="R556" s="454"/>
      <c r="S556" s="454"/>
      <c r="T556" s="454"/>
      <c r="U556" s="454"/>
      <c r="V556" s="454"/>
      <c r="W556" s="454"/>
      <c r="X556" s="454"/>
      <c r="Y556" s="454"/>
      <c r="Z556" s="454"/>
      <c r="AA556" s="454"/>
      <c r="AB556" s="454"/>
    </row>
    <row r="557" spans="1:28">
      <c r="A557" s="331"/>
      <c r="B557" s="332"/>
      <c r="C557" s="454"/>
      <c r="D557" s="334"/>
      <c r="E557" s="333"/>
      <c r="F557" s="334"/>
      <c r="G557" s="334"/>
      <c r="H557" s="454"/>
      <c r="I557" s="455"/>
      <c r="J557" s="456"/>
      <c r="K557" s="456"/>
      <c r="L557" s="454"/>
      <c r="M557" s="454"/>
      <c r="N557" s="454"/>
      <c r="O557" s="454"/>
      <c r="P557" s="454"/>
      <c r="Q557" s="454"/>
      <c r="R557" s="454"/>
      <c r="S557" s="454"/>
      <c r="T557" s="454"/>
      <c r="U557" s="454"/>
      <c r="V557" s="454"/>
      <c r="W557" s="454"/>
      <c r="X557" s="454"/>
      <c r="Y557" s="454"/>
      <c r="Z557" s="454"/>
      <c r="AA557" s="454"/>
      <c r="AB557" s="454"/>
    </row>
    <row r="558" spans="1:28">
      <c r="A558" s="331"/>
      <c r="B558" s="332"/>
      <c r="C558" s="454"/>
      <c r="D558" s="334"/>
      <c r="E558" s="333"/>
      <c r="F558" s="334"/>
      <c r="G558" s="334"/>
      <c r="H558" s="454"/>
      <c r="I558" s="455"/>
      <c r="J558" s="456"/>
      <c r="K558" s="456"/>
      <c r="L558" s="454"/>
      <c r="M558" s="454"/>
      <c r="N558" s="454"/>
      <c r="O558" s="454"/>
      <c r="P558" s="454"/>
      <c r="Q558" s="454"/>
      <c r="R558" s="454"/>
      <c r="S558" s="454"/>
      <c r="T558" s="454"/>
      <c r="U558" s="454"/>
      <c r="V558" s="454"/>
      <c r="W558" s="454"/>
      <c r="X558" s="454"/>
      <c r="Y558" s="454"/>
      <c r="Z558" s="454"/>
      <c r="AA558" s="454"/>
      <c r="AB558" s="454"/>
    </row>
    <row r="559" spans="1:28">
      <c r="A559" s="331"/>
      <c r="B559" s="332"/>
      <c r="C559" s="454"/>
      <c r="D559" s="334"/>
      <c r="E559" s="333"/>
      <c r="F559" s="334"/>
      <c r="G559" s="334"/>
      <c r="H559" s="454"/>
      <c r="I559" s="455"/>
      <c r="J559" s="456"/>
      <c r="K559" s="456"/>
      <c r="L559" s="454"/>
      <c r="M559" s="454"/>
      <c r="N559" s="454"/>
      <c r="O559" s="454"/>
      <c r="P559" s="454"/>
      <c r="Q559" s="454"/>
      <c r="R559" s="454"/>
      <c r="S559" s="454"/>
      <c r="T559" s="454"/>
      <c r="U559" s="454"/>
      <c r="V559" s="454"/>
      <c r="W559" s="454"/>
      <c r="X559" s="454"/>
      <c r="Y559" s="454"/>
      <c r="Z559" s="454"/>
      <c r="AA559" s="454"/>
      <c r="AB559" s="454"/>
    </row>
    <row r="560" spans="1:28">
      <c r="A560" s="331"/>
      <c r="B560" s="332"/>
      <c r="C560" s="454"/>
      <c r="D560" s="334"/>
      <c r="E560" s="333"/>
      <c r="F560" s="334"/>
      <c r="G560" s="334"/>
      <c r="H560" s="454"/>
      <c r="I560" s="455"/>
      <c r="J560" s="456"/>
      <c r="K560" s="456"/>
      <c r="L560" s="454"/>
      <c r="M560" s="454"/>
      <c r="N560" s="454"/>
      <c r="O560" s="454"/>
      <c r="P560" s="454"/>
      <c r="Q560" s="454"/>
      <c r="R560" s="454"/>
      <c r="S560" s="454"/>
      <c r="T560" s="454"/>
      <c r="U560" s="454"/>
      <c r="V560" s="454"/>
      <c r="W560" s="454"/>
      <c r="X560" s="454"/>
      <c r="Y560" s="454"/>
      <c r="Z560" s="454"/>
      <c r="AA560" s="454"/>
      <c r="AB560" s="454"/>
    </row>
    <row r="561" spans="1:28">
      <c r="A561" s="331"/>
      <c r="B561" s="332"/>
      <c r="C561" s="454"/>
      <c r="D561" s="334"/>
      <c r="E561" s="333"/>
      <c r="F561" s="334"/>
      <c r="G561" s="334"/>
      <c r="H561" s="454"/>
      <c r="I561" s="455"/>
      <c r="J561" s="456"/>
      <c r="K561" s="456"/>
      <c r="L561" s="454"/>
      <c r="M561" s="454"/>
      <c r="N561" s="454"/>
      <c r="O561" s="454"/>
      <c r="P561" s="454"/>
      <c r="Q561" s="454"/>
      <c r="R561" s="454"/>
      <c r="S561" s="454"/>
      <c r="T561" s="454"/>
      <c r="U561" s="454"/>
      <c r="V561" s="454"/>
      <c r="W561" s="454"/>
      <c r="X561" s="454"/>
      <c r="Y561" s="454"/>
      <c r="Z561" s="454"/>
      <c r="AA561" s="454"/>
      <c r="AB561" s="454"/>
    </row>
    <row r="562" spans="1:28">
      <c r="A562" s="331"/>
      <c r="B562" s="332"/>
      <c r="C562" s="454"/>
      <c r="D562" s="334"/>
      <c r="E562" s="333"/>
      <c r="F562" s="334"/>
      <c r="G562" s="334"/>
      <c r="H562" s="454"/>
      <c r="I562" s="455"/>
      <c r="J562" s="456"/>
      <c r="K562" s="456"/>
      <c r="L562" s="454"/>
      <c r="M562" s="454"/>
      <c r="N562" s="454"/>
      <c r="O562" s="454"/>
      <c r="P562" s="454"/>
      <c r="Q562" s="454"/>
      <c r="R562" s="454"/>
      <c r="S562" s="454"/>
      <c r="T562" s="454"/>
      <c r="U562" s="454"/>
      <c r="V562" s="454"/>
      <c r="W562" s="454"/>
      <c r="X562" s="454"/>
      <c r="Y562" s="454"/>
      <c r="Z562" s="454"/>
      <c r="AA562" s="454"/>
      <c r="AB562" s="454"/>
    </row>
    <row r="563" spans="1:28">
      <c r="A563" s="331"/>
      <c r="B563" s="332"/>
      <c r="C563" s="454"/>
      <c r="D563" s="334"/>
      <c r="E563" s="333"/>
      <c r="F563" s="334"/>
      <c r="G563" s="334"/>
      <c r="H563" s="454"/>
      <c r="I563" s="455"/>
      <c r="J563" s="456"/>
      <c r="K563" s="456"/>
      <c r="L563" s="454"/>
      <c r="M563" s="454"/>
      <c r="N563" s="454"/>
      <c r="O563" s="454"/>
      <c r="P563" s="454"/>
      <c r="Q563" s="454"/>
      <c r="R563" s="454"/>
      <c r="S563" s="454"/>
      <c r="T563" s="454"/>
      <c r="U563" s="454"/>
      <c r="V563" s="454"/>
      <c r="W563" s="454"/>
      <c r="X563" s="454"/>
      <c r="Y563" s="454"/>
      <c r="Z563" s="454"/>
      <c r="AA563" s="454"/>
      <c r="AB563" s="454"/>
    </row>
    <row r="564" spans="1:28">
      <c r="A564" s="331"/>
      <c r="B564" s="332"/>
      <c r="C564" s="454"/>
      <c r="D564" s="334"/>
      <c r="E564" s="333"/>
      <c r="F564" s="334"/>
      <c r="G564" s="334"/>
      <c r="H564" s="454"/>
      <c r="I564" s="455"/>
      <c r="J564" s="456"/>
      <c r="K564" s="456"/>
      <c r="L564" s="454"/>
      <c r="M564" s="454"/>
      <c r="N564" s="454"/>
      <c r="O564" s="454"/>
      <c r="P564" s="454"/>
      <c r="Q564" s="454"/>
      <c r="R564" s="454"/>
      <c r="S564" s="454"/>
      <c r="T564" s="454"/>
      <c r="U564" s="454"/>
      <c r="V564" s="454"/>
      <c r="W564" s="454"/>
      <c r="X564" s="454"/>
      <c r="Y564" s="454"/>
      <c r="Z564" s="454"/>
      <c r="AA564" s="454"/>
      <c r="AB564" s="454"/>
    </row>
    <row r="565" spans="1:28">
      <c r="A565" s="331"/>
      <c r="B565" s="332"/>
      <c r="C565" s="454"/>
      <c r="D565" s="334"/>
      <c r="E565" s="333"/>
      <c r="F565" s="334"/>
      <c r="G565" s="334"/>
      <c r="H565" s="454"/>
      <c r="I565" s="455"/>
      <c r="J565" s="456"/>
      <c r="K565" s="456"/>
      <c r="L565" s="454"/>
      <c r="M565" s="454"/>
      <c r="N565" s="454"/>
      <c r="O565" s="454"/>
      <c r="P565" s="454"/>
      <c r="Q565" s="454"/>
      <c r="R565" s="454"/>
      <c r="S565" s="454"/>
      <c r="T565" s="454"/>
      <c r="U565" s="454"/>
      <c r="V565" s="454"/>
      <c r="W565" s="454"/>
      <c r="X565" s="454"/>
      <c r="Y565" s="454"/>
      <c r="Z565" s="454"/>
      <c r="AA565" s="454"/>
      <c r="AB565" s="454"/>
    </row>
    <row r="566" spans="1:28">
      <c r="A566" s="331"/>
      <c r="B566" s="332"/>
      <c r="C566" s="454"/>
      <c r="D566" s="334"/>
      <c r="E566" s="333"/>
      <c r="F566" s="334"/>
      <c r="G566" s="334"/>
      <c r="H566" s="454"/>
      <c r="I566" s="455"/>
      <c r="J566" s="456"/>
      <c r="K566" s="456"/>
      <c r="L566" s="454"/>
      <c r="M566" s="454"/>
      <c r="N566" s="454"/>
      <c r="O566" s="454"/>
      <c r="P566" s="454"/>
      <c r="Q566" s="454"/>
      <c r="R566" s="454"/>
      <c r="S566" s="454"/>
      <c r="T566" s="454"/>
      <c r="U566" s="454"/>
      <c r="V566" s="454"/>
      <c r="W566" s="454"/>
      <c r="X566" s="454"/>
      <c r="Y566" s="454"/>
      <c r="Z566" s="454"/>
      <c r="AA566" s="454"/>
      <c r="AB566" s="454"/>
    </row>
    <row r="567" spans="1:28">
      <c r="A567" s="331"/>
      <c r="B567" s="332"/>
      <c r="C567" s="454"/>
      <c r="D567" s="334"/>
      <c r="E567" s="333"/>
      <c r="F567" s="334"/>
      <c r="G567" s="334"/>
      <c r="H567" s="454"/>
      <c r="I567" s="455"/>
      <c r="J567" s="456"/>
      <c r="K567" s="456"/>
      <c r="L567" s="454"/>
      <c r="M567" s="454"/>
      <c r="N567" s="454"/>
      <c r="O567" s="454"/>
      <c r="P567" s="454"/>
      <c r="Q567" s="454"/>
      <c r="R567" s="454"/>
      <c r="S567" s="454"/>
      <c r="T567" s="454"/>
      <c r="U567" s="454"/>
      <c r="V567" s="454"/>
      <c r="W567" s="454"/>
      <c r="X567" s="454"/>
      <c r="Y567" s="454"/>
      <c r="Z567" s="454"/>
      <c r="AA567" s="454"/>
      <c r="AB567" s="454"/>
    </row>
    <row r="568" spans="1:28">
      <c r="A568" s="331"/>
      <c r="B568" s="332"/>
      <c r="C568" s="454"/>
      <c r="D568" s="110"/>
      <c r="E568" s="333"/>
      <c r="F568" s="334"/>
      <c r="G568" s="334"/>
      <c r="H568" s="454"/>
      <c r="I568" s="455"/>
      <c r="J568" s="456"/>
      <c r="K568" s="456"/>
      <c r="L568" s="454"/>
      <c r="M568" s="454"/>
      <c r="N568" s="454"/>
      <c r="O568" s="454"/>
      <c r="P568" s="454"/>
      <c r="Q568" s="454"/>
      <c r="R568" s="454"/>
      <c r="S568" s="454"/>
      <c r="T568" s="454"/>
      <c r="U568" s="454"/>
      <c r="V568" s="454"/>
      <c r="W568" s="454"/>
      <c r="X568" s="454"/>
      <c r="Y568" s="454"/>
      <c r="Z568" s="454"/>
      <c r="AA568" s="454"/>
      <c r="AB568" s="454"/>
    </row>
    <row r="569" spans="1:28">
      <c r="A569" s="331"/>
      <c r="B569" s="332"/>
      <c r="C569" s="454"/>
      <c r="D569" s="334"/>
      <c r="E569" s="333"/>
      <c r="F569" s="334"/>
      <c r="G569" s="334"/>
      <c r="H569" s="454"/>
      <c r="I569" s="455"/>
      <c r="J569" s="456"/>
      <c r="K569" s="456"/>
      <c r="L569" s="454"/>
      <c r="M569" s="454"/>
      <c r="N569" s="454"/>
      <c r="O569" s="454"/>
      <c r="P569" s="454"/>
      <c r="Q569" s="454"/>
      <c r="R569" s="454"/>
      <c r="S569" s="454"/>
      <c r="T569" s="454"/>
      <c r="U569" s="454"/>
      <c r="V569" s="454"/>
      <c r="W569" s="454"/>
      <c r="X569" s="454"/>
      <c r="Y569" s="454"/>
      <c r="Z569" s="454"/>
      <c r="AA569" s="454"/>
      <c r="AB569" s="454"/>
    </row>
    <row r="570" spans="1:28">
      <c r="A570" s="331"/>
      <c r="B570" s="332"/>
      <c r="C570" s="454"/>
      <c r="D570" s="335"/>
      <c r="E570" s="333"/>
      <c r="F570" s="335"/>
      <c r="G570" s="335"/>
      <c r="H570" s="454"/>
      <c r="I570" s="455"/>
      <c r="J570" s="456"/>
      <c r="K570" s="456"/>
      <c r="L570" s="454"/>
      <c r="M570" s="454"/>
      <c r="N570" s="454"/>
      <c r="O570" s="454"/>
      <c r="P570" s="454"/>
      <c r="Q570" s="454"/>
      <c r="R570" s="454"/>
      <c r="S570" s="454"/>
      <c r="T570" s="454"/>
      <c r="U570" s="454"/>
      <c r="V570" s="454"/>
      <c r="W570" s="454"/>
      <c r="X570" s="454"/>
      <c r="Y570" s="454"/>
      <c r="Z570" s="454"/>
      <c r="AA570" s="454"/>
      <c r="AB570" s="454"/>
    </row>
    <row r="571" spans="1:28">
      <c r="A571" s="331"/>
      <c r="B571" s="332"/>
      <c r="C571" s="454"/>
      <c r="D571" s="334"/>
      <c r="E571" s="333"/>
      <c r="F571" s="334"/>
      <c r="G571" s="334"/>
      <c r="H571" s="454"/>
      <c r="I571" s="455"/>
      <c r="J571" s="456"/>
      <c r="K571" s="456"/>
      <c r="L571" s="454"/>
      <c r="M571" s="454"/>
      <c r="N571" s="454"/>
      <c r="O571" s="454"/>
      <c r="P571" s="454"/>
      <c r="Q571" s="454"/>
      <c r="R571" s="454"/>
      <c r="S571" s="454"/>
      <c r="T571" s="454"/>
      <c r="U571" s="454"/>
      <c r="V571" s="454"/>
      <c r="W571" s="454"/>
      <c r="X571" s="454"/>
      <c r="Y571" s="454"/>
      <c r="Z571" s="454"/>
      <c r="AA571" s="454"/>
      <c r="AB571" s="454"/>
    </row>
    <row r="572" spans="1:28">
      <c r="A572" s="331"/>
      <c r="B572" s="332"/>
      <c r="C572" s="454"/>
      <c r="D572" s="334"/>
      <c r="E572" s="333"/>
      <c r="F572" s="334"/>
      <c r="G572" s="334"/>
      <c r="H572" s="454"/>
      <c r="I572" s="455"/>
      <c r="J572" s="456"/>
      <c r="K572" s="456"/>
      <c r="L572" s="454"/>
      <c r="M572" s="454"/>
      <c r="N572" s="454"/>
      <c r="O572" s="454"/>
      <c r="P572" s="454"/>
      <c r="Q572" s="454"/>
      <c r="R572" s="454"/>
      <c r="S572" s="454"/>
      <c r="T572" s="454"/>
      <c r="U572" s="454"/>
      <c r="V572" s="454"/>
      <c r="W572" s="454"/>
      <c r="X572" s="454"/>
      <c r="Y572" s="454"/>
      <c r="Z572" s="454"/>
      <c r="AA572" s="454"/>
      <c r="AB572" s="454"/>
    </row>
    <row r="573" spans="1:28">
      <c r="A573" s="331"/>
      <c r="B573" s="332"/>
      <c r="C573" s="454"/>
      <c r="D573" s="334"/>
      <c r="E573" s="333"/>
      <c r="F573" s="334"/>
      <c r="G573" s="334"/>
      <c r="H573" s="454"/>
      <c r="I573" s="455"/>
      <c r="J573" s="456"/>
      <c r="K573" s="456"/>
      <c r="L573" s="454"/>
      <c r="M573" s="454"/>
      <c r="N573" s="454"/>
      <c r="O573" s="454"/>
      <c r="P573" s="454"/>
      <c r="Q573" s="454"/>
      <c r="R573" s="454"/>
      <c r="S573" s="454"/>
      <c r="T573" s="454"/>
      <c r="U573" s="454"/>
      <c r="V573" s="454"/>
      <c r="W573" s="454"/>
      <c r="X573" s="454"/>
      <c r="Y573" s="454"/>
      <c r="Z573" s="454"/>
      <c r="AA573" s="454"/>
      <c r="AB573" s="454"/>
    </row>
    <row r="574" spans="1:28">
      <c r="A574" s="331"/>
      <c r="B574" s="332"/>
      <c r="C574" s="454"/>
      <c r="D574" s="334"/>
      <c r="E574" s="333"/>
      <c r="F574" s="334"/>
      <c r="G574" s="334"/>
      <c r="H574" s="454"/>
      <c r="I574" s="455"/>
      <c r="J574" s="456"/>
      <c r="K574" s="456"/>
      <c r="L574" s="454"/>
      <c r="M574" s="454"/>
      <c r="N574" s="454"/>
      <c r="O574" s="454"/>
      <c r="P574" s="454"/>
      <c r="Q574" s="454"/>
      <c r="R574" s="454"/>
      <c r="S574" s="454"/>
      <c r="T574" s="454"/>
      <c r="U574" s="454"/>
      <c r="V574" s="454"/>
      <c r="W574" s="454"/>
      <c r="X574" s="454"/>
      <c r="Y574" s="454"/>
      <c r="Z574" s="454"/>
      <c r="AA574" s="454"/>
      <c r="AB574" s="454"/>
    </row>
    <row r="575" spans="1:28">
      <c r="A575" s="331"/>
      <c r="B575" s="332"/>
      <c r="C575" s="454"/>
      <c r="D575" s="334"/>
      <c r="E575" s="333"/>
      <c r="F575" s="334"/>
      <c r="G575" s="334"/>
      <c r="H575" s="454"/>
      <c r="I575" s="455"/>
      <c r="J575" s="456"/>
      <c r="K575" s="456"/>
      <c r="L575" s="454"/>
      <c r="M575" s="454"/>
      <c r="N575" s="454"/>
      <c r="O575" s="454"/>
      <c r="P575" s="454"/>
      <c r="Q575" s="454"/>
      <c r="R575" s="454"/>
      <c r="S575" s="454"/>
      <c r="T575" s="454"/>
      <c r="U575" s="454"/>
      <c r="V575" s="454"/>
      <c r="W575" s="454"/>
      <c r="X575" s="454"/>
      <c r="Y575" s="454"/>
      <c r="Z575" s="454"/>
      <c r="AA575" s="454"/>
      <c r="AB575" s="454"/>
    </row>
    <row r="576" spans="1:28">
      <c r="A576" s="331"/>
      <c r="B576" s="332"/>
      <c r="C576" s="454"/>
      <c r="D576" s="334"/>
      <c r="E576" s="333"/>
      <c r="F576" s="334"/>
      <c r="G576" s="334"/>
      <c r="H576" s="454"/>
      <c r="I576" s="455"/>
      <c r="J576" s="456"/>
      <c r="K576" s="456"/>
      <c r="L576" s="454"/>
      <c r="M576" s="454"/>
      <c r="N576" s="454"/>
      <c r="O576" s="454"/>
      <c r="P576" s="454"/>
      <c r="Q576" s="454"/>
      <c r="R576" s="454"/>
      <c r="S576" s="454"/>
      <c r="T576" s="454"/>
      <c r="U576" s="454"/>
      <c r="V576" s="454"/>
      <c r="W576" s="454"/>
      <c r="X576" s="454"/>
      <c r="Y576" s="454"/>
      <c r="Z576" s="454"/>
      <c r="AA576" s="454"/>
      <c r="AB576" s="454"/>
    </row>
    <row r="577" spans="1:28">
      <c r="A577" s="331"/>
      <c r="B577" s="332"/>
      <c r="C577" s="454"/>
      <c r="D577" s="334"/>
      <c r="E577" s="333"/>
      <c r="F577" s="334"/>
      <c r="G577" s="334"/>
      <c r="H577" s="454"/>
      <c r="I577" s="455"/>
      <c r="J577" s="456"/>
      <c r="K577" s="456"/>
      <c r="L577" s="454"/>
      <c r="M577" s="454"/>
      <c r="N577" s="454"/>
      <c r="O577" s="454"/>
      <c r="P577" s="454"/>
      <c r="Q577" s="454"/>
      <c r="R577" s="454"/>
      <c r="S577" s="454"/>
      <c r="T577" s="454"/>
      <c r="U577" s="454"/>
      <c r="V577" s="454"/>
      <c r="W577" s="454"/>
      <c r="X577" s="454"/>
      <c r="Y577" s="454"/>
      <c r="Z577" s="454"/>
      <c r="AA577" s="454"/>
      <c r="AB577" s="454"/>
    </row>
    <row r="578" spans="1:28">
      <c r="A578" s="331"/>
      <c r="B578" s="332"/>
      <c r="C578" s="454"/>
      <c r="D578" s="334"/>
      <c r="E578" s="333"/>
      <c r="F578" s="334"/>
      <c r="G578" s="334"/>
      <c r="H578" s="454"/>
      <c r="I578" s="455"/>
      <c r="J578" s="456"/>
      <c r="K578" s="456"/>
      <c r="L578" s="454"/>
      <c r="M578" s="454"/>
      <c r="N578" s="454"/>
      <c r="O578" s="454"/>
      <c r="P578" s="454"/>
      <c r="Q578" s="454"/>
      <c r="R578" s="454"/>
      <c r="S578" s="454"/>
      <c r="T578" s="454"/>
      <c r="U578" s="454"/>
      <c r="V578" s="454"/>
      <c r="W578" s="454"/>
      <c r="X578" s="454"/>
      <c r="Y578" s="454"/>
      <c r="Z578" s="454"/>
      <c r="AA578" s="454"/>
      <c r="AB578" s="454"/>
    </row>
    <row r="579" spans="1:28">
      <c r="A579" s="331"/>
      <c r="B579" s="332"/>
      <c r="C579" s="454"/>
      <c r="D579" s="334"/>
      <c r="E579" s="333"/>
      <c r="F579" s="334"/>
      <c r="G579" s="334"/>
      <c r="H579" s="454"/>
      <c r="I579" s="455"/>
      <c r="J579" s="456"/>
      <c r="K579" s="456"/>
      <c r="L579" s="454"/>
      <c r="M579" s="454"/>
      <c r="N579" s="454"/>
      <c r="O579" s="454"/>
      <c r="P579" s="454"/>
      <c r="Q579" s="454"/>
      <c r="R579" s="454"/>
      <c r="S579" s="454"/>
      <c r="T579" s="454"/>
      <c r="U579" s="454"/>
      <c r="V579" s="454"/>
      <c r="W579" s="454"/>
      <c r="X579" s="454"/>
      <c r="Y579" s="454"/>
      <c r="Z579" s="454"/>
      <c r="AA579" s="454"/>
      <c r="AB579" s="454"/>
    </row>
    <row r="580" spans="1:28">
      <c r="A580" s="331"/>
      <c r="B580" s="332"/>
      <c r="C580" s="454"/>
      <c r="D580" s="334"/>
      <c r="E580" s="333"/>
      <c r="F580" s="334"/>
      <c r="G580" s="334"/>
      <c r="H580" s="454"/>
      <c r="I580" s="455"/>
      <c r="J580" s="456"/>
      <c r="K580" s="456"/>
      <c r="L580" s="454"/>
      <c r="M580" s="454"/>
      <c r="N580" s="454"/>
      <c r="O580" s="454"/>
      <c r="P580" s="454"/>
      <c r="Q580" s="454"/>
      <c r="R580" s="454"/>
      <c r="S580" s="454"/>
      <c r="T580" s="454"/>
      <c r="U580" s="454"/>
      <c r="V580" s="454"/>
      <c r="W580" s="454"/>
      <c r="X580" s="454"/>
      <c r="Y580" s="454"/>
      <c r="Z580" s="454"/>
      <c r="AA580" s="454"/>
      <c r="AB580" s="454"/>
    </row>
    <row r="581" spans="1:28">
      <c r="A581" s="331"/>
      <c r="B581" s="332"/>
      <c r="C581" s="454"/>
      <c r="D581" s="334"/>
      <c r="E581" s="333"/>
      <c r="F581" s="334"/>
      <c r="G581" s="334"/>
      <c r="H581" s="454"/>
      <c r="I581" s="455"/>
      <c r="J581" s="456"/>
      <c r="K581" s="456"/>
      <c r="L581" s="454"/>
      <c r="M581" s="454"/>
      <c r="N581" s="454"/>
      <c r="O581" s="454"/>
      <c r="P581" s="454"/>
      <c r="Q581" s="454"/>
      <c r="R581" s="454"/>
      <c r="S581" s="454"/>
      <c r="T581" s="454"/>
      <c r="U581" s="454"/>
      <c r="V581" s="454"/>
      <c r="W581" s="454"/>
      <c r="X581" s="454"/>
      <c r="Y581" s="454"/>
      <c r="Z581" s="454"/>
      <c r="AA581" s="454"/>
      <c r="AB581" s="454"/>
    </row>
    <row r="582" spans="1:28">
      <c r="A582" s="331"/>
      <c r="B582" s="332"/>
      <c r="C582" s="454"/>
      <c r="D582" s="334"/>
      <c r="E582" s="333"/>
      <c r="F582" s="334"/>
      <c r="G582" s="334"/>
      <c r="H582" s="454"/>
      <c r="I582" s="455"/>
      <c r="J582" s="456"/>
      <c r="K582" s="456"/>
      <c r="L582" s="454"/>
      <c r="M582" s="454"/>
      <c r="N582" s="454"/>
      <c r="O582" s="454"/>
      <c r="P582" s="454"/>
      <c r="Q582" s="454"/>
      <c r="R582" s="454"/>
      <c r="S582" s="454"/>
      <c r="T582" s="454"/>
      <c r="U582" s="454"/>
      <c r="V582" s="454"/>
      <c r="W582" s="454"/>
      <c r="X582" s="454"/>
      <c r="Y582" s="454"/>
      <c r="Z582" s="454"/>
      <c r="AA582" s="454"/>
      <c r="AB582" s="454"/>
    </row>
    <row r="583" spans="1:28">
      <c r="A583" s="331"/>
      <c r="B583" s="332"/>
      <c r="C583" s="454"/>
      <c r="D583" s="334"/>
      <c r="E583" s="333"/>
      <c r="F583" s="334"/>
      <c r="G583" s="334"/>
      <c r="H583" s="454"/>
      <c r="I583" s="455"/>
      <c r="J583" s="456"/>
      <c r="K583" s="456"/>
      <c r="L583" s="454"/>
      <c r="M583" s="454"/>
      <c r="N583" s="454"/>
      <c r="O583" s="454"/>
      <c r="P583" s="454"/>
      <c r="Q583" s="454"/>
      <c r="R583" s="454"/>
      <c r="S583" s="454"/>
      <c r="T583" s="454"/>
      <c r="U583" s="454"/>
      <c r="V583" s="454"/>
      <c r="W583" s="454"/>
      <c r="X583" s="454"/>
      <c r="Y583" s="454"/>
      <c r="Z583" s="454"/>
      <c r="AA583" s="454"/>
      <c r="AB583" s="454"/>
    </row>
    <row r="584" spans="1:28">
      <c r="A584" s="331"/>
      <c r="B584" s="332"/>
      <c r="C584" s="454"/>
      <c r="D584" s="334"/>
      <c r="E584" s="333"/>
      <c r="F584" s="334"/>
      <c r="G584" s="334"/>
      <c r="H584" s="454"/>
      <c r="I584" s="455"/>
      <c r="J584" s="456"/>
      <c r="K584" s="456"/>
      <c r="L584" s="454"/>
      <c r="M584" s="454"/>
      <c r="N584" s="454"/>
      <c r="O584" s="454"/>
      <c r="P584" s="454"/>
      <c r="Q584" s="454"/>
      <c r="R584" s="454"/>
      <c r="S584" s="454"/>
      <c r="T584" s="454"/>
      <c r="U584" s="454"/>
      <c r="V584" s="454"/>
      <c r="W584" s="454"/>
      <c r="X584" s="454"/>
      <c r="Y584" s="454"/>
      <c r="Z584" s="454"/>
      <c r="AA584" s="454"/>
      <c r="AB584" s="454"/>
    </row>
    <row r="585" spans="1:28">
      <c r="A585" s="331"/>
      <c r="B585" s="332"/>
      <c r="C585" s="454"/>
      <c r="D585" s="334"/>
      <c r="E585" s="333"/>
      <c r="F585" s="334"/>
      <c r="G585" s="334"/>
      <c r="H585" s="454"/>
      <c r="I585" s="455"/>
      <c r="J585" s="456"/>
      <c r="K585" s="456"/>
      <c r="L585" s="454"/>
      <c r="M585" s="454"/>
      <c r="N585" s="454"/>
      <c r="O585" s="454"/>
      <c r="P585" s="454"/>
      <c r="Q585" s="454"/>
      <c r="R585" s="454"/>
      <c r="S585" s="454"/>
      <c r="T585" s="454"/>
      <c r="U585" s="454"/>
      <c r="V585" s="454"/>
      <c r="W585" s="454"/>
      <c r="X585" s="454"/>
      <c r="Y585" s="454"/>
      <c r="Z585" s="454"/>
      <c r="AA585" s="454"/>
      <c r="AB585" s="454"/>
    </row>
    <row r="586" spans="1:28">
      <c r="A586" s="331"/>
      <c r="B586" s="332"/>
      <c r="C586" s="454"/>
      <c r="D586" s="334"/>
      <c r="E586" s="333"/>
      <c r="F586" s="334"/>
      <c r="G586" s="334"/>
      <c r="H586" s="454"/>
      <c r="I586" s="455"/>
      <c r="J586" s="456"/>
      <c r="K586" s="456"/>
      <c r="L586" s="454"/>
      <c r="M586" s="454"/>
      <c r="N586" s="454"/>
      <c r="O586" s="454"/>
      <c r="P586" s="454"/>
      <c r="Q586" s="454"/>
      <c r="R586" s="454"/>
      <c r="S586" s="454"/>
      <c r="T586" s="454"/>
      <c r="U586" s="454"/>
      <c r="V586" s="454"/>
      <c r="W586" s="454"/>
      <c r="X586" s="454"/>
      <c r="Y586" s="454"/>
      <c r="Z586" s="454"/>
      <c r="AA586" s="454"/>
      <c r="AB586" s="454"/>
    </row>
    <row r="587" spans="1:28">
      <c r="A587" s="331"/>
      <c r="B587" s="332"/>
      <c r="C587" s="454"/>
      <c r="D587" s="334"/>
      <c r="E587" s="333"/>
      <c r="F587" s="334"/>
      <c r="G587" s="334"/>
      <c r="H587" s="454"/>
      <c r="I587" s="455"/>
      <c r="J587" s="456"/>
      <c r="K587" s="456"/>
      <c r="L587" s="454"/>
      <c r="M587" s="454"/>
      <c r="N587" s="454"/>
      <c r="O587" s="454"/>
      <c r="P587" s="454"/>
      <c r="Q587" s="454"/>
      <c r="R587" s="454"/>
      <c r="S587" s="454"/>
      <c r="T587" s="454"/>
      <c r="U587" s="454"/>
      <c r="V587" s="454"/>
      <c r="W587" s="454"/>
      <c r="X587" s="454"/>
      <c r="Y587" s="454"/>
      <c r="Z587" s="454"/>
      <c r="AA587" s="454"/>
      <c r="AB587" s="454"/>
    </row>
    <row r="588" spans="1:28">
      <c r="A588" s="331"/>
      <c r="B588" s="332"/>
      <c r="C588" s="454"/>
      <c r="D588" s="334"/>
      <c r="E588" s="333"/>
      <c r="F588" s="334"/>
      <c r="G588" s="334"/>
      <c r="H588" s="454"/>
      <c r="I588" s="455"/>
      <c r="J588" s="456"/>
      <c r="K588" s="456"/>
      <c r="L588" s="454"/>
      <c r="M588" s="454"/>
      <c r="N588" s="454"/>
      <c r="O588" s="454"/>
      <c r="P588" s="454"/>
      <c r="Q588" s="454"/>
      <c r="R588" s="454"/>
      <c r="S588" s="454"/>
      <c r="T588" s="454"/>
      <c r="U588" s="454"/>
      <c r="V588" s="454"/>
      <c r="W588" s="454"/>
      <c r="X588" s="454"/>
      <c r="Y588" s="454"/>
      <c r="Z588" s="454"/>
      <c r="AA588" s="454"/>
      <c r="AB588" s="454"/>
    </row>
    <row r="589" spans="1:28">
      <c r="A589" s="331"/>
      <c r="B589" s="332"/>
      <c r="C589" s="454"/>
      <c r="D589" s="334"/>
      <c r="E589" s="333"/>
      <c r="F589" s="334"/>
      <c r="G589" s="334"/>
      <c r="H589" s="454"/>
      <c r="I589" s="455"/>
      <c r="J589" s="456"/>
      <c r="K589" s="456"/>
      <c r="L589" s="454"/>
      <c r="M589" s="454"/>
      <c r="N589" s="454"/>
      <c r="O589" s="454"/>
      <c r="P589" s="454"/>
      <c r="Q589" s="454"/>
      <c r="R589" s="454"/>
      <c r="S589" s="454"/>
      <c r="T589" s="454"/>
      <c r="U589" s="454"/>
      <c r="V589" s="454"/>
      <c r="W589" s="454"/>
      <c r="X589" s="454"/>
      <c r="Y589" s="454"/>
      <c r="Z589" s="454"/>
      <c r="AA589" s="454"/>
      <c r="AB589" s="454"/>
    </row>
    <row r="590" spans="1:28">
      <c r="A590" s="331"/>
      <c r="B590" s="332"/>
      <c r="C590" s="454"/>
      <c r="D590" s="334"/>
      <c r="E590" s="333"/>
      <c r="F590" s="334"/>
      <c r="G590" s="336"/>
      <c r="H590" s="454"/>
      <c r="I590" s="455"/>
      <c r="J590" s="456"/>
      <c r="K590" s="456"/>
      <c r="L590" s="454"/>
      <c r="M590" s="454"/>
      <c r="N590" s="454"/>
      <c r="O590" s="454"/>
      <c r="P590" s="454"/>
      <c r="Q590" s="454"/>
      <c r="R590" s="454"/>
      <c r="S590" s="454"/>
      <c r="T590" s="454"/>
      <c r="U590" s="454"/>
      <c r="V590" s="454"/>
      <c r="W590" s="454"/>
      <c r="X590" s="454"/>
      <c r="Y590" s="454"/>
      <c r="Z590" s="454"/>
      <c r="AA590" s="454"/>
      <c r="AB590" s="454"/>
    </row>
    <row r="591" spans="1:28">
      <c r="A591" s="331"/>
      <c r="B591" s="332"/>
      <c r="C591" s="454"/>
      <c r="D591" s="334"/>
      <c r="E591" s="333"/>
      <c r="F591" s="333"/>
      <c r="G591" s="336"/>
      <c r="H591" s="454"/>
      <c r="I591" s="455"/>
      <c r="J591" s="456"/>
      <c r="K591" s="456"/>
      <c r="L591" s="454"/>
      <c r="M591" s="454"/>
      <c r="N591" s="454"/>
      <c r="O591" s="454"/>
      <c r="P591" s="454"/>
      <c r="Q591" s="454"/>
      <c r="R591" s="454"/>
      <c r="S591" s="454"/>
      <c r="T591" s="454"/>
      <c r="U591" s="454"/>
      <c r="V591" s="454"/>
      <c r="W591" s="454"/>
      <c r="X591" s="454"/>
      <c r="Y591" s="454"/>
      <c r="Z591" s="454"/>
      <c r="AA591" s="454"/>
      <c r="AB591" s="454"/>
    </row>
    <row r="592" spans="1:28">
      <c r="A592" s="331"/>
      <c r="B592" s="332"/>
      <c r="C592" s="454"/>
      <c r="D592" s="334"/>
      <c r="E592" s="333"/>
      <c r="F592" s="334"/>
      <c r="G592" s="336"/>
      <c r="H592" s="454"/>
      <c r="I592" s="455"/>
      <c r="J592" s="456"/>
      <c r="K592" s="456"/>
      <c r="L592" s="454"/>
      <c r="M592" s="454"/>
      <c r="N592" s="454"/>
      <c r="O592" s="454"/>
      <c r="P592" s="454"/>
      <c r="Q592" s="454"/>
      <c r="R592" s="454"/>
      <c r="S592" s="454"/>
      <c r="T592" s="454"/>
      <c r="U592" s="454"/>
      <c r="V592" s="454"/>
      <c r="W592" s="454"/>
      <c r="X592" s="454"/>
      <c r="Y592" s="454"/>
      <c r="Z592" s="454"/>
      <c r="AA592" s="454"/>
      <c r="AB592" s="454"/>
    </row>
    <row r="593" spans="1:28">
      <c r="A593" s="331"/>
      <c r="B593" s="332"/>
      <c r="C593" s="454"/>
      <c r="D593" s="334"/>
      <c r="E593" s="333"/>
      <c r="F593" s="334"/>
      <c r="G593" s="336"/>
      <c r="H593" s="454"/>
      <c r="I593" s="455"/>
      <c r="J593" s="456"/>
      <c r="K593" s="456"/>
      <c r="L593" s="454"/>
      <c r="M593" s="454"/>
      <c r="N593" s="454"/>
      <c r="O593" s="454"/>
      <c r="P593" s="454"/>
      <c r="Q593" s="454"/>
      <c r="R593" s="454"/>
      <c r="S593" s="454"/>
      <c r="T593" s="454"/>
      <c r="U593" s="454"/>
      <c r="V593" s="454"/>
      <c r="W593" s="454"/>
      <c r="X593" s="454"/>
      <c r="Y593" s="454"/>
      <c r="Z593" s="454"/>
      <c r="AA593" s="454"/>
      <c r="AB593" s="454"/>
    </row>
    <row r="594" spans="1:28">
      <c r="A594" s="331"/>
      <c r="B594" s="332"/>
      <c r="C594" s="454"/>
      <c r="D594" s="336"/>
      <c r="E594" s="333"/>
      <c r="F594" s="336"/>
      <c r="G594" s="336"/>
      <c r="H594" s="454"/>
      <c r="I594" s="455"/>
      <c r="J594" s="456"/>
      <c r="K594" s="456"/>
      <c r="L594" s="454"/>
      <c r="M594" s="454"/>
      <c r="N594" s="454"/>
      <c r="O594" s="454"/>
      <c r="P594" s="454"/>
      <c r="Q594" s="454"/>
      <c r="R594" s="454"/>
      <c r="S594" s="454"/>
      <c r="T594" s="454"/>
      <c r="U594" s="454"/>
      <c r="V594" s="454"/>
      <c r="W594" s="454"/>
      <c r="X594" s="454"/>
      <c r="Y594" s="454"/>
      <c r="Z594" s="454"/>
      <c r="AA594" s="454"/>
      <c r="AB594" s="454"/>
    </row>
    <row r="595" spans="1:28">
      <c r="A595" s="331"/>
      <c r="B595" s="332"/>
      <c r="C595" s="454"/>
      <c r="D595" s="334"/>
      <c r="E595" s="333"/>
      <c r="F595" s="334"/>
      <c r="G595" s="336"/>
      <c r="H595" s="454"/>
      <c r="I595" s="455"/>
      <c r="J595" s="456"/>
      <c r="K595" s="456"/>
      <c r="L595" s="454"/>
      <c r="M595" s="454"/>
      <c r="N595" s="454"/>
      <c r="O595" s="454"/>
      <c r="P595" s="454"/>
      <c r="Q595" s="454"/>
      <c r="R595" s="454"/>
      <c r="S595" s="454"/>
      <c r="T595" s="454"/>
      <c r="U595" s="454"/>
      <c r="V595" s="454"/>
      <c r="W595" s="454"/>
      <c r="X595" s="454"/>
      <c r="Y595" s="454"/>
      <c r="Z595" s="454"/>
      <c r="AA595" s="454"/>
      <c r="AB595" s="454"/>
    </row>
    <row r="596" spans="1:28">
      <c r="A596" s="331"/>
      <c r="B596" s="332"/>
      <c r="C596" s="454"/>
      <c r="D596" s="334"/>
      <c r="E596" s="333"/>
      <c r="F596" s="334"/>
      <c r="G596" s="334"/>
      <c r="H596" s="454"/>
      <c r="I596" s="455"/>
      <c r="J596" s="456"/>
      <c r="K596" s="456"/>
      <c r="L596" s="454"/>
      <c r="M596" s="454"/>
      <c r="N596" s="454"/>
      <c r="O596" s="454"/>
      <c r="P596" s="454"/>
      <c r="Q596" s="454"/>
      <c r="R596" s="454"/>
      <c r="S596" s="454"/>
      <c r="T596" s="454"/>
      <c r="U596" s="454"/>
      <c r="V596" s="454"/>
      <c r="W596" s="454"/>
      <c r="X596" s="454"/>
      <c r="Y596" s="454"/>
      <c r="Z596" s="454"/>
      <c r="AA596" s="454"/>
      <c r="AB596" s="454"/>
    </row>
    <row r="597" spans="1:28">
      <c r="A597" s="331"/>
      <c r="B597" s="332"/>
      <c r="C597" s="454"/>
      <c r="D597" s="334"/>
      <c r="E597" s="333"/>
      <c r="F597" s="334"/>
      <c r="G597" s="334"/>
      <c r="H597" s="454"/>
      <c r="I597" s="455"/>
      <c r="J597" s="456"/>
      <c r="K597" s="456"/>
      <c r="L597" s="454"/>
      <c r="M597" s="454"/>
      <c r="N597" s="454"/>
      <c r="O597" s="454"/>
      <c r="P597" s="454"/>
      <c r="Q597" s="454"/>
      <c r="R597" s="454"/>
      <c r="S597" s="454"/>
      <c r="T597" s="454"/>
      <c r="U597" s="454"/>
      <c r="V597" s="454"/>
      <c r="W597" s="454"/>
      <c r="X597" s="454"/>
      <c r="Y597" s="454"/>
      <c r="Z597" s="454"/>
      <c r="AA597" s="454"/>
      <c r="AB597" s="454"/>
    </row>
    <row r="598" spans="1:28">
      <c r="A598" s="331"/>
      <c r="B598" s="332"/>
      <c r="C598" s="454"/>
      <c r="D598" s="334"/>
      <c r="E598" s="333"/>
      <c r="F598" s="334"/>
      <c r="G598" s="334"/>
      <c r="H598" s="454"/>
      <c r="I598" s="455"/>
      <c r="J598" s="456"/>
      <c r="K598" s="456"/>
      <c r="L598" s="454"/>
      <c r="M598" s="454"/>
      <c r="N598" s="454"/>
      <c r="O598" s="454"/>
      <c r="P598" s="454"/>
      <c r="Q598" s="454"/>
      <c r="R598" s="454"/>
      <c r="S598" s="454"/>
      <c r="T598" s="454"/>
      <c r="U598" s="454"/>
      <c r="V598" s="454"/>
      <c r="W598" s="454"/>
      <c r="X598" s="454"/>
      <c r="Y598" s="454"/>
      <c r="Z598" s="454"/>
      <c r="AA598" s="454"/>
      <c r="AB598" s="454"/>
    </row>
    <row r="599" spans="1:28">
      <c r="A599" s="331"/>
      <c r="B599" s="332"/>
      <c r="C599" s="454"/>
      <c r="D599" s="334"/>
      <c r="E599" s="333"/>
      <c r="F599" s="334"/>
      <c r="G599" s="334"/>
      <c r="H599" s="454"/>
      <c r="I599" s="455"/>
      <c r="J599" s="456"/>
      <c r="K599" s="456"/>
      <c r="L599" s="454"/>
      <c r="M599" s="454"/>
      <c r="N599" s="454"/>
      <c r="O599" s="454"/>
      <c r="P599" s="454"/>
      <c r="Q599" s="454"/>
      <c r="R599" s="454"/>
      <c r="S599" s="454"/>
      <c r="T599" s="454"/>
      <c r="U599" s="454"/>
      <c r="V599" s="454"/>
      <c r="W599" s="454"/>
      <c r="X599" s="454"/>
      <c r="Y599" s="454"/>
      <c r="Z599" s="454"/>
      <c r="AA599" s="454"/>
      <c r="AB599" s="454"/>
    </row>
    <row r="600" spans="1:28">
      <c r="A600" s="331"/>
      <c r="B600" s="332"/>
      <c r="C600" s="454"/>
      <c r="D600" s="334"/>
      <c r="E600" s="333"/>
      <c r="F600" s="334"/>
      <c r="G600" s="334"/>
      <c r="H600" s="454"/>
      <c r="I600" s="455"/>
      <c r="J600" s="456"/>
      <c r="K600" s="456"/>
      <c r="L600" s="454"/>
      <c r="M600" s="454"/>
      <c r="N600" s="454"/>
      <c r="O600" s="454"/>
      <c r="P600" s="454"/>
      <c r="Q600" s="454"/>
      <c r="R600" s="454"/>
      <c r="S600" s="454"/>
      <c r="T600" s="454"/>
      <c r="U600" s="454"/>
      <c r="V600" s="454"/>
      <c r="W600" s="454"/>
      <c r="X600" s="454"/>
      <c r="Y600" s="454"/>
      <c r="Z600" s="454"/>
      <c r="AA600" s="454"/>
      <c r="AB600" s="454"/>
    </row>
    <row r="601" spans="1:28">
      <c r="A601" s="331"/>
      <c r="B601" s="332"/>
      <c r="C601" s="454"/>
      <c r="D601" s="333"/>
      <c r="E601" s="333"/>
      <c r="F601" s="333"/>
      <c r="G601" s="333"/>
      <c r="H601" s="454"/>
      <c r="I601" s="455"/>
      <c r="J601" s="456"/>
      <c r="K601" s="456"/>
      <c r="L601" s="454"/>
      <c r="M601" s="454"/>
      <c r="N601" s="454"/>
      <c r="O601" s="454"/>
      <c r="P601" s="454"/>
      <c r="Q601" s="454"/>
      <c r="R601" s="454"/>
      <c r="S601" s="454"/>
      <c r="T601" s="454"/>
      <c r="U601" s="454"/>
      <c r="V601" s="454"/>
      <c r="W601" s="454"/>
      <c r="X601" s="454"/>
      <c r="Y601" s="454"/>
      <c r="Z601" s="454"/>
      <c r="AA601" s="454"/>
      <c r="AB601" s="454"/>
    </row>
    <row r="602" spans="1:28">
      <c r="A602" s="331"/>
      <c r="B602" s="332"/>
      <c r="C602" s="454"/>
      <c r="D602" s="333"/>
      <c r="E602" s="333"/>
      <c r="F602" s="333"/>
      <c r="G602" s="333"/>
      <c r="H602" s="454"/>
      <c r="I602" s="455"/>
      <c r="J602" s="456"/>
      <c r="K602" s="456"/>
      <c r="L602" s="454"/>
      <c r="M602" s="454"/>
      <c r="N602" s="454"/>
      <c r="O602" s="454"/>
      <c r="P602" s="454"/>
      <c r="Q602" s="454"/>
      <c r="R602" s="454"/>
      <c r="S602" s="454"/>
      <c r="T602" s="454"/>
      <c r="U602" s="454"/>
      <c r="V602" s="454"/>
      <c r="W602" s="454"/>
      <c r="X602" s="454"/>
      <c r="Y602" s="454"/>
      <c r="Z602" s="454"/>
      <c r="AA602" s="454"/>
      <c r="AB602" s="454"/>
    </row>
    <row r="603" spans="1:28">
      <c r="A603" s="331"/>
      <c r="B603" s="332"/>
      <c r="C603" s="454"/>
      <c r="D603" s="333"/>
      <c r="E603" s="333"/>
      <c r="F603" s="333"/>
      <c r="G603" s="333"/>
      <c r="H603" s="454"/>
      <c r="I603" s="455"/>
      <c r="J603" s="456"/>
      <c r="K603" s="456"/>
      <c r="L603" s="454"/>
      <c r="M603" s="454"/>
      <c r="N603" s="454"/>
      <c r="O603" s="454"/>
      <c r="P603" s="454"/>
      <c r="Q603" s="454"/>
      <c r="R603" s="454"/>
      <c r="S603" s="454"/>
      <c r="T603" s="454"/>
      <c r="U603" s="454"/>
      <c r="V603" s="454"/>
      <c r="W603" s="454"/>
      <c r="X603" s="454"/>
      <c r="Y603" s="454"/>
      <c r="Z603" s="454"/>
      <c r="AA603" s="454"/>
      <c r="AB603" s="454"/>
    </row>
    <row r="604" spans="1:28">
      <c r="A604" s="331"/>
      <c r="B604" s="332"/>
      <c r="C604" s="454"/>
      <c r="D604" s="333"/>
      <c r="E604" s="333"/>
      <c r="F604" s="333"/>
      <c r="G604" s="333"/>
      <c r="H604" s="454"/>
      <c r="I604" s="455"/>
      <c r="J604" s="456"/>
      <c r="K604" s="456"/>
      <c r="L604" s="454"/>
      <c r="M604" s="454"/>
      <c r="N604" s="454"/>
      <c r="O604" s="454"/>
      <c r="P604" s="454"/>
      <c r="Q604" s="454"/>
      <c r="R604" s="454"/>
      <c r="S604" s="454"/>
      <c r="T604" s="454"/>
      <c r="U604" s="454"/>
      <c r="V604" s="454"/>
      <c r="W604" s="454"/>
      <c r="X604" s="454"/>
      <c r="Y604" s="454"/>
      <c r="Z604" s="454"/>
      <c r="AA604" s="454"/>
      <c r="AB604" s="454"/>
    </row>
    <row r="605" spans="1:28">
      <c r="A605" s="331"/>
      <c r="B605" s="332"/>
      <c r="C605" s="454"/>
      <c r="D605" s="333"/>
      <c r="E605" s="333"/>
      <c r="F605" s="333"/>
      <c r="G605" s="333"/>
      <c r="H605" s="454"/>
      <c r="I605" s="455"/>
      <c r="J605" s="456"/>
      <c r="K605" s="456"/>
      <c r="L605" s="454"/>
      <c r="M605" s="454"/>
      <c r="N605" s="454"/>
      <c r="O605" s="454"/>
      <c r="P605" s="454"/>
      <c r="Q605" s="454"/>
      <c r="R605" s="454"/>
      <c r="S605" s="454"/>
      <c r="T605" s="454"/>
      <c r="U605" s="454"/>
      <c r="V605" s="454"/>
      <c r="W605" s="454"/>
      <c r="X605" s="454"/>
      <c r="Y605" s="454"/>
      <c r="Z605" s="454"/>
      <c r="AA605" s="454"/>
      <c r="AB605" s="454"/>
    </row>
    <row r="606" spans="1:28">
      <c r="A606" s="331"/>
      <c r="B606" s="332"/>
      <c r="C606" s="454"/>
      <c r="D606" s="333"/>
      <c r="E606" s="333"/>
      <c r="F606" s="333"/>
      <c r="G606" s="333"/>
      <c r="H606" s="454"/>
      <c r="I606" s="455"/>
      <c r="J606" s="456"/>
      <c r="K606" s="456"/>
      <c r="L606" s="454"/>
      <c r="M606" s="454"/>
      <c r="N606" s="454"/>
      <c r="O606" s="454"/>
      <c r="P606" s="454"/>
      <c r="Q606" s="454"/>
      <c r="R606" s="454"/>
      <c r="S606" s="454"/>
      <c r="T606" s="454"/>
      <c r="U606" s="454"/>
      <c r="V606" s="454"/>
      <c r="W606" s="454"/>
      <c r="X606" s="454"/>
      <c r="Y606" s="454"/>
      <c r="Z606" s="454"/>
      <c r="AA606" s="454"/>
      <c r="AB606" s="454"/>
    </row>
    <row r="607" spans="1:28">
      <c r="A607" s="331"/>
      <c r="B607" s="332"/>
      <c r="C607" s="454"/>
      <c r="D607" s="333"/>
      <c r="E607" s="333"/>
      <c r="F607" s="333"/>
      <c r="G607" s="333"/>
      <c r="H607" s="454"/>
      <c r="I607" s="455"/>
      <c r="J607" s="456"/>
      <c r="K607" s="456"/>
      <c r="L607" s="454"/>
      <c r="M607" s="454"/>
      <c r="N607" s="454"/>
      <c r="O607" s="454"/>
      <c r="P607" s="454"/>
      <c r="Q607" s="454"/>
      <c r="R607" s="454"/>
      <c r="S607" s="454"/>
      <c r="T607" s="454"/>
      <c r="U607" s="454"/>
      <c r="V607" s="454"/>
      <c r="W607" s="454"/>
      <c r="X607" s="454"/>
      <c r="Y607" s="454"/>
      <c r="Z607" s="454"/>
      <c r="AA607" s="454"/>
      <c r="AB607" s="454"/>
    </row>
    <row r="608" spans="1:28">
      <c r="A608" s="331"/>
      <c r="B608" s="332"/>
      <c r="C608" s="454"/>
      <c r="D608" s="333"/>
      <c r="E608" s="333"/>
      <c r="F608" s="333"/>
      <c r="G608" s="333"/>
      <c r="H608" s="454"/>
      <c r="I608" s="455"/>
      <c r="J608" s="456"/>
      <c r="K608" s="456"/>
      <c r="L608" s="454"/>
      <c r="M608" s="454"/>
      <c r="N608" s="454"/>
      <c r="O608" s="454"/>
      <c r="P608" s="454"/>
      <c r="Q608" s="454"/>
      <c r="R608" s="454"/>
      <c r="S608" s="454"/>
      <c r="T608" s="454"/>
      <c r="U608" s="454"/>
      <c r="V608" s="454"/>
      <c r="W608" s="454"/>
      <c r="X608" s="454"/>
      <c r="Y608" s="454"/>
      <c r="Z608" s="454"/>
      <c r="AA608" s="454"/>
      <c r="AB608" s="454"/>
    </row>
    <row r="609" spans="1:28">
      <c r="A609" s="331"/>
      <c r="B609" s="332"/>
      <c r="C609" s="454"/>
      <c r="D609" s="333"/>
      <c r="E609" s="333"/>
      <c r="F609" s="333"/>
      <c r="G609" s="333"/>
      <c r="H609" s="454"/>
      <c r="I609" s="455"/>
      <c r="J609" s="456"/>
      <c r="K609" s="456"/>
      <c r="L609" s="454"/>
      <c r="M609" s="454"/>
      <c r="N609" s="454"/>
      <c r="O609" s="454"/>
      <c r="P609" s="454"/>
      <c r="Q609" s="454"/>
      <c r="R609" s="454"/>
      <c r="S609" s="454"/>
      <c r="T609" s="454"/>
      <c r="U609" s="454"/>
      <c r="V609" s="454"/>
      <c r="W609" s="454"/>
      <c r="X609" s="454"/>
      <c r="Y609" s="454"/>
      <c r="Z609" s="454"/>
      <c r="AA609" s="454"/>
      <c r="AB609" s="454"/>
    </row>
    <row r="610" spans="1:28">
      <c r="A610" s="331"/>
      <c r="B610" s="332"/>
      <c r="C610" s="454"/>
      <c r="D610" s="333"/>
      <c r="E610" s="333"/>
      <c r="F610" s="333"/>
      <c r="G610" s="333"/>
      <c r="H610" s="454"/>
      <c r="I610" s="455"/>
      <c r="J610" s="456"/>
      <c r="K610" s="456"/>
      <c r="L610" s="454"/>
      <c r="M610" s="454"/>
      <c r="N610" s="454"/>
      <c r="O610" s="454"/>
      <c r="P610" s="454"/>
      <c r="Q610" s="454"/>
      <c r="R610" s="454"/>
      <c r="S610" s="454"/>
      <c r="T610" s="454"/>
      <c r="U610" s="454"/>
      <c r="V610" s="454"/>
      <c r="W610" s="454"/>
      <c r="X610" s="454"/>
      <c r="Y610" s="454"/>
      <c r="Z610" s="454"/>
      <c r="AA610" s="454"/>
      <c r="AB610" s="454"/>
    </row>
    <row r="611" spans="1:28">
      <c r="A611" s="331"/>
      <c r="B611" s="332"/>
      <c r="C611" s="454"/>
      <c r="D611" s="334"/>
      <c r="E611" s="333"/>
      <c r="F611" s="334"/>
      <c r="G611" s="334"/>
      <c r="H611" s="454"/>
      <c r="I611" s="455"/>
      <c r="J611" s="456"/>
      <c r="K611" s="456"/>
      <c r="L611" s="454"/>
      <c r="M611" s="454"/>
      <c r="N611" s="454"/>
      <c r="O611" s="454"/>
      <c r="P611" s="454"/>
      <c r="Q611" s="454"/>
      <c r="R611" s="454"/>
      <c r="S611" s="454"/>
      <c r="T611" s="454"/>
      <c r="U611" s="454"/>
      <c r="V611" s="454"/>
      <c r="W611" s="454"/>
      <c r="X611" s="454"/>
      <c r="Y611" s="454"/>
      <c r="Z611" s="454"/>
      <c r="AA611" s="454"/>
      <c r="AB611" s="454"/>
    </row>
    <row r="612" spans="1:28">
      <c r="A612" s="331"/>
      <c r="B612" s="332"/>
      <c r="C612" s="454"/>
      <c r="D612" s="334"/>
      <c r="E612" s="333"/>
      <c r="F612" s="334"/>
      <c r="G612" s="334"/>
      <c r="H612" s="454"/>
      <c r="I612" s="455"/>
      <c r="J612" s="456"/>
      <c r="K612" s="456"/>
      <c r="L612" s="454"/>
      <c r="M612" s="454"/>
      <c r="N612" s="454"/>
      <c r="O612" s="454"/>
      <c r="P612" s="454"/>
      <c r="Q612" s="454"/>
      <c r="R612" s="454"/>
      <c r="S612" s="454"/>
      <c r="T612" s="454"/>
      <c r="U612" s="454"/>
      <c r="V612" s="454"/>
      <c r="W612" s="454"/>
      <c r="X612" s="454"/>
      <c r="Y612" s="454"/>
      <c r="Z612" s="454"/>
      <c r="AA612" s="454"/>
      <c r="AB612" s="454"/>
    </row>
    <row r="613" spans="1:28">
      <c r="A613" s="331"/>
      <c r="B613" s="332"/>
      <c r="C613" s="454"/>
      <c r="D613" s="333"/>
      <c r="E613" s="333"/>
      <c r="F613" s="333"/>
      <c r="G613" s="333"/>
      <c r="H613" s="454"/>
      <c r="I613" s="455"/>
      <c r="J613" s="456"/>
      <c r="K613" s="456"/>
      <c r="L613" s="454"/>
      <c r="M613" s="454"/>
      <c r="N613" s="454"/>
      <c r="O613" s="454"/>
      <c r="P613" s="454"/>
      <c r="Q613" s="454"/>
      <c r="R613" s="454"/>
      <c r="S613" s="454"/>
      <c r="T613" s="454"/>
      <c r="U613" s="454"/>
      <c r="V613" s="454"/>
      <c r="W613" s="454"/>
      <c r="X613" s="454"/>
      <c r="Y613" s="454"/>
      <c r="Z613" s="454"/>
      <c r="AA613" s="454"/>
      <c r="AB613" s="454"/>
    </row>
    <row r="614" spans="1:28">
      <c r="A614" s="331"/>
      <c r="B614" s="332"/>
      <c r="C614" s="454"/>
      <c r="D614" s="333"/>
      <c r="E614" s="333"/>
      <c r="F614" s="333"/>
      <c r="G614" s="333"/>
      <c r="H614" s="454"/>
      <c r="I614" s="455"/>
      <c r="J614" s="456"/>
      <c r="K614" s="456"/>
      <c r="L614" s="454"/>
      <c r="M614" s="454"/>
      <c r="N614" s="454"/>
      <c r="O614" s="454"/>
      <c r="P614" s="454"/>
      <c r="Q614" s="454"/>
      <c r="R614" s="454"/>
      <c r="S614" s="454"/>
      <c r="T614" s="454"/>
      <c r="U614" s="454"/>
      <c r="V614" s="454"/>
      <c r="W614" s="454"/>
      <c r="X614" s="454"/>
      <c r="Y614" s="454"/>
      <c r="Z614" s="454"/>
      <c r="AA614" s="454"/>
      <c r="AB614" s="454"/>
    </row>
    <row r="615" spans="1:28">
      <c r="A615" s="331"/>
      <c r="B615" s="332"/>
      <c r="C615" s="454"/>
      <c r="D615" s="333"/>
      <c r="E615" s="333"/>
      <c r="F615" s="333"/>
      <c r="G615" s="333"/>
      <c r="H615" s="454"/>
      <c r="I615" s="455"/>
      <c r="J615" s="456"/>
      <c r="K615" s="456"/>
      <c r="L615" s="454"/>
      <c r="M615" s="454"/>
      <c r="N615" s="454"/>
      <c r="O615" s="454"/>
      <c r="P615" s="454"/>
      <c r="Q615" s="454"/>
      <c r="R615" s="454"/>
      <c r="S615" s="454"/>
      <c r="T615" s="454"/>
      <c r="U615" s="454"/>
      <c r="V615" s="454"/>
      <c r="W615" s="454"/>
      <c r="X615" s="454"/>
      <c r="Y615" s="454"/>
      <c r="Z615" s="454"/>
      <c r="AA615" s="454"/>
      <c r="AB615" s="454"/>
    </row>
    <row r="616" spans="1:28">
      <c r="A616" s="331"/>
      <c r="B616" s="332"/>
      <c r="C616" s="454"/>
      <c r="D616" s="333"/>
      <c r="E616" s="333"/>
      <c r="F616" s="333"/>
      <c r="G616" s="333"/>
      <c r="H616" s="454"/>
      <c r="I616" s="455"/>
      <c r="J616" s="456"/>
      <c r="K616" s="456"/>
      <c r="L616" s="454"/>
      <c r="M616" s="454"/>
      <c r="N616" s="454"/>
      <c r="O616" s="454"/>
      <c r="P616" s="454"/>
      <c r="Q616" s="454"/>
      <c r="R616" s="454"/>
      <c r="S616" s="454"/>
      <c r="T616" s="454"/>
      <c r="U616" s="454"/>
      <c r="V616" s="454"/>
      <c r="W616" s="454"/>
      <c r="X616" s="454"/>
      <c r="Y616" s="454"/>
      <c r="Z616" s="454"/>
      <c r="AA616" s="454"/>
      <c r="AB616" s="454"/>
    </row>
    <row r="617" spans="1:28">
      <c r="A617" s="331"/>
      <c r="B617" s="332"/>
      <c r="C617" s="454"/>
      <c r="D617" s="337"/>
      <c r="E617" s="333"/>
      <c r="F617" s="337"/>
      <c r="G617" s="337"/>
      <c r="H617" s="454"/>
      <c r="I617" s="455"/>
      <c r="J617" s="456"/>
      <c r="K617" s="456"/>
      <c r="L617" s="454"/>
      <c r="M617" s="454"/>
      <c r="N617" s="454"/>
      <c r="O617" s="454"/>
      <c r="P617" s="454"/>
      <c r="Q617" s="454"/>
      <c r="R617" s="454"/>
      <c r="S617" s="454"/>
      <c r="T617" s="454"/>
      <c r="U617" s="454"/>
      <c r="V617" s="454"/>
      <c r="W617" s="454"/>
      <c r="X617" s="454"/>
      <c r="Y617" s="454"/>
      <c r="Z617" s="454"/>
      <c r="AA617" s="454"/>
      <c r="AB617" s="454"/>
    </row>
    <row r="618" spans="1:28">
      <c r="A618" s="331"/>
      <c r="B618" s="332"/>
      <c r="C618" s="454"/>
      <c r="D618" s="335"/>
      <c r="E618" s="333"/>
      <c r="F618" s="335"/>
      <c r="G618" s="335"/>
      <c r="H618" s="454"/>
      <c r="I618" s="455"/>
      <c r="J618" s="456"/>
      <c r="K618" s="456"/>
      <c r="L618" s="454"/>
      <c r="M618" s="454"/>
      <c r="N618" s="454"/>
      <c r="O618" s="454"/>
      <c r="P618" s="454"/>
      <c r="Q618" s="454"/>
      <c r="R618" s="454"/>
      <c r="S618" s="454"/>
      <c r="T618" s="454"/>
      <c r="U618" s="454"/>
      <c r="V618" s="454"/>
      <c r="W618" s="454"/>
      <c r="X618" s="454"/>
      <c r="Y618" s="454"/>
      <c r="Z618" s="454"/>
      <c r="AA618" s="454"/>
      <c r="AB618" s="454"/>
    </row>
    <row r="619" spans="1:28">
      <c r="A619" s="331"/>
      <c r="B619" s="332"/>
      <c r="C619" s="454"/>
      <c r="D619" s="336"/>
      <c r="E619" s="333"/>
      <c r="F619" s="336"/>
      <c r="G619" s="336"/>
      <c r="H619" s="454"/>
      <c r="I619" s="455"/>
      <c r="J619" s="456"/>
      <c r="K619" s="456"/>
      <c r="L619" s="454"/>
      <c r="M619" s="454"/>
      <c r="N619" s="454"/>
      <c r="O619" s="454"/>
      <c r="P619" s="454"/>
      <c r="Q619" s="454"/>
      <c r="R619" s="454"/>
      <c r="S619" s="454"/>
      <c r="T619" s="454"/>
      <c r="U619" s="454"/>
      <c r="V619" s="454"/>
      <c r="W619" s="454"/>
      <c r="X619" s="454"/>
      <c r="Y619" s="454"/>
      <c r="Z619" s="454"/>
      <c r="AA619" s="454"/>
      <c r="AB619" s="454"/>
    </row>
    <row r="620" spans="1:28">
      <c r="A620" s="331"/>
      <c r="B620" s="332"/>
      <c r="C620" s="454"/>
      <c r="D620" s="336"/>
      <c r="E620" s="333"/>
      <c r="F620" s="336"/>
      <c r="G620" s="336"/>
      <c r="H620" s="454"/>
      <c r="I620" s="455"/>
      <c r="J620" s="456"/>
      <c r="K620" s="456"/>
      <c r="L620" s="454"/>
      <c r="M620" s="454"/>
      <c r="N620" s="454"/>
      <c r="O620" s="454"/>
      <c r="P620" s="454"/>
      <c r="Q620" s="454"/>
      <c r="R620" s="454"/>
      <c r="S620" s="454"/>
      <c r="T620" s="454"/>
      <c r="U620" s="454"/>
      <c r="V620" s="454"/>
      <c r="W620" s="454"/>
      <c r="X620" s="454"/>
      <c r="Y620" s="454"/>
      <c r="Z620" s="454"/>
      <c r="AA620" s="454"/>
      <c r="AB620" s="454"/>
    </row>
    <row r="621" spans="1:28">
      <c r="A621" s="331"/>
      <c r="B621" s="332"/>
      <c r="C621" s="454"/>
      <c r="D621" s="334"/>
      <c r="E621" s="333"/>
      <c r="F621" s="334"/>
      <c r="G621" s="336"/>
      <c r="H621" s="454"/>
      <c r="I621" s="455"/>
      <c r="J621" s="456"/>
      <c r="K621" s="456"/>
      <c r="L621" s="454"/>
      <c r="M621" s="454"/>
      <c r="N621" s="454"/>
      <c r="O621" s="454"/>
      <c r="P621" s="454"/>
      <c r="Q621" s="454"/>
      <c r="R621" s="454"/>
      <c r="S621" s="454"/>
      <c r="T621" s="454"/>
      <c r="U621" s="454"/>
      <c r="V621" s="454"/>
      <c r="W621" s="454"/>
      <c r="X621" s="454"/>
      <c r="Y621" s="454"/>
      <c r="Z621" s="454"/>
      <c r="AA621" s="454"/>
      <c r="AB621" s="454"/>
    </row>
    <row r="622" spans="1:28">
      <c r="A622" s="331"/>
      <c r="B622" s="332"/>
      <c r="C622" s="454"/>
      <c r="D622" s="334"/>
      <c r="E622" s="333"/>
      <c r="F622" s="333"/>
      <c r="G622" s="336"/>
      <c r="H622" s="454"/>
      <c r="I622" s="455"/>
      <c r="J622" s="456"/>
      <c r="K622" s="456"/>
      <c r="L622" s="454"/>
      <c r="M622" s="454"/>
      <c r="N622" s="454"/>
      <c r="O622" s="454"/>
      <c r="P622" s="454"/>
      <c r="Q622" s="454"/>
      <c r="R622" s="454"/>
      <c r="S622" s="454"/>
      <c r="T622" s="454"/>
      <c r="U622" s="454"/>
      <c r="V622" s="454"/>
      <c r="W622" s="454"/>
      <c r="X622" s="454"/>
      <c r="Y622" s="454"/>
      <c r="Z622" s="454"/>
      <c r="AA622" s="454"/>
      <c r="AB622" s="454"/>
    </row>
    <row r="623" spans="1:28">
      <c r="A623" s="331"/>
      <c r="B623" s="332"/>
      <c r="C623" s="454"/>
      <c r="D623" s="334"/>
      <c r="E623" s="333"/>
      <c r="F623" s="334"/>
      <c r="G623" s="336"/>
      <c r="H623" s="454"/>
      <c r="I623" s="455"/>
      <c r="J623" s="456"/>
      <c r="K623" s="456"/>
      <c r="L623" s="454"/>
      <c r="M623" s="454"/>
      <c r="N623" s="454"/>
      <c r="O623" s="454"/>
      <c r="P623" s="454"/>
      <c r="Q623" s="454"/>
      <c r="R623" s="454"/>
      <c r="S623" s="454"/>
      <c r="T623" s="454"/>
      <c r="U623" s="454"/>
      <c r="V623" s="454"/>
      <c r="W623" s="454"/>
      <c r="X623" s="454"/>
      <c r="Y623" s="454"/>
      <c r="Z623" s="454"/>
      <c r="AA623" s="454"/>
      <c r="AB623" s="454"/>
    </row>
    <row r="624" spans="1:28">
      <c r="A624" s="331"/>
      <c r="B624" s="332"/>
      <c r="C624" s="454"/>
      <c r="D624" s="334"/>
      <c r="E624" s="333"/>
      <c r="F624" s="334"/>
      <c r="G624" s="336"/>
      <c r="H624" s="454"/>
      <c r="I624" s="455"/>
      <c r="J624" s="456"/>
      <c r="K624" s="456"/>
      <c r="L624" s="454"/>
      <c r="M624" s="454"/>
      <c r="N624" s="454"/>
      <c r="O624" s="454"/>
      <c r="P624" s="454"/>
      <c r="Q624" s="454"/>
      <c r="R624" s="454"/>
      <c r="S624" s="454"/>
      <c r="T624" s="454"/>
      <c r="U624" s="454"/>
      <c r="V624" s="454"/>
      <c r="W624" s="454"/>
      <c r="X624" s="454"/>
      <c r="Y624" s="454"/>
      <c r="Z624" s="454"/>
      <c r="AA624" s="454"/>
      <c r="AB624" s="454"/>
    </row>
    <row r="625" spans="1:28">
      <c r="A625" s="331"/>
      <c r="B625" s="332"/>
      <c r="C625" s="454"/>
      <c r="D625" s="334"/>
      <c r="E625" s="333"/>
      <c r="F625" s="334"/>
      <c r="G625" s="336"/>
      <c r="H625" s="454"/>
      <c r="I625" s="455"/>
      <c r="J625" s="456"/>
      <c r="K625" s="456"/>
      <c r="L625" s="454"/>
      <c r="M625" s="454"/>
      <c r="N625" s="454"/>
      <c r="O625" s="454"/>
      <c r="P625" s="454"/>
      <c r="Q625" s="454"/>
      <c r="R625" s="454"/>
      <c r="S625" s="454"/>
      <c r="T625" s="454"/>
      <c r="U625" s="454"/>
      <c r="V625" s="454"/>
      <c r="W625" s="454"/>
      <c r="X625" s="454"/>
      <c r="Y625" s="454"/>
      <c r="Z625" s="454"/>
      <c r="AA625" s="454"/>
      <c r="AB625" s="454"/>
    </row>
    <row r="626" spans="1:28">
      <c r="A626" s="331"/>
      <c r="B626" s="332"/>
      <c r="C626" s="454"/>
      <c r="D626" s="334"/>
      <c r="E626" s="333"/>
      <c r="F626" s="334"/>
      <c r="G626" s="336"/>
      <c r="H626" s="454"/>
      <c r="I626" s="455"/>
      <c r="J626" s="456"/>
      <c r="K626" s="456"/>
      <c r="L626" s="454"/>
      <c r="M626" s="454"/>
      <c r="N626" s="454"/>
      <c r="O626" s="454"/>
      <c r="P626" s="454"/>
      <c r="Q626" s="454"/>
      <c r="R626" s="454"/>
      <c r="S626" s="454"/>
      <c r="T626" s="454"/>
      <c r="U626" s="454"/>
      <c r="V626" s="454"/>
      <c r="W626" s="454"/>
      <c r="X626" s="454"/>
      <c r="Y626" s="454"/>
      <c r="Z626" s="454"/>
      <c r="AA626" s="454"/>
      <c r="AB626" s="454"/>
    </row>
    <row r="627" spans="1:28">
      <c r="A627" s="331"/>
      <c r="B627" s="332"/>
      <c r="C627" s="454"/>
      <c r="D627" s="334"/>
      <c r="E627" s="333"/>
      <c r="F627" s="334"/>
      <c r="G627" s="336"/>
      <c r="H627" s="454"/>
      <c r="I627" s="455"/>
      <c r="J627" s="456"/>
      <c r="K627" s="456"/>
      <c r="L627" s="454"/>
      <c r="M627" s="454"/>
      <c r="N627" s="454"/>
      <c r="O627" s="454"/>
      <c r="P627" s="454"/>
      <c r="Q627" s="454"/>
      <c r="R627" s="454"/>
      <c r="S627" s="454"/>
      <c r="T627" s="454"/>
      <c r="U627" s="454"/>
      <c r="V627" s="454"/>
      <c r="W627" s="454"/>
      <c r="X627" s="454"/>
      <c r="Y627" s="454"/>
      <c r="Z627" s="454"/>
      <c r="AA627" s="454"/>
      <c r="AB627" s="454"/>
    </row>
    <row r="628" spans="1:28">
      <c r="A628" s="331"/>
      <c r="B628" s="332"/>
      <c r="C628" s="454"/>
      <c r="D628" s="334"/>
      <c r="E628" s="333"/>
      <c r="F628" s="334"/>
      <c r="G628" s="336"/>
      <c r="H628" s="454"/>
      <c r="I628" s="455"/>
      <c r="J628" s="456"/>
      <c r="K628" s="456"/>
      <c r="L628" s="454"/>
      <c r="M628" s="454"/>
      <c r="N628" s="454"/>
      <c r="O628" s="454"/>
      <c r="P628" s="454"/>
      <c r="Q628" s="454"/>
      <c r="R628" s="454"/>
      <c r="S628" s="454"/>
      <c r="T628" s="454"/>
      <c r="U628" s="454"/>
      <c r="V628" s="454"/>
      <c r="W628" s="454"/>
      <c r="X628" s="454"/>
      <c r="Y628" s="454"/>
      <c r="Z628" s="454"/>
      <c r="AA628" s="454"/>
      <c r="AB628" s="454"/>
    </row>
    <row r="629" spans="1:28">
      <c r="A629" s="331"/>
      <c r="B629" s="332"/>
      <c r="C629" s="454"/>
      <c r="D629" s="334"/>
      <c r="E629" s="333"/>
      <c r="F629" s="334"/>
      <c r="G629" s="336"/>
      <c r="H629" s="454"/>
      <c r="I629" s="455"/>
      <c r="J629" s="456"/>
      <c r="K629" s="456"/>
      <c r="L629" s="454"/>
      <c r="M629" s="454"/>
      <c r="N629" s="454"/>
      <c r="O629" s="454"/>
      <c r="P629" s="454"/>
      <c r="Q629" s="454"/>
      <c r="R629" s="454"/>
      <c r="S629" s="454"/>
      <c r="T629" s="454"/>
      <c r="U629" s="454"/>
      <c r="V629" s="454"/>
      <c r="W629" s="454"/>
      <c r="X629" s="454"/>
      <c r="Y629" s="454"/>
      <c r="Z629" s="454"/>
      <c r="AA629" s="454"/>
      <c r="AB629" s="454"/>
    </row>
    <row r="630" spans="1:28">
      <c r="A630" s="331"/>
      <c r="B630" s="332"/>
      <c r="C630" s="454"/>
      <c r="D630" s="334"/>
      <c r="E630" s="333"/>
      <c r="F630" s="334"/>
      <c r="G630" s="336"/>
      <c r="H630" s="454"/>
      <c r="I630" s="455"/>
      <c r="J630" s="456"/>
      <c r="K630" s="456"/>
      <c r="L630" s="454"/>
      <c r="M630" s="454"/>
      <c r="N630" s="454"/>
      <c r="O630" s="454"/>
      <c r="P630" s="454"/>
      <c r="Q630" s="454"/>
      <c r="R630" s="454"/>
      <c r="S630" s="454"/>
      <c r="T630" s="454"/>
      <c r="U630" s="454"/>
      <c r="V630" s="454"/>
      <c r="W630" s="454"/>
      <c r="X630" s="454"/>
      <c r="Y630" s="454"/>
      <c r="Z630" s="454"/>
      <c r="AA630" s="454"/>
      <c r="AB630" s="454"/>
    </row>
    <row r="631" spans="1:28">
      <c r="A631" s="331"/>
      <c r="B631" s="332"/>
      <c r="C631" s="454"/>
      <c r="D631" s="334"/>
      <c r="E631" s="333"/>
      <c r="F631" s="334"/>
      <c r="G631" s="335"/>
      <c r="H631" s="454"/>
      <c r="I631" s="455"/>
      <c r="J631" s="456"/>
      <c r="K631" s="456"/>
      <c r="L631" s="454"/>
      <c r="M631" s="454"/>
      <c r="N631" s="454"/>
      <c r="O631" s="454"/>
      <c r="P631" s="454"/>
      <c r="Q631" s="454"/>
      <c r="R631" s="454"/>
      <c r="S631" s="454"/>
      <c r="T631" s="454"/>
      <c r="U631" s="454"/>
      <c r="V631" s="454"/>
      <c r="W631" s="454"/>
      <c r="X631" s="454"/>
      <c r="Y631" s="454"/>
      <c r="Z631" s="454"/>
      <c r="AA631" s="454"/>
      <c r="AB631" s="454"/>
    </row>
    <row r="632" spans="1:28">
      <c r="A632" s="331"/>
      <c r="B632" s="332"/>
      <c r="C632" s="454"/>
      <c r="D632" s="334"/>
      <c r="E632" s="333"/>
      <c r="F632" s="334"/>
      <c r="G632" s="336"/>
      <c r="H632" s="454"/>
      <c r="I632" s="455"/>
      <c r="J632" s="456"/>
      <c r="K632" s="456"/>
      <c r="L632" s="454"/>
      <c r="M632" s="454"/>
      <c r="N632" s="454"/>
      <c r="O632" s="454"/>
      <c r="P632" s="454"/>
      <c r="Q632" s="454"/>
      <c r="R632" s="454"/>
      <c r="S632" s="454"/>
      <c r="T632" s="454"/>
      <c r="U632" s="454"/>
      <c r="V632" s="454"/>
      <c r="W632" s="454"/>
      <c r="X632" s="454"/>
      <c r="Y632" s="454"/>
      <c r="Z632" s="454"/>
      <c r="AA632" s="454"/>
      <c r="AB632" s="454"/>
    </row>
    <row r="633" spans="1:28">
      <c r="A633" s="331"/>
      <c r="B633" s="332"/>
      <c r="C633" s="454"/>
      <c r="D633" s="334"/>
      <c r="E633" s="333"/>
      <c r="F633" s="334"/>
      <c r="G633" s="334"/>
      <c r="H633" s="454"/>
      <c r="I633" s="455"/>
      <c r="J633" s="456"/>
      <c r="K633" s="456"/>
      <c r="L633" s="454"/>
      <c r="M633" s="454"/>
      <c r="N633" s="454"/>
      <c r="O633" s="454"/>
      <c r="P633" s="454"/>
      <c r="Q633" s="454"/>
      <c r="R633" s="454"/>
      <c r="S633" s="454"/>
      <c r="T633" s="454"/>
      <c r="U633" s="454"/>
      <c r="V633" s="454"/>
      <c r="W633" s="454"/>
      <c r="X633" s="454"/>
      <c r="Y633" s="454"/>
      <c r="Z633" s="454"/>
      <c r="AA633" s="454"/>
      <c r="AB633" s="454"/>
    </row>
    <row r="634" spans="1:28">
      <c r="A634" s="331"/>
      <c r="B634" s="332"/>
      <c r="C634" s="454"/>
      <c r="D634" s="334"/>
      <c r="E634" s="333"/>
      <c r="F634" s="334"/>
      <c r="G634" s="336"/>
      <c r="H634" s="454"/>
      <c r="I634" s="455"/>
      <c r="J634" s="456"/>
      <c r="K634" s="456"/>
      <c r="L634" s="454"/>
      <c r="M634" s="454"/>
      <c r="N634" s="454"/>
      <c r="O634" s="454"/>
      <c r="P634" s="454"/>
      <c r="Q634" s="454"/>
      <c r="R634" s="454"/>
      <c r="S634" s="454"/>
      <c r="T634" s="454"/>
      <c r="U634" s="454"/>
      <c r="V634" s="454"/>
      <c r="W634" s="454"/>
      <c r="X634" s="454"/>
      <c r="Y634" s="454"/>
      <c r="Z634" s="454"/>
      <c r="AA634" s="454"/>
      <c r="AB634" s="454"/>
    </row>
    <row r="635" spans="1:28">
      <c r="A635" s="331"/>
      <c r="B635" s="332"/>
      <c r="C635" s="454"/>
      <c r="D635" s="334"/>
      <c r="E635" s="333"/>
      <c r="F635" s="334"/>
      <c r="G635" s="334"/>
      <c r="H635" s="454"/>
      <c r="I635" s="455"/>
      <c r="J635" s="456"/>
      <c r="K635" s="456"/>
      <c r="L635" s="454"/>
      <c r="M635" s="454"/>
      <c r="N635" s="454"/>
      <c r="O635" s="454"/>
      <c r="P635" s="454"/>
      <c r="Q635" s="454"/>
      <c r="R635" s="454"/>
      <c r="S635" s="454"/>
      <c r="T635" s="454"/>
      <c r="U635" s="454"/>
      <c r="V635" s="454"/>
      <c r="W635" s="454"/>
      <c r="X635" s="454"/>
      <c r="Y635" s="454"/>
      <c r="Z635" s="454"/>
      <c r="AA635" s="454"/>
      <c r="AB635" s="454"/>
    </row>
    <row r="636" spans="1:28">
      <c r="A636" s="331"/>
      <c r="B636" s="332"/>
      <c r="C636" s="454"/>
      <c r="D636" s="334"/>
      <c r="E636" s="333"/>
      <c r="F636" s="334"/>
      <c r="G636" s="334"/>
      <c r="H636" s="454"/>
      <c r="I636" s="455"/>
      <c r="J636" s="456"/>
      <c r="K636" s="456"/>
      <c r="L636" s="454"/>
      <c r="M636" s="454"/>
      <c r="N636" s="454"/>
      <c r="O636" s="454"/>
      <c r="P636" s="454"/>
      <c r="Q636" s="454"/>
      <c r="R636" s="454"/>
      <c r="S636" s="454"/>
      <c r="T636" s="454"/>
      <c r="U636" s="454"/>
      <c r="V636" s="454"/>
      <c r="W636" s="454"/>
      <c r="X636" s="454"/>
      <c r="Y636" s="454"/>
      <c r="Z636" s="454"/>
      <c r="AA636" s="454"/>
      <c r="AB636" s="454"/>
    </row>
    <row r="637" spans="1:28">
      <c r="A637" s="331"/>
      <c r="B637" s="332"/>
      <c r="C637" s="454"/>
      <c r="D637" s="334"/>
      <c r="E637" s="333"/>
      <c r="F637" s="334"/>
      <c r="G637" s="334"/>
      <c r="H637" s="454"/>
      <c r="I637" s="455"/>
      <c r="J637" s="456"/>
      <c r="K637" s="456"/>
      <c r="L637" s="454"/>
      <c r="M637" s="454"/>
      <c r="N637" s="454"/>
      <c r="O637" s="454"/>
      <c r="P637" s="454"/>
      <c r="Q637" s="454"/>
      <c r="R637" s="454"/>
      <c r="S637" s="454"/>
      <c r="T637" s="454"/>
      <c r="U637" s="454"/>
      <c r="V637" s="454"/>
      <c r="W637" s="454"/>
      <c r="X637" s="454"/>
      <c r="Y637" s="454"/>
      <c r="Z637" s="454"/>
      <c r="AA637" s="454"/>
      <c r="AB637" s="454"/>
    </row>
    <row r="638" spans="1:28">
      <c r="A638" s="331"/>
      <c r="B638" s="332"/>
      <c r="C638" s="454"/>
      <c r="D638" s="334"/>
      <c r="E638" s="333"/>
      <c r="F638" s="334"/>
      <c r="G638" s="334"/>
      <c r="H638" s="454"/>
      <c r="I638" s="455"/>
      <c r="J638" s="456"/>
      <c r="K638" s="456"/>
      <c r="L638" s="454"/>
      <c r="M638" s="454"/>
      <c r="N638" s="454"/>
      <c r="O638" s="454"/>
      <c r="P638" s="454"/>
      <c r="Q638" s="454"/>
      <c r="R638" s="454"/>
      <c r="S638" s="454"/>
      <c r="T638" s="454"/>
      <c r="U638" s="454"/>
      <c r="V638" s="454"/>
      <c r="W638" s="454"/>
      <c r="X638" s="454"/>
      <c r="Y638" s="454"/>
      <c r="Z638" s="454"/>
      <c r="AA638" s="454"/>
      <c r="AB638" s="454"/>
    </row>
    <row r="639" spans="1:28">
      <c r="A639" s="331"/>
      <c r="B639" s="332"/>
      <c r="C639" s="454"/>
      <c r="D639" s="334"/>
      <c r="E639" s="333"/>
      <c r="F639" s="334"/>
      <c r="G639" s="334"/>
      <c r="H639" s="454"/>
      <c r="I639" s="455"/>
      <c r="J639" s="456"/>
      <c r="K639" s="456"/>
      <c r="L639" s="454"/>
      <c r="M639" s="454"/>
      <c r="N639" s="454"/>
      <c r="O639" s="454"/>
      <c r="P639" s="454"/>
      <c r="Q639" s="454"/>
      <c r="R639" s="454"/>
      <c r="S639" s="454"/>
      <c r="T639" s="454"/>
      <c r="U639" s="454"/>
      <c r="V639" s="454"/>
      <c r="W639" s="454"/>
      <c r="X639" s="454"/>
      <c r="Y639" s="454"/>
      <c r="Z639" s="454"/>
      <c r="AA639" s="454"/>
      <c r="AB639" s="454"/>
    </row>
    <row r="640" spans="1:28">
      <c r="A640" s="331"/>
      <c r="B640" s="332"/>
      <c r="C640" s="454"/>
      <c r="D640" s="334"/>
      <c r="E640" s="333"/>
      <c r="F640" s="334"/>
      <c r="G640" s="334"/>
      <c r="H640" s="454"/>
      <c r="I640" s="455"/>
      <c r="J640" s="456"/>
      <c r="K640" s="456"/>
      <c r="L640" s="454"/>
      <c r="M640" s="454"/>
      <c r="N640" s="454"/>
      <c r="O640" s="454"/>
      <c r="P640" s="454"/>
      <c r="Q640" s="454"/>
      <c r="R640" s="454"/>
      <c r="S640" s="454"/>
      <c r="T640" s="454"/>
      <c r="U640" s="454"/>
      <c r="V640" s="454"/>
      <c r="W640" s="454"/>
      <c r="X640" s="454"/>
      <c r="Y640" s="454"/>
      <c r="Z640" s="454"/>
      <c r="AA640" s="454"/>
      <c r="AB640" s="454"/>
    </row>
    <row r="641" spans="1:28">
      <c r="A641" s="331"/>
      <c r="B641" s="332"/>
      <c r="C641" s="454"/>
      <c r="D641" s="334"/>
      <c r="E641" s="333"/>
      <c r="F641" s="334"/>
      <c r="G641" s="334"/>
      <c r="H641" s="454"/>
      <c r="I641" s="455"/>
      <c r="J641" s="456"/>
      <c r="K641" s="456"/>
      <c r="L641" s="454"/>
      <c r="M641" s="454"/>
      <c r="N641" s="454"/>
      <c r="O641" s="454"/>
      <c r="P641" s="454"/>
      <c r="Q641" s="454"/>
      <c r="R641" s="454"/>
      <c r="S641" s="454"/>
      <c r="T641" s="454"/>
      <c r="U641" s="454"/>
      <c r="V641" s="454"/>
      <c r="W641" s="454"/>
      <c r="X641" s="454"/>
      <c r="Y641" s="454"/>
      <c r="Z641" s="454"/>
      <c r="AA641" s="454"/>
      <c r="AB641" s="454"/>
    </row>
    <row r="642" spans="1:28">
      <c r="A642" s="331"/>
      <c r="B642" s="332"/>
      <c r="C642" s="454"/>
      <c r="D642" s="334"/>
      <c r="E642" s="333"/>
      <c r="F642" s="334"/>
      <c r="G642" s="334"/>
      <c r="H642" s="454"/>
      <c r="I642" s="455"/>
      <c r="J642" s="456"/>
      <c r="K642" s="456"/>
      <c r="L642" s="454"/>
      <c r="M642" s="454"/>
      <c r="N642" s="454"/>
      <c r="O642" s="454"/>
      <c r="P642" s="454"/>
      <c r="Q642" s="454"/>
      <c r="R642" s="454"/>
      <c r="S642" s="454"/>
      <c r="T642" s="454"/>
      <c r="U642" s="454"/>
      <c r="V642" s="454"/>
      <c r="W642" s="454"/>
      <c r="X642" s="454"/>
      <c r="Y642" s="454"/>
      <c r="Z642" s="454"/>
      <c r="AA642" s="454"/>
      <c r="AB642" s="454"/>
    </row>
    <row r="643" spans="1:28">
      <c r="A643" s="331"/>
      <c r="B643" s="332"/>
      <c r="C643" s="454"/>
      <c r="D643" s="334"/>
      <c r="E643" s="333"/>
      <c r="F643" s="334"/>
      <c r="G643" s="334"/>
      <c r="H643" s="454"/>
      <c r="I643" s="455"/>
      <c r="J643" s="456"/>
      <c r="K643" s="456"/>
      <c r="L643" s="454"/>
      <c r="M643" s="454"/>
      <c r="N643" s="454"/>
      <c r="O643" s="454"/>
      <c r="P643" s="454"/>
      <c r="Q643" s="454"/>
      <c r="R643" s="454"/>
      <c r="S643" s="454"/>
      <c r="T643" s="454"/>
      <c r="U643" s="454"/>
      <c r="V643" s="454"/>
      <c r="W643" s="454"/>
      <c r="X643" s="454"/>
      <c r="Y643" s="454"/>
      <c r="Z643" s="454"/>
      <c r="AA643" s="454"/>
      <c r="AB643" s="454"/>
    </row>
    <row r="644" spans="1:28">
      <c r="A644" s="331"/>
      <c r="B644" s="332"/>
      <c r="C644" s="454"/>
      <c r="D644" s="334"/>
      <c r="E644" s="333"/>
      <c r="F644" s="334"/>
      <c r="G644" s="334"/>
      <c r="H644" s="454"/>
      <c r="I644" s="455"/>
      <c r="J644" s="456"/>
      <c r="K644" s="456"/>
      <c r="L644" s="454"/>
      <c r="M644" s="454"/>
      <c r="N644" s="454"/>
      <c r="O644" s="454"/>
      <c r="P644" s="454"/>
      <c r="Q644" s="454"/>
      <c r="R644" s="454"/>
      <c r="S644" s="454"/>
      <c r="T644" s="454"/>
      <c r="U644" s="454"/>
      <c r="V644" s="454"/>
      <c r="W644" s="454"/>
      <c r="X644" s="454"/>
      <c r="Y644" s="454"/>
      <c r="Z644" s="454"/>
      <c r="AA644" s="454"/>
      <c r="AB644" s="454"/>
    </row>
    <row r="645" spans="1:28">
      <c r="A645" s="331"/>
      <c r="B645" s="332"/>
      <c r="C645" s="454"/>
      <c r="D645" s="334"/>
      <c r="E645" s="333"/>
      <c r="F645" s="334"/>
      <c r="G645" s="334"/>
      <c r="H645" s="454"/>
      <c r="I645" s="455"/>
      <c r="J645" s="456"/>
      <c r="K645" s="456"/>
      <c r="L645" s="454"/>
      <c r="M645" s="454"/>
      <c r="N645" s="454"/>
      <c r="O645" s="454"/>
      <c r="P645" s="454"/>
      <c r="Q645" s="454"/>
      <c r="R645" s="454"/>
      <c r="S645" s="454"/>
      <c r="T645" s="454"/>
      <c r="U645" s="454"/>
      <c r="V645" s="454"/>
      <c r="W645" s="454"/>
      <c r="X645" s="454"/>
      <c r="Y645" s="454"/>
      <c r="Z645" s="454"/>
      <c r="AA645" s="454"/>
      <c r="AB645" s="454"/>
    </row>
    <row r="646" spans="1:28">
      <c r="A646" s="331"/>
      <c r="B646" s="332"/>
      <c r="C646" s="454"/>
      <c r="D646" s="334"/>
      <c r="E646" s="333"/>
      <c r="F646" s="334"/>
      <c r="G646" s="334"/>
      <c r="H646" s="454"/>
      <c r="I646" s="455"/>
      <c r="J646" s="456"/>
      <c r="K646" s="456"/>
      <c r="L646" s="454"/>
      <c r="M646" s="454"/>
      <c r="N646" s="454"/>
      <c r="O646" s="454"/>
      <c r="P646" s="454"/>
      <c r="Q646" s="454"/>
      <c r="R646" s="454"/>
      <c r="S646" s="454"/>
      <c r="T646" s="454"/>
      <c r="U646" s="454"/>
      <c r="V646" s="454"/>
      <c r="W646" s="454"/>
      <c r="X646" s="454"/>
      <c r="Y646" s="454"/>
      <c r="Z646" s="454"/>
      <c r="AA646" s="454"/>
      <c r="AB646" s="454"/>
    </row>
    <row r="647" spans="1:28">
      <c r="A647" s="331"/>
      <c r="B647" s="332"/>
      <c r="C647" s="454"/>
      <c r="D647" s="334"/>
      <c r="E647" s="333"/>
      <c r="F647" s="334"/>
      <c r="G647" s="334"/>
      <c r="H647" s="454"/>
      <c r="I647" s="455"/>
      <c r="J647" s="456"/>
      <c r="K647" s="456"/>
      <c r="L647" s="454"/>
      <c r="M647" s="454"/>
      <c r="N647" s="454"/>
      <c r="O647" s="454"/>
      <c r="P647" s="454"/>
      <c r="Q647" s="454"/>
      <c r="R647" s="454"/>
      <c r="S647" s="454"/>
      <c r="T647" s="454"/>
      <c r="U647" s="454"/>
      <c r="V647" s="454"/>
      <c r="W647" s="454"/>
      <c r="X647" s="454"/>
      <c r="Y647" s="454"/>
      <c r="Z647" s="454"/>
      <c r="AA647" s="454"/>
      <c r="AB647" s="454"/>
    </row>
    <row r="648" spans="1:28">
      <c r="A648" s="331"/>
      <c r="B648" s="332"/>
      <c r="C648" s="454"/>
      <c r="D648" s="334"/>
      <c r="E648" s="333"/>
      <c r="F648" s="334"/>
      <c r="G648" s="334"/>
      <c r="H648" s="454"/>
      <c r="I648" s="455"/>
      <c r="J648" s="456"/>
      <c r="K648" s="456"/>
      <c r="L648" s="454"/>
      <c r="M648" s="454"/>
      <c r="N648" s="454"/>
      <c r="O648" s="454"/>
      <c r="P648" s="454"/>
      <c r="Q648" s="454"/>
      <c r="R648" s="454"/>
      <c r="S648" s="454"/>
      <c r="T648" s="454"/>
      <c r="U648" s="454"/>
      <c r="V648" s="454"/>
      <c r="W648" s="454"/>
      <c r="X648" s="454"/>
      <c r="Y648" s="454"/>
      <c r="Z648" s="454"/>
      <c r="AA648" s="454"/>
      <c r="AB648" s="454"/>
    </row>
    <row r="649" spans="1:28">
      <c r="A649" s="331"/>
      <c r="B649" s="332"/>
      <c r="C649" s="454"/>
      <c r="D649" s="334"/>
      <c r="E649" s="333"/>
      <c r="F649" s="334"/>
      <c r="G649" s="334"/>
      <c r="H649" s="454"/>
      <c r="I649" s="455"/>
      <c r="J649" s="456"/>
      <c r="K649" s="456"/>
      <c r="L649" s="454"/>
      <c r="M649" s="454"/>
      <c r="N649" s="454"/>
      <c r="O649" s="454"/>
      <c r="P649" s="454"/>
      <c r="Q649" s="454"/>
      <c r="R649" s="454"/>
      <c r="S649" s="454"/>
      <c r="T649" s="454"/>
      <c r="U649" s="454"/>
      <c r="V649" s="454"/>
      <c r="W649" s="454"/>
      <c r="X649" s="454"/>
      <c r="Y649" s="454"/>
      <c r="Z649" s="454"/>
      <c r="AA649" s="454"/>
      <c r="AB649" s="454"/>
    </row>
    <row r="650" spans="1:28">
      <c r="A650" s="331"/>
      <c r="B650" s="332"/>
      <c r="C650" s="454"/>
      <c r="D650" s="334"/>
      <c r="E650" s="333"/>
      <c r="F650" s="334"/>
      <c r="G650" s="334"/>
      <c r="H650" s="454"/>
      <c r="I650" s="455"/>
      <c r="J650" s="456"/>
      <c r="K650" s="456"/>
      <c r="L650" s="454"/>
      <c r="M650" s="454"/>
      <c r="N650" s="454"/>
      <c r="O650" s="454"/>
      <c r="P650" s="454"/>
      <c r="Q650" s="454"/>
      <c r="R650" s="454"/>
      <c r="S650" s="454"/>
      <c r="T650" s="454"/>
      <c r="U650" s="454"/>
      <c r="V650" s="454"/>
      <c r="W650" s="454"/>
      <c r="X650" s="454"/>
      <c r="Y650" s="454"/>
      <c r="Z650" s="454"/>
      <c r="AA650" s="454"/>
      <c r="AB650" s="454"/>
    </row>
    <row r="651" spans="1:28">
      <c r="A651" s="331"/>
      <c r="B651" s="332"/>
      <c r="C651" s="454"/>
      <c r="D651" s="334"/>
      <c r="E651" s="333"/>
      <c r="F651" s="334"/>
      <c r="G651" s="334"/>
      <c r="H651" s="454"/>
      <c r="I651" s="455"/>
      <c r="J651" s="456"/>
      <c r="K651" s="456"/>
      <c r="L651" s="454"/>
      <c r="M651" s="454"/>
      <c r="N651" s="454"/>
      <c r="O651" s="454"/>
      <c r="P651" s="454"/>
      <c r="Q651" s="454"/>
      <c r="R651" s="454"/>
      <c r="S651" s="454"/>
      <c r="T651" s="454"/>
      <c r="U651" s="454"/>
      <c r="V651" s="454"/>
      <c r="W651" s="454"/>
      <c r="X651" s="454"/>
      <c r="Y651" s="454"/>
      <c r="Z651" s="454"/>
      <c r="AA651" s="454"/>
      <c r="AB651" s="454"/>
    </row>
    <row r="652" spans="1:28">
      <c r="A652" s="331"/>
      <c r="B652" s="332"/>
      <c r="C652" s="454"/>
      <c r="D652" s="334"/>
      <c r="E652" s="333"/>
      <c r="F652" s="334"/>
      <c r="G652" s="334"/>
      <c r="H652" s="454"/>
      <c r="I652" s="455"/>
      <c r="J652" s="456"/>
      <c r="K652" s="456"/>
      <c r="L652" s="454"/>
      <c r="M652" s="454"/>
      <c r="N652" s="454"/>
      <c r="O652" s="454"/>
      <c r="P652" s="454"/>
      <c r="Q652" s="454"/>
      <c r="R652" s="454"/>
      <c r="S652" s="454"/>
      <c r="T652" s="454"/>
      <c r="U652" s="454"/>
      <c r="V652" s="454"/>
      <c r="W652" s="454"/>
      <c r="X652" s="454"/>
      <c r="Y652" s="454"/>
      <c r="Z652" s="454"/>
      <c r="AA652" s="454"/>
      <c r="AB652" s="454"/>
    </row>
    <row r="653" spans="1:28">
      <c r="A653" s="331"/>
      <c r="B653" s="332"/>
      <c r="C653" s="454"/>
      <c r="D653" s="334"/>
      <c r="E653" s="333"/>
      <c r="F653" s="334"/>
      <c r="G653" s="334"/>
      <c r="H653" s="454"/>
      <c r="I653" s="455"/>
      <c r="J653" s="456"/>
      <c r="K653" s="456"/>
      <c r="L653" s="454"/>
      <c r="M653" s="454"/>
      <c r="N653" s="454"/>
      <c r="O653" s="454"/>
      <c r="P653" s="454"/>
      <c r="Q653" s="454"/>
      <c r="R653" s="454"/>
      <c r="S653" s="454"/>
      <c r="T653" s="454"/>
      <c r="U653" s="454"/>
      <c r="V653" s="454"/>
      <c r="W653" s="454"/>
      <c r="X653" s="454"/>
      <c r="Y653" s="454"/>
      <c r="Z653" s="454"/>
      <c r="AA653" s="454"/>
      <c r="AB653" s="454"/>
    </row>
    <row r="654" spans="1:28">
      <c r="A654" s="331"/>
      <c r="B654" s="332"/>
      <c r="C654" s="454"/>
      <c r="D654" s="334"/>
      <c r="E654" s="333"/>
      <c r="F654" s="334"/>
      <c r="G654" s="334"/>
      <c r="H654" s="454"/>
      <c r="I654" s="455"/>
      <c r="J654" s="456"/>
      <c r="K654" s="456"/>
      <c r="L654" s="454"/>
      <c r="M654" s="454"/>
      <c r="N654" s="454"/>
      <c r="O654" s="454"/>
      <c r="P654" s="454"/>
      <c r="Q654" s="454"/>
      <c r="R654" s="454"/>
      <c r="S654" s="454"/>
      <c r="T654" s="454"/>
      <c r="U654" s="454"/>
      <c r="V654" s="454"/>
      <c r="W654" s="454"/>
      <c r="X654" s="454"/>
      <c r="Y654" s="454"/>
      <c r="Z654" s="454"/>
      <c r="AA654" s="454"/>
      <c r="AB654" s="454"/>
    </row>
    <row r="655" spans="1:28">
      <c r="A655" s="331"/>
      <c r="B655" s="332"/>
      <c r="C655" s="454"/>
      <c r="D655" s="334"/>
      <c r="E655" s="333"/>
      <c r="F655" s="334"/>
      <c r="G655" s="334"/>
      <c r="H655" s="454"/>
      <c r="I655" s="455"/>
      <c r="J655" s="456"/>
      <c r="K655" s="456"/>
      <c r="L655" s="454"/>
      <c r="M655" s="454"/>
      <c r="N655" s="454"/>
      <c r="O655" s="454"/>
      <c r="P655" s="454"/>
      <c r="Q655" s="454"/>
      <c r="R655" s="454"/>
      <c r="S655" s="454"/>
      <c r="T655" s="454"/>
      <c r="U655" s="454"/>
      <c r="V655" s="454"/>
      <c r="W655" s="454"/>
      <c r="X655" s="454"/>
      <c r="Y655" s="454"/>
      <c r="Z655" s="454"/>
      <c r="AA655" s="454"/>
      <c r="AB655" s="454"/>
    </row>
    <row r="656" spans="1:28">
      <c r="A656" s="331"/>
      <c r="B656" s="332"/>
      <c r="C656" s="454"/>
      <c r="D656" s="110"/>
      <c r="E656" s="333"/>
      <c r="F656" s="334"/>
      <c r="G656" s="334"/>
      <c r="H656" s="454"/>
      <c r="I656" s="455"/>
      <c r="J656" s="456"/>
      <c r="K656" s="456"/>
      <c r="L656" s="454"/>
      <c r="M656" s="454"/>
      <c r="N656" s="454"/>
      <c r="O656" s="454"/>
      <c r="P656" s="454"/>
      <c r="Q656" s="454"/>
      <c r="R656" s="454"/>
      <c r="S656" s="454"/>
      <c r="T656" s="454"/>
      <c r="U656" s="454"/>
      <c r="V656" s="454"/>
      <c r="W656" s="454"/>
      <c r="X656" s="454"/>
      <c r="Y656" s="454"/>
      <c r="Z656" s="454"/>
      <c r="AA656" s="454"/>
      <c r="AB656" s="454"/>
    </row>
    <row r="657" spans="1:28">
      <c r="A657" s="331"/>
      <c r="B657" s="332"/>
      <c r="C657" s="454"/>
      <c r="D657" s="334"/>
      <c r="E657" s="333"/>
      <c r="F657" s="334"/>
      <c r="G657" s="334"/>
      <c r="H657" s="454"/>
      <c r="I657" s="455"/>
      <c r="J657" s="456"/>
      <c r="K657" s="456"/>
      <c r="L657" s="454"/>
      <c r="M657" s="454"/>
      <c r="N657" s="454"/>
      <c r="O657" s="454"/>
      <c r="P657" s="454"/>
      <c r="Q657" s="454"/>
      <c r="R657" s="454"/>
      <c r="S657" s="454"/>
      <c r="T657" s="454"/>
      <c r="U657" s="454"/>
      <c r="V657" s="454"/>
      <c r="W657" s="454"/>
      <c r="X657" s="454"/>
      <c r="Y657" s="454"/>
      <c r="Z657" s="454"/>
      <c r="AA657" s="454"/>
      <c r="AB657" s="454"/>
    </row>
    <row r="658" spans="1:28">
      <c r="A658" s="331"/>
      <c r="B658" s="332"/>
      <c r="C658" s="454"/>
      <c r="D658" s="335"/>
      <c r="E658" s="333"/>
      <c r="F658" s="335"/>
      <c r="G658" s="335"/>
      <c r="H658" s="454"/>
      <c r="I658" s="455"/>
      <c r="J658" s="456"/>
      <c r="K658" s="456"/>
      <c r="L658" s="454"/>
      <c r="M658" s="454"/>
      <c r="N658" s="454"/>
      <c r="O658" s="454"/>
      <c r="P658" s="454"/>
      <c r="Q658" s="454"/>
      <c r="R658" s="454"/>
      <c r="S658" s="454"/>
      <c r="T658" s="454"/>
      <c r="U658" s="454"/>
      <c r="V658" s="454"/>
      <c r="W658" s="454"/>
      <c r="X658" s="454"/>
      <c r="Y658" s="454"/>
      <c r="Z658" s="454"/>
      <c r="AA658" s="454"/>
      <c r="AB658" s="454"/>
    </row>
    <row r="659" spans="1:28">
      <c r="A659" s="331"/>
      <c r="B659" s="332"/>
      <c r="C659" s="454"/>
      <c r="D659" s="334"/>
      <c r="E659" s="333"/>
      <c r="F659" s="334"/>
      <c r="G659" s="334"/>
      <c r="H659" s="454"/>
      <c r="I659" s="455"/>
      <c r="J659" s="456"/>
      <c r="K659" s="456"/>
      <c r="L659" s="454"/>
      <c r="M659" s="454"/>
      <c r="N659" s="454"/>
      <c r="O659" s="454"/>
      <c r="P659" s="454"/>
      <c r="Q659" s="454"/>
      <c r="R659" s="454"/>
      <c r="S659" s="454"/>
      <c r="T659" s="454"/>
      <c r="U659" s="454"/>
      <c r="V659" s="454"/>
      <c r="W659" s="454"/>
      <c r="X659" s="454"/>
      <c r="Y659" s="454"/>
      <c r="Z659" s="454"/>
      <c r="AA659" s="454"/>
      <c r="AB659" s="454"/>
    </row>
    <row r="660" spans="1:28">
      <c r="A660" s="331"/>
      <c r="B660" s="332"/>
      <c r="C660" s="454"/>
      <c r="D660" s="334"/>
      <c r="E660" s="333"/>
      <c r="F660" s="334"/>
      <c r="G660" s="334"/>
      <c r="H660" s="454"/>
      <c r="I660" s="455"/>
      <c r="J660" s="456"/>
      <c r="K660" s="456"/>
      <c r="L660" s="454"/>
      <c r="M660" s="454"/>
      <c r="N660" s="454"/>
      <c r="O660" s="454"/>
      <c r="P660" s="454"/>
      <c r="Q660" s="454"/>
      <c r="R660" s="454"/>
      <c r="S660" s="454"/>
      <c r="T660" s="454"/>
      <c r="U660" s="454"/>
      <c r="V660" s="454"/>
      <c r="W660" s="454"/>
      <c r="X660" s="454"/>
      <c r="Y660" s="454"/>
      <c r="Z660" s="454"/>
      <c r="AA660" s="454"/>
      <c r="AB660" s="454"/>
    </row>
    <row r="661" spans="1:28">
      <c r="A661" s="331"/>
      <c r="B661" s="332"/>
      <c r="C661" s="454"/>
      <c r="D661" s="334"/>
      <c r="E661" s="333"/>
      <c r="F661" s="334"/>
      <c r="G661" s="334"/>
      <c r="H661" s="454"/>
      <c r="I661" s="455"/>
      <c r="J661" s="456"/>
      <c r="K661" s="456"/>
      <c r="L661" s="454"/>
      <c r="M661" s="454"/>
      <c r="N661" s="454"/>
      <c r="O661" s="454"/>
      <c r="P661" s="454"/>
      <c r="Q661" s="454"/>
      <c r="R661" s="454"/>
      <c r="S661" s="454"/>
      <c r="T661" s="454"/>
      <c r="U661" s="454"/>
      <c r="V661" s="454"/>
      <c r="W661" s="454"/>
      <c r="X661" s="454"/>
      <c r="Y661" s="454"/>
      <c r="Z661" s="454"/>
      <c r="AA661" s="454"/>
      <c r="AB661" s="454"/>
    </row>
    <row r="662" spans="1:28">
      <c r="A662" s="331"/>
      <c r="B662" s="332"/>
      <c r="C662" s="454"/>
      <c r="D662" s="334"/>
      <c r="E662" s="333"/>
      <c r="F662" s="334"/>
      <c r="G662" s="334"/>
      <c r="H662" s="454"/>
      <c r="I662" s="455"/>
      <c r="J662" s="456"/>
      <c r="K662" s="456"/>
      <c r="L662" s="454"/>
      <c r="M662" s="454"/>
      <c r="N662" s="454"/>
      <c r="O662" s="454"/>
      <c r="P662" s="454"/>
      <c r="Q662" s="454"/>
      <c r="R662" s="454"/>
      <c r="S662" s="454"/>
      <c r="T662" s="454"/>
      <c r="U662" s="454"/>
      <c r="V662" s="454"/>
      <c r="W662" s="454"/>
      <c r="X662" s="454"/>
      <c r="Y662" s="454"/>
      <c r="Z662" s="454"/>
      <c r="AA662" s="454"/>
      <c r="AB662" s="454"/>
    </row>
    <row r="663" spans="1:28">
      <c r="A663" s="331"/>
      <c r="B663" s="332"/>
      <c r="C663" s="454"/>
      <c r="D663" s="334"/>
      <c r="E663" s="333"/>
      <c r="F663" s="334"/>
      <c r="G663" s="334"/>
      <c r="H663" s="454"/>
      <c r="I663" s="455"/>
      <c r="J663" s="456"/>
      <c r="K663" s="456"/>
      <c r="L663" s="454"/>
      <c r="M663" s="454"/>
      <c r="N663" s="454"/>
      <c r="O663" s="454"/>
      <c r="P663" s="454"/>
      <c r="Q663" s="454"/>
      <c r="R663" s="454"/>
      <c r="S663" s="454"/>
      <c r="T663" s="454"/>
      <c r="U663" s="454"/>
      <c r="V663" s="454"/>
      <c r="W663" s="454"/>
      <c r="X663" s="454"/>
      <c r="Y663" s="454"/>
      <c r="Z663" s="454"/>
      <c r="AA663" s="454"/>
      <c r="AB663" s="454"/>
    </row>
    <row r="664" spans="1:28">
      <c r="A664" s="331"/>
      <c r="B664" s="332"/>
      <c r="C664" s="454"/>
      <c r="D664" s="334"/>
      <c r="E664" s="333"/>
      <c r="F664" s="334"/>
      <c r="G664" s="334"/>
      <c r="H664" s="454"/>
      <c r="I664" s="455"/>
      <c r="J664" s="456"/>
      <c r="K664" s="456"/>
      <c r="L664" s="454"/>
      <c r="M664" s="454"/>
      <c r="N664" s="454"/>
      <c r="O664" s="454"/>
      <c r="P664" s="454"/>
      <c r="Q664" s="454"/>
      <c r="R664" s="454"/>
      <c r="S664" s="454"/>
      <c r="T664" s="454"/>
      <c r="U664" s="454"/>
      <c r="V664" s="454"/>
      <c r="W664" s="454"/>
      <c r="X664" s="454"/>
      <c r="Y664" s="454"/>
      <c r="Z664" s="454"/>
      <c r="AA664" s="454"/>
      <c r="AB664" s="454"/>
    </row>
    <row r="665" spans="1:28">
      <c r="A665" s="331"/>
      <c r="B665" s="332"/>
      <c r="C665" s="454"/>
      <c r="D665" s="334"/>
      <c r="E665" s="333"/>
      <c r="F665" s="334"/>
      <c r="G665" s="334"/>
      <c r="H665" s="454"/>
      <c r="I665" s="455"/>
      <c r="J665" s="456"/>
      <c r="K665" s="456"/>
      <c r="L665" s="454"/>
      <c r="M665" s="454"/>
      <c r="N665" s="454"/>
      <c r="O665" s="454"/>
      <c r="P665" s="454"/>
      <c r="Q665" s="454"/>
      <c r="R665" s="454"/>
      <c r="S665" s="454"/>
      <c r="T665" s="454"/>
      <c r="U665" s="454"/>
      <c r="V665" s="454"/>
      <c r="W665" s="454"/>
      <c r="X665" s="454"/>
      <c r="Y665" s="454"/>
      <c r="Z665" s="454"/>
      <c r="AA665" s="454"/>
      <c r="AB665" s="454"/>
    </row>
    <row r="666" spans="1:28">
      <c r="A666" s="331"/>
      <c r="B666" s="332"/>
      <c r="C666" s="454"/>
      <c r="D666" s="334"/>
      <c r="E666" s="333"/>
      <c r="F666" s="334"/>
      <c r="G666" s="334"/>
      <c r="H666" s="454"/>
      <c r="I666" s="455"/>
      <c r="J666" s="456"/>
      <c r="K666" s="456"/>
      <c r="L666" s="454"/>
      <c r="M666" s="454"/>
      <c r="N666" s="454"/>
      <c r="O666" s="454"/>
      <c r="P666" s="454"/>
      <c r="Q666" s="454"/>
      <c r="R666" s="454"/>
      <c r="S666" s="454"/>
      <c r="T666" s="454"/>
      <c r="U666" s="454"/>
      <c r="V666" s="454"/>
      <c r="W666" s="454"/>
      <c r="X666" s="454"/>
      <c r="Y666" s="454"/>
      <c r="Z666" s="454"/>
      <c r="AA666" s="454"/>
      <c r="AB666" s="454"/>
    </row>
    <row r="667" spans="1:28">
      <c r="A667" s="331"/>
      <c r="B667" s="332"/>
      <c r="C667" s="454"/>
      <c r="D667" s="334"/>
      <c r="E667" s="333"/>
      <c r="F667" s="334"/>
      <c r="G667" s="334"/>
      <c r="H667" s="454"/>
      <c r="I667" s="455"/>
      <c r="J667" s="456"/>
      <c r="K667" s="456"/>
      <c r="L667" s="454"/>
      <c r="M667" s="454"/>
      <c r="N667" s="454"/>
      <c r="O667" s="454"/>
      <c r="P667" s="454"/>
      <c r="Q667" s="454"/>
      <c r="R667" s="454"/>
      <c r="S667" s="454"/>
      <c r="T667" s="454"/>
      <c r="U667" s="454"/>
      <c r="V667" s="454"/>
      <c r="W667" s="454"/>
      <c r="X667" s="454"/>
      <c r="Y667" s="454"/>
      <c r="Z667" s="454"/>
      <c r="AA667" s="454"/>
      <c r="AB667" s="454"/>
    </row>
    <row r="668" spans="1:28">
      <c r="A668" s="331"/>
      <c r="B668" s="332"/>
      <c r="C668" s="454"/>
      <c r="D668" s="334"/>
      <c r="E668" s="333"/>
      <c r="F668" s="334"/>
      <c r="G668" s="334"/>
      <c r="H668" s="454"/>
      <c r="I668" s="455"/>
      <c r="J668" s="456"/>
      <c r="K668" s="456"/>
      <c r="L668" s="454"/>
      <c r="M668" s="454"/>
      <c r="N668" s="454"/>
      <c r="O668" s="454"/>
      <c r="P668" s="454"/>
      <c r="Q668" s="454"/>
      <c r="R668" s="454"/>
      <c r="S668" s="454"/>
      <c r="T668" s="454"/>
      <c r="U668" s="454"/>
      <c r="V668" s="454"/>
      <c r="W668" s="454"/>
      <c r="X668" s="454"/>
      <c r="Y668" s="454"/>
      <c r="Z668" s="454"/>
      <c r="AA668" s="454"/>
      <c r="AB668" s="454"/>
    </row>
    <row r="669" spans="1:28">
      <c r="A669" s="331"/>
      <c r="B669" s="332"/>
      <c r="C669" s="454"/>
      <c r="D669" s="334"/>
      <c r="E669" s="333"/>
      <c r="F669" s="334"/>
      <c r="G669" s="334"/>
      <c r="H669" s="454"/>
      <c r="I669" s="455"/>
      <c r="J669" s="456"/>
      <c r="K669" s="456"/>
      <c r="L669" s="454"/>
      <c r="M669" s="454"/>
      <c r="N669" s="454"/>
      <c r="O669" s="454"/>
      <c r="P669" s="454"/>
      <c r="Q669" s="454"/>
      <c r="R669" s="454"/>
      <c r="S669" s="454"/>
      <c r="T669" s="454"/>
      <c r="U669" s="454"/>
      <c r="V669" s="454"/>
      <c r="W669" s="454"/>
      <c r="X669" s="454"/>
      <c r="Y669" s="454"/>
      <c r="Z669" s="454"/>
      <c r="AA669" s="454"/>
      <c r="AB669" s="454"/>
    </row>
    <row r="670" spans="1:28">
      <c r="A670" s="331"/>
      <c r="B670" s="332"/>
      <c r="C670" s="454"/>
      <c r="D670" s="334"/>
      <c r="E670" s="333"/>
      <c r="F670" s="334"/>
      <c r="G670" s="334"/>
      <c r="H670" s="454"/>
      <c r="I670" s="455"/>
      <c r="J670" s="456"/>
      <c r="K670" s="456"/>
      <c r="L670" s="454"/>
      <c r="M670" s="454"/>
      <c r="N670" s="454"/>
      <c r="O670" s="454"/>
      <c r="P670" s="454"/>
      <c r="Q670" s="454"/>
      <c r="R670" s="454"/>
      <c r="S670" s="454"/>
      <c r="T670" s="454"/>
      <c r="U670" s="454"/>
      <c r="V670" s="454"/>
      <c r="W670" s="454"/>
      <c r="X670" s="454"/>
      <c r="Y670" s="454"/>
      <c r="Z670" s="454"/>
      <c r="AA670" s="454"/>
      <c r="AB670" s="454"/>
    </row>
    <row r="671" spans="1:28">
      <c r="A671" s="331"/>
      <c r="B671" s="332"/>
      <c r="C671" s="454"/>
      <c r="D671" s="334"/>
      <c r="E671" s="333"/>
      <c r="F671" s="334"/>
      <c r="G671" s="334"/>
      <c r="H671" s="454"/>
      <c r="I671" s="455"/>
      <c r="J671" s="456"/>
      <c r="K671" s="456"/>
      <c r="L671" s="454"/>
      <c r="M671" s="454"/>
      <c r="N671" s="454"/>
      <c r="O671" s="454"/>
      <c r="P671" s="454"/>
      <c r="Q671" s="454"/>
      <c r="R671" s="454"/>
      <c r="S671" s="454"/>
      <c r="T671" s="454"/>
      <c r="U671" s="454"/>
      <c r="V671" s="454"/>
      <c r="W671" s="454"/>
      <c r="X671" s="454"/>
      <c r="Y671" s="454"/>
      <c r="Z671" s="454"/>
      <c r="AA671" s="454"/>
      <c r="AB671" s="454"/>
    </row>
    <row r="672" spans="1:28">
      <c r="A672" s="331"/>
      <c r="B672" s="332"/>
      <c r="C672" s="454"/>
      <c r="D672" s="334"/>
      <c r="E672" s="333"/>
      <c r="F672" s="334"/>
      <c r="G672" s="334"/>
      <c r="H672" s="454"/>
      <c r="I672" s="455"/>
      <c r="J672" s="456"/>
      <c r="K672" s="456"/>
      <c r="L672" s="454"/>
      <c r="M672" s="454"/>
      <c r="N672" s="454"/>
      <c r="O672" s="454"/>
      <c r="P672" s="454"/>
      <c r="Q672" s="454"/>
      <c r="R672" s="454"/>
      <c r="S672" s="454"/>
      <c r="T672" s="454"/>
      <c r="U672" s="454"/>
      <c r="V672" s="454"/>
      <c r="W672" s="454"/>
      <c r="X672" s="454"/>
      <c r="Y672" s="454"/>
      <c r="Z672" s="454"/>
      <c r="AA672" s="454"/>
      <c r="AB672" s="454"/>
    </row>
    <row r="673" spans="1:28">
      <c r="A673" s="331"/>
      <c r="B673" s="332"/>
      <c r="C673" s="454"/>
      <c r="D673" s="334"/>
      <c r="E673" s="333"/>
      <c r="F673" s="334"/>
      <c r="G673" s="334"/>
      <c r="H673" s="454"/>
      <c r="I673" s="455"/>
      <c r="J673" s="456"/>
      <c r="K673" s="456"/>
      <c r="L673" s="454"/>
      <c r="M673" s="454"/>
      <c r="N673" s="454"/>
      <c r="O673" s="454"/>
      <c r="P673" s="454"/>
      <c r="Q673" s="454"/>
      <c r="R673" s="454"/>
      <c r="S673" s="454"/>
      <c r="T673" s="454"/>
      <c r="U673" s="454"/>
      <c r="V673" s="454"/>
      <c r="W673" s="454"/>
      <c r="X673" s="454"/>
      <c r="Y673" s="454"/>
      <c r="Z673" s="454"/>
      <c r="AA673" s="454"/>
      <c r="AB673" s="454"/>
    </row>
    <row r="674" spans="1:28">
      <c r="A674" s="331"/>
      <c r="B674" s="332"/>
      <c r="C674" s="454"/>
      <c r="D674" s="334"/>
      <c r="E674" s="333"/>
      <c r="F674" s="334"/>
      <c r="G674" s="334"/>
      <c r="H674" s="454"/>
      <c r="I674" s="455"/>
      <c r="J674" s="456"/>
      <c r="K674" s="456"/>
      <c r="L674" s="454"/>
      <c r="M674" s="454"/>
      <c r="N674" s="454"/>
      <c r="O674" s="454"/>
      <c r="P674" s="454"/>
      <c r="Q674" s="454"/>
      <c r="R674" s="454"/>
      <c r="S674" s="454"/>
      <c r="T674" s="454"/>
      <c r="U674" s="454"/>
      <c r="V674" s="454"/>
      <c r="W674" s="454"/>
      <c r="X674" s="454"/>
      <c r="Y674" s="454"/>
      <c r="Z674" s="454"/>
      <c r="AA674" s="454"/>
      <c r="AB674" s="454"/>
    </row>
    <row r="675" spans="1:28">
      <c r="A675" s="331"/>
      <c r="B675" s="332"/>
      <c r="C675" s="454"/>
      <c r="D675" s="334"/>
      <c r="E675" s="333"/>
      <c r="F675" s="334"/>
      <c r="G675" s="334"/>
      <c r="H675" s="454"/>
      <c r="I675" s="455"/>
      <c r="J675" s="456"/>
      <c r="K675" s="456"/>
      <c r="L675" s="454"/>
      <c r="M675" s="454"/>
      <c r="N675" s="454"/>
      <c r="O675" s="454"/>
      <c r="P675" s="454"/>
      <c r="Q675" s="454"/>
      <c r="R675" s="454"/>
      <c r="S675" s="454"/>
      <c r="T675" s="454"/>
      <c r="U675" s="454"/>
      <c r="V675" s="454"/>
      <c r="W675" s="454"/>
      <c r="X675" s="454"/>
      <c r="Y675" s="454"/>
      <c r="Z675" s="454"/>
      <c r="AA675" s="454"/>
      <c r="AB675" s="454"/>
    </row>
    <row r="676" spans="1:28">
      <c r="A676" s="331"/>
      <c r="B676" s="332"/>
      <c r="C676" s="454"/>
      <c r="D676" s="334"/>
      <c r="E676" s="333"/>
      <c r="F676" s="334"/>
      <c r="G676" s="334"/>
      <c r="H676" s="454"/>
      <c r="I676" s="455"/>
      <c r="J676" s="456"/>
      <c r="K676" s="456"/>
      <c r="L676" s="454"/>
      <c r="M676" s="454"/>
      <c r="N676" s="454"/>
      <c r="O676" s="454"/>
      <c r="P676" s="454"/>
      <c r="Q676" s="454"/>
      <c r="R676" s="454"/>
      <c r="S676" s="454"/>
      <c r="T676" s="454"/>
      <c r="U676" s="454"/>
      <c r="V676" s="454"/>
      <c r="W676" s="454"/>
      <c r="X676" s="454"/>
      <c r="Y676" s="454"/>
      <c r="Z676" s="454"/>
      <c r="AA676" s="454"/>
      <c r="AB676" s="454"/>
    </row>
    <row r="677" spans="1:28">
      <c r="A677" s="331"/>
      <c r="B677" s="332"/>
      <c r="C677" s="454"/>
      <c r="D677" s="334"/>
      <c r="E677" s="333"/>
      <c r="F677" s="334"/>
      <c r="G677" s="334"/>
      <c r="H677" s="454"/>
      <c r="I677" s="455"/>
      <c r="J677" s="456"/>
      <c r="K677" s="456"/>
      <c r="L677" s="454"/>
      <c r="M677" s="454"/>
      <c r="N677" s="454"/>
      <c r="O677" s="454"/>
      <c r="P677" s="454"/>
      <c r="Q677" s="454"/>
      <c r="R677" s="454"/>
      <c r="S677" s="454"/>
      <c r="T677" s="454"/>
      <c r="U677" s="454"/>
      <c r="V677" s="454"/>
      <c r="W677" s="454"/>
      <c r="X677" s="454"/>
      <c r="Y677" s="454"/>
      <c r="Z677" s="454"/>
      <c r="AA677" s="454"/>
      <c r="AB677" s="454"/>
    </row>
    <row r="678" spans="1:28">
      <c r="A678" s="331"/>
      <c r="B678" s="332"/>
      <c r="C678" s="454"/>
      <c r="D678" s="334"/>
      <c r="E678" s="333"/>
      <c r="F678" s="334"/>
      <c r="G678" s="336"/>
      <c r="H678" s="454"/>
      <c r="I678" s="455"/>
      <c r="J678" s="456"/>
      <c r="K678" s="456"/>
      <c r="L678" s="454"/>
      <c r="M678" s="454"/>
      <c r="N678" s="454"/>
      <c r="O678" s="454"/>
      <c r="P678" s="454"/>
      <c r="Q678" s="454"/>
      <c r="R678" s="454"/>
      <c r="S678" s="454"/>
      <c r="T678" s="454"/>
      <c r="U678" s="454"/>
      <c r="V678" s="454"/>
      <c r="W678" s="454"/>
      <c r="X678" s="454"/>
      <c r="Y678" s="454"/>
      <c r="Z678" s="454"/>
      <c r="AA678" s="454"/>
      <c r="AB678" s="454"/>
    </row>
    <row r="679" spans="1:28">
      <c r="A679" s="331"/>
      <c r="B679" s="332"/>
      <c r="C679" s="454"/>
      <c r="D679" s="334"/>
      <c r="E679" s="333"/>
      <c r="F679" s="333"/>
      <c r="G679" s="336"/>
      <c r="H679" s="454"/>
      <c r="I679" s="455"/>
      <c r="J679" s="456"/>
      <c r="K679" s="456"/>
      <c r="L679" s="454"/>
      <c r="M679" s="454"/>
      <c r="N679" s="454"/>
      <c r="O679" s="454"/>
      <c r="P679" s="454"/>
      <c r="Q679" s="454"/>
      <c r="R679" s="454"/>
      <c r="S679" s="454"/>
      <c r="T679" s="454"/>
      <c r="U679" s="454"/>
      <c r="V679" s="454"/>
      <c r="W679" s="454"/>
      <c r="X679" s="454"/>
      <c r="Y679" s="454"/>
      <c r="Z679" s="454"/>
      <c r="AA679" s="454"/>
      <c r="AB679" s="454"/>
    </row>
    <row r="680" spans="1:28">
      <c r="A680" s="331"/>
      <c r="B680" s="332"/>
      <c r="C680" s="454"/>
      <c r="D680" s="334"/>
      <c r="E680" s="333"/>
      <c r="F680" s="334"/>
      <c r="G680" s="336"/>
      <c r="H680" s="454"/>
      <c r="I680" s="455"/>
      <c r="J680" s="456"/>
      <c r="K680" s="456"/>
      <c r="L680" s="454"/>
      <c r="M680" s="454"/>
      <c r="N680" s="454"/>
      <c r="O680" s="454"/>
      <c r="P680" s="454"/>
      <c r="Q680" s="454"/>
      <c r="R680" s="454"/>
      <c r="S680" s="454"/>
      <c r="T680" s="454"/>
      <c r="U680" s="454"/>
      <c r="V680" s="454"/>
      <c r="W680" s="454"/>
      <c r="X680" s="454"/>
      <c r="Y680" s="454"/>
      <c r="Z680" s="454"/>
      <c r="AA680" s="454"/>
      <c r="AB680" s="454"/>
    </row>
    <row r="681" spans="1:28">
      <c r="A681" s="331"/>
      <c r="B681" s="332"/>
      <c r="C681" s="454"/>
      <c r="D681" s="334"/>
      <c r="E681" s="333"/>
      <c r="F681" s="334"/>
      <c r="G681" s="336"/>
      <c r="H681" s="454"/>
      <c r="I681" s="455"/>
      <c r="J681" s="456"/>
      <c r="K681" s="456"/>
      <c r="L681" s="454"/>
      <c r="M681" s="454"/>
      <c r="N681" s="454"/>
      <c r="O681" s="454"/>
      <c r="P681" s="454"/>
      <c r="Q681" s="454"/>
      <c r="R681" s="454"/>
      <c r="S681" s="454"/>
      <c r="T681" s="454"/>
      <c r="U681" s="454"/>
      <c r="V681" s="454"/>
      <c r="W681" s="454"/>
      <c r="X681" s="454"/>
      <c r="Y681" s="454"/>
      <c r="Z681" s="454"/>
      <c r="AA681" s="454"/>
      <c r="AB681" s="454"/>
    </row>
    <row r="682" spans="1:28">
      <c r="A682" s="331"/>
      <c r="B682" s="332"/>
      <c r="C682" s="454"/>
      <c r="D682" s="336"/>
      <c r="E682" s="333"/>
      <c r="F682" s="336"/>
      <c r="G682" s="336"/>
      <c r="H682" s="454"/>
      <c r="I682" s="455"/>
      <c r="J682" s="456"/>
      <c r="K682" s="456"/>
      <c r="L682" s="454"/>
      <c r="M682" s="454"/>
      <c r="N682" s="454"/>
      <c r="O682" s="454"/>
      <c r="P682" s="454"/>
      <c r="Q682" s="454"/>
      <c r="R682" s="454"/>
      <c r="S682" s="454"/>
      <c r="T682" s="454"/>
      <c r="U682" s="454"/>
      <c r="V682" s="454"/>
      <c r="W682" s="454"/>
      <c r="X682" s="454"/>
      <c r="Y682" s="454"/>
      <c r="Z682" s="454"/>
      <c r="AA682" s="454"/>
      <c r="AB682" s="454"/>
    </row>
    <row r="683" spans="1:28">
      <c r="A683" s="331"/>
      <c r="B683" s="332"/>
      <c r="C683" s="454"/>
      <c r="D683" s="334"/>
      <c r="E683" s="333"/>
      <c r="F683" s="334"/>
      <c r="G683" s="336"/>
      <c r="H683" s="454"/>
      <c r="I683" s="455"/>
      <c r="J683" s="456"/>
      <c r="K683" s="456"/>
      <c r="L683" s="454"/>
      <c r="M683" s="454"/>
      <c r="N683" s="454"/>
      <c r="O683" s="454"/>
      <c r="P683" s="454"/>
      <c r="Q683" s="454"/>
      <c r="R683" s="454"/>
      <c r="S683" s="454"/>
      <c r="T683" s="454"/>
      <c r="U683" s="454"/>
      <c r="V683" s="454"/>
      <c r="W683" s="454"/>
      <c r="X683" s="454"/>
      <c r="Y683" s="454"/>
      <c r="Z683" s="454"/>
      <c r="AA683" s="454"/>
      <c r="AB683" s="454"/>
    </row>
    <row r="684" spans="1:28">
      <c r="A684" s="331"/>
      <c r="B684" s="332"/>
      <c r="C684" s="454"/>
      <c r="D684" s="334"/>
      <c r="E684" s="333"/>
      <c r="F684" s="334"/>
      <c r="G684" s="334"/>
      <c r="H684" s="454"/>
      <c r="I684" s="455"/>
      <c r="J684" s="456"/>
      <c r="K684" s="456"/>
      <c r="L684" s="454"/>
      <c r="M684" s="454"/>
      <c r="N684" s="454"/>
      <c r="O684" s="454"/>
      <c r="P684" s="454"/>
      <c r="Q684" s="454"/>
      <c r="R684" s="454"/>
      <c r="S684" s="454"/>
      <c r="T684" s="454"/>
      <c r="U684" s="454"/>
      <c r="V684" s="454"/>
      <c r="W684" s="454"/>
      <c r="X684" s="454"/>
      <c r="Y684" s="454"/>
      <c r="Z684" s="454"/>
      <c r="AA684" s="454"/>
      <c r="AB684" s="454"/>
    </row>
    <row r="685" spans="1:28">
      <c r="A685" s="331"/>
      <c r="B685" s="332"/>
      <c r="C685" s="454"/>
      <c r="D685" s="334"/>
      <c r="E685" s="333"/>
      <c r="F685" s="334"/>
      <c r="G685" s="334"/>
      <c r="H685" s="454"/>
      <c r="I685" s="455"/>
      <c r="J685" s="456"/>
      <c r="K685" s="456"/>
      <c r="L685" s="454"/>
      <c r="M685" s="454"/>
      <c r="N685" s="454"/>
      <c r="O685" s="454"/>
      <c r="P685" s="454"/>
      <c r="Q685" s="454"/>
      <c r="R685" s="454"/>
      <c r="S685" s="454"/>
      <c r="T685" s="454"/>
      <c r="U685" s="454"/>
      <c r="V685" s="454"/>
      <c r="W685" s="454"/>
      <c r="X685" s="454"/>
      <c r="Y685" s="454"/>
      <c r="Z685" s="454"/>
      <c r="AA685" s="454"/>
      <c r="AB685" s="454"/>
    </row>
    <row r="686" spans="1:28">
      <c r="A686" s="331"/>
      <c r="B686" s="332"/>
      <c r="C686" s="454"/>
      <c r="D686" s="334"/>
      <c r="E686" s="333"/>
      <c r="F686" s="334"/>
      <c r="G686" s="334"/>
      <c r="H686" s="454"/>
      <c r="I686" s="455"/>
      <c r="J686" s="456"/>
      <c r="K686" s="456"/>
      <c r="L686" s="454"/>
      <c r="M686" s="454"/>
      <c r="N686" s="454"/>
      <c r="O686" s="454"/>
      <c r="P686" s="454"/>
      <c r="Q686" s="454"/>
      <c r="R686" s="454"/>
      <c r="S686" s="454"/>
      <c r="T686" s="454"/>
      <c r="U686" s="454"/>
      <c r="V686" s="454"/>
      <c r="W686" s="454"/>
      <c r="X686" s="454"/>
      <c r="Y686" s="454"/>
      <c r="Z686" s="454"/>
      <c r="AA686" s="454"/>
      <c r="AB686" s="454"/>
    </row>
    <row r="687" spans="1:28">
      <c r="A687" s="331"/>
      <c r="B687" s="332"/>
      <c r="C687" s="454"/>
      <c r="D687" s="334"/>
      <c r="E687" s="333"/>
      <c r="F687" s="334"/>
      <c r="G687" s="334"/>
      <c r="H687" s="454"/>
      <c r="I687" s="455"/>
      <c r="J687" s="456"/>
      <c r="K687" s="456"/>
      <c r="L687" s="454"/>
      <c r="M687" s="454"/>
      <c r="N687" s="454"/>
      <c r="O687" s="454"/>
      <c r="P687" s="454"/>
      <c r="Q687" s="454"/>
      <c r="R687" s="454"/>
      <c r="S687" s="454"/>
      <c r="T687" s="454"/>
      <c r="U687" s="454"/>
      <c r="V687" s="454"/>
      <c r="W687" s="454"/>
      <c r="X687" s="454"/>
      <c r="Y687" s="454"/>
      <c r="Z687" s="454"/>
      <c r="AA687" s="454"/>
      <c r="AB687" s="454"/>
    </row>
    <row r="688" spans="1:28">
      <c r="A688" s="331"/>
      <c r="B688" s="332"/>
      <c r="C688" s="454"/>
      <c r="D688" s="334"/>
      <c r="E688" s="333"/>
      <c r="F688" s="334"/>
      <c r="G688" s="334"/>
      <c r="H688" s="454"/>
      <c r="I688" s="455"/>
      <c r="J688" s="456"/>
      <c r="K688" s="456"/>
      <c r="L688" s="454"/>
      <c r="M688" s="454"/>
      <c r="N688" s="454"/>
      <c r="O688" s="454"/>
      <c r="P688" s="454"/>
      <c r="Q688" s="454"/>
      <c r="R688" s="454"/>
      <c r="S688" s="454"/>
      <c r="T688" s="454"/>
      <c r="U688" s="454"/>
      <c r="V688" s="454"/>
      <c r="W688" s="454"/>
      <c r="X688" s="454"/>
      <c r="Y688" s="454"/>
      <c r="Z688" s="454"/>
      <c r="AA688" s="454"/>
      <c r="AB688" s="454"/>
    </row>
    <row r="689" spans="1:28">
      <c r="A689" s="331"/>
      <c r="B689" s="332"/>
      <c r="C689" s="454"/>
      <c r="D689" s="333"/>
      <c r="E689" s="333"/>
      <c r="F689" s="333"/>
      <c r="G689" s="333"/>
      <c r="H689" s="454"/>
      <c r="I689" s="455"/>
      <c r="J689" s="456"/>
      <c r="K689" s="456"/>
      <c r="L689" s="454"/>
      <c r="M689" s="454"/>
      <c r="N689" s="454"/>
      <c r="O689" s="454"/>
      <c r="P689" s="454"/>
      <c r="Q689" s="454"/>
      <c r="R689" s="454"/>
      <c r="S689" s="454"/>
      <c r="T689" s="454"/>
      <c r="U689" s="454"/>
      <c r="V689" s="454"/>
      <c r="W689" s="454"/>
      <c r="X689" s="454"/>
      <c r="Y689" s="454"/>
      <c r="Z689" s="454"/>
      <c r="AA689" s="454"/>
      <c r="AB689" s="454"/>
    </row>
    <row r="690" spans="1:28">
      <c r="A690" s="331"/>
      <c r="B690" s="332"/>
      <c r="C690" s="454"/>
      <c r="D690" s="333"/>
      <c r="E690" s="333"/>
      <c r="F690" s="333"/>
      <c r="G690" s="333"/>
      <c r="H690" s="454"/>
      <c r="I690" s="455"/>
      <c r="J690" s="456"/>
      <c r="K690" s="456"/>
      <c r="L690" s="454"/>
      <c r="M690" s="454"/>
      <c r="N690" s="454"/>
      <c r="O690" s="454"/>
      <c r="P690" s="454"/>
      <c r="Q690" s="454"/>
      <c r="R690" s="454"/>
      <c r="S690" s="454"/>
      <c r="T690" s="454"/>
      <c r="U690" s="454"/>
      <c r="V690" s="454"/>
      <c r="W690" s="454"/>
      <c r="X690" s="454"/>
      <c r="Y690" s="454"/>
      <c r="Z690" s="454"/>
      <c r="AA690" s="454"/>
      <c r="AB690" s="454"/>
    </row>
    <row r="691" spans="1:28">
      <c r="A691" s="331"/>
      <c r="B691" s="332"/>
      <c r="C691" s="454"/>
      <c r="D691" s="333"/>
      <c r="E691" s="333"/>
      <c r="F691" s="333"/>
      <c r="G691" s="333"/>
      <c r="H691" s="454"/>
      <c r="I691" s="455"/>
      <c r="J691" s="456"/>
      <c r="K691" s="456"/>
      <c r="L691" s="454"/>
      <c r="M691" s="454"/>
      <c r="N691" s="454"/>
      <c r="O691" s="454"/>
      <c r="P691" s="454"/>
      <c r="Q691" s="454"/>
      <c r="R691" s="454"/>
      <c r="S691" s="454"/>
      <c r="T691" s="454"/>
      <c r="U691" s="454"/>
      <c r="V691" s="454"/>
      <c r="W691" s="454"/>
      <c r="X691" s="454"/>
      <c r="Y691" s="454"/>
      <c r="Z691" s="454"/>
      <c r="AA691" s="454"/>
      <c r="AB691" s="454"/>
    </row>
    <row r="692" spans="1:28">
      <c r="A692" s="331"/>
      <c r="B692" s="332"/>
      <c r="C692" s="454"/>
      <c r="D692" s="333"/>
      <c r="E692" s="333"/>
      <c r="F692" s="333"/>
      <c r="G692" s="333"/>
      <c r="H692" s="454"/>
      <c r="I692" s="455"/>
      <c r="J692" s="456"/>
      <c r="K692" s="456"/>
      <c r="L692" s="454"/>
      <c r="M692" s="454"/>
      <c r="N692" s="454"/>
      <c r="O692" s="454"/>
      <c r="P692" s="454"/>
      <c r="Q692" s="454"/>
      <c r="R692" s="454"/>
      <c r="S692" s="454"/>
      <c r="T692" s="454"/>
      <c r="U692" s="454"/>
      <c r="V692" s="454"/>
      <c r="W692" s="454"/>
      <c r="X692" s="454"/>
      <c r="Y692" s="454"/>
      <c r="Z692" s="454"/>
      <c r="AA692" s="454"/>
      <c r="AB692" s="454"/>
    </row>
    <row r="693" spans="1:28">
      <c r="A693" s="331"/>
      <c r="B693" s="332"/>
      <c r="C693" s="454"/>
      <c r="D693" s="333"/>
      <c r="E693" s="333"/>
      <c r="F693" s="333"/>
      <c r="G693" s="333"/>
      <c r="H693" s="454"/>
      <c r="I693" s="455"/>
      <c r="J693" s="456"/>
      <c r="K693" s="456"/>
      <c r="L693" s="454"/>
      <c r="M693" s="454"/>
      <c r="N693" s="454"/>
      <c r="O693" s="454"/>
      <c r="P693" s="454"/>
      <c r="Q693" s="454"/>
      <c r="R693" s="454"/>
      <c r="S693" s="454"/>
      <c r="T693" s="454"/>
      <c r="U693" s="454"/>
      <c r="V693" s="454"/>
      <c r="W693" s="454"/>
      <c r="X693" s="454"/>
      <c r="Y693" s="454"/>
      <c r="Z693" s="454"/>
      <c r="AA693" s="454"/>
      <c r="AB693" s="454"/>
    </row>
    <row r="694" spans="1:28">
      <c r="A694" s="331"/>
      <c r="B694" s="332"/>
      <c r="C694" s="454"/>
      <c r="D694" s="333"/>
      <c r="E694" s="333"/>
      <c r="F694" s="333"/>
      <c r="G694" s="333"/>
      <c r="H694" s="454"/>
      <c r="I694" s="455"/>
      <c r="J694" s="456"/>
      <c r="K694" s="456"/>
      <c r="L694" s="454"/>
      <c r="M694" s="454"/>
      <c r="N694" s="454"/>
      <c r="O694" s="454"/>
      <c r="P694" s="454"/>
      <c r="Q694" s="454"/>
      <c r="R694" s="454"/>
      <c r="S694" s="454"/>
      <c r="T694" s="454"/>
      <c r="U694" s="454"/>
      <c r="V694" s="454"/>
      <c r="W694" s="454"/>
      <c r="X694" s="454"/>
      <c r="Y694" s="454"/>
      <c r="Z694" s="454"/>
      <c r="AA694" s="454"/>
      <c r="AB694" s="454"/>
    </row>
    <row r="695" spans="1:28">
      <c r="A695" s="331"/>
      <c r="B695" s="332"/>
      <c r="C695" s="454"/>
      <c r="D695" s="333"/>
      <c r="E695" s="333"/>
      <c r="F695" s="333"/>
      <c r="G695" s="333"/>
      <c r="H695" s="454"/>
      <c r="I695" s="455"/>
      <c r="J695" s="456"/>
      <c r="K695" s="456"/>
      <c r="L695" s="454"/>
      <c r="M695" s="454"/>
      <c r="N695" s="454"/>
      <c r="O695" s="454"/>
      <c r="P695" s="454"/>
      <c r="Q695" s="454"/>
      <c r="R695" s="454"/>
      <c r="S695" s="454"/>
      <c r="T695" s="454"/>
      <c r="U695" s="454"/>
      <c r="V695" s="454"/>
      <c r="W695" s="454"/>
      <c r="X695" s="454"/>
      <c r="Y695" s="454"/>
      <c r="Z695" s="454"/>
      <c r="AA695" s="454"/>
      <c r="AB695" s="454"/>
    </row>
    <row r="696" spans="1:28">
      <c r="A696" s="331"/>
      <c r="B696" s="332"/>
      <c r="C696" s="454"/>
      <c r="D696" s="333"/>
      <c r="E696" s="333"/>
      <c r="F696" s="333"/>
      <c r="G696" s="333"/>
      <c r="H696" s="454"/>
      <c r="I696" s="455"/>
      <c r="J696" s="456"/>
      <c r="K696" s="456"/>
      <c r="L696" s="454"/>
      <c r="M696" s="454"/>
      <c r="N696" s="454"/>
      <c r="O696" s="454"/>
      <c r="P696" s="454"/>
      <c r="Q696" s="454"/>
      <c r="R696" s="454"/>
      <c r="S696" s="454"/>
      <c r="T696" s="454"/>
      <c r="U696" s="454"/>
      <c r="V696" s="454"/>
      <c r="W696" s="454"/>
      <c r="X696" s="454"/>
      <c r="Y696" s="454"/>
      <c r="Z696" s="454"/>
      <c r="AA696" s="454"/>
      <c r="AB696" s="454"/>
    </row>
    <row r="697" spans="1:28">
      <c r="A697" s="331"/>
      <c r="B697" s="332"/>
      <c r="C697" s="454"/>
      <c r="D697" s="333"/>
      <c r="E697" s="333"/>
      <c r="F697" s="333"/>
      <c r="G697" s="333"/>
      <c r="H697" s="454"/>
      <c r="I697" s="455"/>
      <c r="J697" s="456"/>
      <c r="K697" s="456"/>
      <c r="L697" s="454"/>
      <c r="M697" s="454"/>
      <c r="N697" s="454"/>
      <c r="O697" s="454"/>
      <c r="P697" s="454"/>
      <c r="Q697" s="454"/>
      <c r="R697" s="454"/>
      <c r="S697" s="454"/>
      <c r="T697" s="454"/>
      <c r="U697" s="454"/>
      <c r="V697" s="454"/>
      <c r="W697" s="454"/>
      <c r="X697" s="454"/>
      <c r="Y697" s="454"/>
      <c r="Z697" s="454"/>
      <c r="AA697" s="454"/>
      <c r="AB697" s="454"/>
    </row>
    <row r="698" spans="1:28">
      <c r="A698" s="331"/>
      <c r="B698" s="332"/>
      <c r="C698" s="454"/>
      <c r="D698" s="333"/>
      <c r="E698" s="333"/>
      <c r="F698" s="333"/>
      <c r="G698" s="333"/>
      <c r="H698" s="454"/>
      <c r="I698" s="455"/>
      <c r="J698" s="456"/>
      <c r="K698" s="456"/>
      <c r="L698" s="454"/>
      <c r="M698" s="454"/>
      <c r="N698" s="454"/>
      <c r="O698" s="454"/>
      <c r="P698" s="454"/>
      <c r="Q698" s="454"/>
      <c r="R698" s="454"/>
      <c r="S698" s="454"/>
      <c r="T698" s="454"/>
      <c r="U698" s="454"/>
      <c r="V698" s="454"/>
      <c r="W698" s="454"/>
      <c r="X698" s="454"/>
      <c r="Y698" s="454"/>
      <c r="Z698" s="454"/>
      <c r="AA698" s="454"/>
      <c r="AB698" s="454"/>
    </row>
    <row r="699" spans="1:28">
      <c r="A699" s="331"/>
      <c r="B699" s="332"/>
      <c r="C699" s="454"/>
      <c r="D699" s="334"/>
      <c r="E699" s="333"/>
      <c r="F699" s="334"/>
      <c r="G699" s="334"/>
      <c r="H699" s="454"/>
      <c r="I699" s="455"/>
      <c r="J699" s="456"/>
      <c r="K699" s="456"/>
      <c r="L699" s="454"/>
      <c r="M699" s="454"/>
      <c r="N699" s="454"/>
      <c r="O699" s="454"/>
      <c r="P699" s="454"/>
      <c r="Q699" s="454"/>
      <c r="R699" s="454"/>
      <c r="S699" s="454"/>
      <c r="T699" s="454"/>
      <c r="U699" s="454"/>
      <c r="V699" s="454"/>
      <c r="W699" s="454"/>
      <c r="X699" s="454"/>
      <c r="Y699" s="454"/>
      <c r="Z699" s="454"/>
      <c r="AA699" s="454"/>
      <c r="AB699" s="454"/>
    </row>
    <row r="700" spans="1:28">
      <c r="A700" s="331"/>
      <c r="B700" s="332"/>
      <c r="C700" s="454"/>
      <c r="D700" s="334"/>
      <c r="E700" s="333"/>
      <c r="F700" s="334"/>
      <c r="G700" s="334"/>
      <c r="H700" s="454"/>
      <c r="I700" s="455"/>
      <c r="J700" s="456"/>
      <c r="K700" s="456"/>
      <c r="L700" s="454"/>
      <c r="M700" s="454"/>
      <c r="N700" s="454"/>
      <c r="O700" s="454"/>
      <c r="P700" s="454"/>
      <c r="Q700" s="454"/>
      <c r="R700" s="454"/>
      <c r="S700" s="454"/>
      <c r="T700" s="454"/>
      <c r="U700" s="454"/>
      <c r="V700" s="454"/>
      <c r="W700" s="454"/>
      <c r="X700" s="454"/>
      <c r="Y700" s="454"/>
      <c r="Z700" s="454"/>
      <c r="AA700" s="454"/>
      <c r="AB700" s="454"/>
    </row>
    <row r="701" spans="1:28">
      <c r="A701" s="331"/>
      <c r="B701" s="332"/>
      <c r="C701" s="454"/>
      <c r="D701" s="333"/>
      <c r="E701" s="333"/>
      <c r="F701" s="333"/>
      <c r="G701" s="333"/>
      <c r="H701" s="454"/>
      <c r="I701" s="455"/>
      <c r="J701" s="456"/>
      <c r="K701" s="456"/>
      <c r="L701" s="454"/>
      <c r="M701" s="454"/>
      <c r="N701" s="454"/>
      <c r="O701" s="454"/>
      <c r="P701" s="454"/>
      <c r="Q701" s="454"/>
      <c r="R701" s="454"/>
      <c r="S701" s="454"/>
      <c r="T701" s="454"/>
      <c r="U701" s="454"/>
      <c r="V701" s="454"/>
      <c r="W701" s="454"/>
      <c r="X701" s="454"/>
      <c r="Y701" s="454"/>
      <c r="Z701" s="454"/>
      <c r="AA701" s="454"/>
      <c r="AB701" s="454"/>
    </row>
    <row r="702" spans="1:28">
      <c r="A702" s="331"/>
      <c r="B702" s="332"/>
      <c r="C702" s="454"/>
      <c r="D702" s="333"/>
      <c r="E702" s="333"/>
      <c r="F702" s="333"/>
      <c r="G702" s="333"/>
      <c r="H702" s="454"/>
      <c r="I702" s="455"/>
      <c r="J702" s="456"/>
      <c r="K702" s="456"/>
      <c r="L702" s="454"/>
      <c r="M702" s="454"/>
      <c r="N702" s="454"/>
      <c r="O702" s="454"/>
      <c r="P702" s="454"/>
      <c r="Q702" s="454"/>
      <c r="R702" s="454"/>
      <c r="S702" s="454"/>
      <c r="T702" s="454"/>
      <c r="U702" s="454"/>
      <c r="V702" s="454"/>
      <c r="W702" s="454"/>
      <c r="X702" s="454"/>
      <c r="Y702" s="454"/>
      <c r="Z702" s="454"/>
      <c r="AA702" s="454"/>
      <c r="AB702" s="454"/>
    </row>
    <row r="703" spans="1:28">
      <c r="A703" s="331"/>
      <c r="B703" s="332"/>
      <c r="C703" s="454"/>
      <c r="D703" s="333"/>
      <c r="E703" s="333"/>
      <c r="F703" s="333"/>
      <c r="G703" s="333"/>
      <c r="H703" s="454"/>
      <c r="I703" s="455"/>
      <c r="J703" s="456"/>
      <c r="K703" s="456"/>
      <c r="L703" s="454"/>
      <c r="M703" s="454"/>
      <c r="N703" s="454"/>
      <c r="O703" s="454"/>
      <c r="P703" s="454"/>
      <c r="Q703" s="454"/>
      <c r="R703" s="454"/>
      <c r="S703" s="454"/>
      <c r="T703" s="454"/>
      <c r="U703" s="454"/>
      <c r="V703" s="454"/>
      <c r="W703" s="454"/>
      <c r="X703" s="454"/>
      <c r="Y703" s="454"/>
      <c r="Z703" s="454"/>
      <c r="AA703" s="454"/>
      <c r="AB703" s="454"/>
    </row>
    <row r="704" spans="1:28">
      <c r="A704" s="331"/>
      <c r="B704" s="332"/>
      <c r="C704" s="454"/>
      <c r="D704" s="333"/>
      <c r="E704" s="333"/>
      <c r="F704" s="333"/>
      <c r="G704" s="333"/>
      <c r="H704" s="454"/>
      <c r="I704" s="455"/>
      <c r="J704" s="456"/>
      <c r="K704" s="456"/>
      <c r="L704" s="454"/>
      <c r="M704" s="454"/>
      <c r="N704" s="454"/>
      <c r="O704" s="454"/>
      <c r="P704" s="454"/>
      <c r="Q704" s="454"/>
      <c r="R704" s="454"/>
      <c r="S704" s="454"/>
      <c r="T704" s="454"/>
      <c r="U704" s="454"/>
      <c r="V704" s="454"/>
      <c r="W704" s="454"/>
      <c r="X704" s="454"/>
      <c r="Y704" s="454"/>
      <c r="Z704" s="454"/>
      <c r="AA704" s="454"/>
      <c r="AB704" s="454"/>
    </row>
    <row r="705" spans="1:28">
      <c r="A705" s="331"/>
      <c r="B705" s="332"/>
      <c r="C705" s="454"/>
      <c r="D705" s="337"/>
      <c r="E705" s="333"/>
      <c r="F705" s="337"/>
      <c r="G705" s="337"/>
      <c r="H705" s="454"/>
      <c r="I705" s="455"/>
      <c r="J705" s="456"/>
      <c r="K705" s="456"/>
      <c r="L705" s="454"/>
      <c r="M705" s="454"/>
      <c r="N705" s="454"/>
      <c r="O705" s="454"/>
      <c r="P705" s="454"/>
      <c r="Q705" s="454"/>
      <c r="R705" s="454"/>
      <c r="S705" s="454"/>
      <c r="T705" s="454"/>
      <c r="U705" s="454"/>
      <c r="V705" s="454"/>
      <c r="W705" s="454"/>
      <c r="X705" s="454"/>
      <c r="Y705" s="454"/>
      <c r="Z705" s="454"/>
      <c r="AA705" s="454"/>
      <c r="AB705" s="454"/>
    </row>
    <row r="706" spans="1:28">
      <c r="A706" s="331"/>
      <c r="B706" s="332"/>
      <c r="C706" s="454"/>
      <c r="D706" s="335"/>
      <c r="E706" s="333"/>
      <c r="F706" s="335"/>
      <c r="G706" s="335"/>
      <c r="H706" s="454"/>
      <c r="I706" s="455"/>
      <c r="J706" s="456"/>
      <c r="K706" s="456"/>
      <c r="L706" s="454"/>
      <c r="M706" s="454"/>
      <c r="N706" s="454"/>
      <c r="O706" s="454"/>
      <c r="P706" s="454"/>
      <c r="Q706" s="454"/>
      <c r="R706" s="454"/>
      <c r="S706" s="454"/>
      <c r="T706" s="454"/>
      <c r="U706" s="454"/>
      <c r="V706" s="454"/>
      <c r="W706" s="454"/>
      <c r="X706" s="454"/>
      <c r="Y706" s="454"/>
      <c r="Z706" s="454"/>
      <c r="AA706" s="454"/>
      <c r="AB706" s="454"/>
    </row>
    <row r="707" spans="1:28">
      <c r="A707" s="331"/>
      <c r="B707" s="332"/>
      <c r="C707" s="454"/>
      <c r="D707" s="336"/>
      <c r="E707" s="333"/>
      <c r="F707" s="336"/>
      <c r="G707" s="336"/>
      <c r="H707" s="454"/>
      <c r="I707" s="455"/>
      <c r="J707" s="456"/>
      <c r="K707" s="456"/>
      <c r="L707" s="454"/>
      <c r="M707" s="454"/>
      <c r="N707" s="454"/>
      <c r="O707" s="454"/>
      <c r="P707" s="454"/>
      <c r="Q707" s="454"/>
      <c r="R707" s="454"/>
      <c r="S707" s="454"/>
      <c r="T707" s="454"/>
      <c r="U707" s="454"/>
      <c r="V707" s="454"/>
      <c r="W707" s="454"/>
      <c r="X707" s="454"/>
      <c r="Y707" s="454"/>
      <c r="Z707" s="454"/>
      <c r="AA707" s="454"/>
      <c r="AB707" s="454"/>
    </row>
    <row r="708" spans="1:28">
      <c r="A708" s="331"/>
      <c r="B708" s="332"/>
      <c r="C708" s="454"/>
      <c r="D708" s="336"/>
      <c r="E708" s="333"/>
      <c r="F708" s="336"/>
      <c r="G708" s="336"/>
      <c r="H708" s="454"/>
      <c r="I708" s="455"/>
      <c r="J708" s="456"/>
      <c r="K708" s="456"/>
      <c r="L708" s="454"/>
      <c r="M708" s="454"/>
      <c r="N708" s="454"/>
      <c r="O708" s="454"/>
      <c r="P708" s="454"/>
      <c r="Q708" s="454"/>
      <c r="R708" s="454"/>
      <c r="S708" s="454"/>
      <c r="T708" s="454"/>
      <c r="U708" s="454"/>
      <c r="V708" s="454"/>
      <c r="W708" s="454"/>
      <c r="X708" s="454"/>
      <c r="Y708" s="454"/>
      <c r="Z708" s="454"/>
      <c r="AA708" s="454"/>
      <c r="AB708" s="454"/>
    </row>
    <row r="709" spans="1:28">
      <c r="A709" s="331"/>
      <c r="B709" s="332"/>
      <c r="C709" s="454"/>
      <c r="D709" s="334"/>
      <c r="E709" s="333"/>
      <c r="F709" s="334"/>
      <c r="G709" s="336"/>
      <c r="H709" s="454"/>
      <c r="I709" s="455"/>
      <c r="J709" s="456"/>
      <c r="K709" s="456"/>
      <c r="L709" s="454"/>
      <c r="M709" s="454"/>
      <c r="N709" s="454"/>
      <c r="O709" s="454"/>
      <c r="P709" s="454"/>
      <c r="Q709" s="454"/>
      <c r="R709" s="454"/>
      <c r="S709" s="454"/>
      <c r="T709" s="454"/>
      <c r="U709" s="454"/>
      <c r="V709" s="454"/>
      <c r="W709" s="454"/>
      <c r="X709" s="454"/>
      <c r="Y709" s="454"/>
      <c r="Z709" s="454"/>
      <c r="AA709" s="454"/>
      <c r="AB709" s="454"/>
    </row>
    <row r="710" spans="1:28">
      <c r="A710" s="331"/>
      <c r="B710" s="332"/>
      <c r="C710" s="454"/>
      <c r="D710" s="334"/>
      <c r="E710" s="333"/>
      <c r="F710" s="333"/>
      <c r="G710" s="336"/>
      <c r="H710" s="454"/>
      <c r="I710" s="455"/>
      <c r="J710" s="456"/>
      <c r="K710" s="456"/>
      <c r="L710" s="454"/>
      <c r="M710" s="454"/>
      <c r="N710" s="454"/>
      <c r="O710" s="454"/>
      <c r="P710" s="454"/>
      <c r="Q710" s="454"/>
      <c r="R710" s="454"/>
      <c r="S710" s="454"/>
      <c r="T710" s="454"/>
      <c r="U710" s="454"/>
      <c r="V710" s="454"/>
      <c r="W710" s="454"/>
      <c r="X710" s="454"/>
      <c r="Y710" s="454"/>
      <c r="Z710" s="454"/>
      <c r="AA710" s="454"/>
      <c r="AB710" s="454"/>
    </row>
    <row r="711" spans="1:28">
      <c r="A711" s="331"/>
      <c r="B711" s="332"/>
      <c r="C711" s="454"/>
      <c r="D711" s="334"/>
      <c r="E711" s="333"/>
      <c r="F711" s="334"/>
      <c r="G711" s="336"/>
      <c r="H711" s="454"/>
      <c r="I711" s="455"/>
      <c r="J711" s="456"/>
      <c r="K711" s="456"/>
      <c r="L711" s="454"/>
      <c r="M711" s="454"/>
      <c r="N711" s="454"/>
      <c r="O711" s="454"/>
      <c r="P711" s="454"/>
      <c r="Q711" s="454"/>
      <c r="R711" s="454"/>
      <c r="S711" s="454"/>
      <c r="T711" s="454"/>
      <c r="U711" s="454"/>
      <c r="V711" s="454"/>
      <c r="W711" s="454"/>
      <c r="X711" s="454"/>
      <c r="Y711" s="454"/>
      <c r="Z711" s="454"/>
      <c r="AA711" s="454"/>
      <c r="AB711" s="454"/>
    </row>
    <row r="712" spans="1:28">
      <c r="A712" s="331"/>
      <c r="B712" s="332"/>
      <c r="C712" s="454"/>
      <c r="D712" s="334"/>
      <c r="E712" s="333"/>
      <c r="F712" s="334"/>
      <c r="G712" s="336"/>
      <c r="H712" s="454"/>
      <c r="I712" s="455"/>
      <c r="J712" s="456"/>
      <c r="K712" s="456"/>
      <c r="L712" s="454"/>
      <c r="M712" s="454"/>
      <c r="N712" s="454"/>
      <c r="O712" s="454"/>
      <c r="P712" s="454"/>
      <c r="Q712" s="454"/>
      <c r="R712" s="454"/>
      <c r="S712" s="454"/>
      <c r="T712" s="454"/>
      <c r="U712" s="454"/>
      <c r="V712" s="454"/>
      <c r="W712" s="454"/>
      <c r="X712" s="454"/>
      <c r="Y712" s="454"/>
      <c r="Z712" s="454"/>
      <c r="AA712" s="454"/>
      <c r="AB712" s="454"/>
    </row>
    <row r="713" spans="1:28">
      <c r="A713" s="331"/>
      <c r="B713" s="332"/>
      <c r="C713" s="454"/>
      <c r="D713" s="334"/>
      <c r="E713" s="333"/>
      <c r="F713" s="334"/>
      <c r="G713" s="336"/>
      <c r="H713" s="454"/>
      <c r="I713" s="455"/>
      <c r="J713" s="456"/>
      <c r="K713" s="456"/>
      <c r="L713" s="454"/>
      <c r="M713" s="454"/>
      <c r="N713" s="454"/>
      <c r="O713" s="454"/>
      <c r="P713" s="454"/>
      <c r="Q713" s="454"/>
      <c r="R713" s="454"/>
      <c r="S713" s="454"/>
      <c r="T713" s="454"/>
      <c r="U713" s="454"/>
      <c r="V713" s="454"/>
      <c r="W713" s="454"/>
      <c r="X713" s="454"/>
      <c r="Y713" s="454"/>
      <c r="Z713" s="454"/>
      <c r="AA713" s="454"/>
      <c r="AB713" s="454"/>
    </row>
    <row r="714" spans="1:28">
      <c r="A714" s="331"/>
      <c r="B714" s="332"/>
      <c r="C714" s="454"/>
      <c r="D714" s="334"/>
      <c r="E714" s="333"/>
      <c r="F714" s="334"/>
      <c r="G714" s="336"/>
      <c r="H714" s="454"/>
      <c r="I714" s="455"/>
      <c r="J714" s="456"/>
      <c r="K714" s="456"/>
      <c r="L714" s="454"/>
      <c r="M714" s="454"/>
      <c r="N714" s="454"/>
      <c r="O714" s="454"/>
      <c r="P714" s="454"/>
      <c r="Q714" s="454"/>
      <c r="R714" s="454"/>
      <c r="S714" s="454"/>
      <c r="T714" s="454"/>
      <c r="U714" s="454"/>
      <c r="V714" s="454"/>
      <c r="W714" s="454"/>
      <c r="X714" s="454"/>
      <c r="Y714" s="454"/>
      <c r="Z714" s="454"/>
      <c r="AA714" s="454"/>
      <c r="AB714" s="454"/>
    </row>
    <row r="715" spans="1:28">
      <c r="A715" s="331"/>
      <c r="B715" s="332"/>
      <c r="C715" s="454"/>
      <c r="D715" s="334"/>
      <c r="E715" s="333"/>
      <c r="F715" s="334"/>
      <c r="G715" s="336"/>
      <c r="H715" s="454"/>
      <c r="I715" s="455"/>
      <c r="J715" s="456"/>
      <c r="K715" s="456"/>
      <c r="L715" s="454"/>
      <c r="M715" s="454"/>
      <c r="N715" s="454"/>
      <c r="O715" s="454"/>
      <c r="P715" s="454"/>
      <c r="Q715" s="454"/>
      <c r="R715" s="454"/>
      <c r="S715" s="454"/>
      <c r="T715" s="454"/>
      <c r="U715" s="454"/>
      <c r="V715" s="454"/>
      <c r="W715" s="454"/>
      <c r="X715" s="454"/>
      <c r="Y715" s="454"/>
      <c r="Z715" s="454"/>
      <c r="AA715" s="454"/>
      <c r="AB715" s="454"/>
    </row>
    <row r="716" spans="1:28">
      <c r="A716" s="331"/>
      <c r="B716" s="332"/>
      <c r="C716" s="454"/>
      <c r="D716" s="334"/>
      <c r="E716" s="333"/>
      <c r="F716" s="334"/>
      <c r="G716" s="336"/>
      <c r="H716" s="454"/>
      <c r="I716" s="455"/>
      <c r="J716" s="456"/>
      <c r="K716" s="456"/>
      <c r="L716" s="454"/>
      <c r="M716" s="454"/>
      <c r="N716" s="454"/>
      <c r="O716" s="454"/>
      <c r="P716" s="454"/>
      <c r="Q716" s="454"/>
      <c r="R716" s="454"/>
      <c r="S716" s="454"/>
      <c r="T716" s="454"/>
      <c r="U716" s="454"/>
      <c r="V716" s="454"/>
      <c r="W716" s="454"/>
      <c r="X716" s="454"/>
      <c r="Y716" s="454"/>
      <c r="Z716" s="454"/>
      <c r="AA716" s="454"/>
      <c r="AB716" s="454"/>
    </row>
    <row r="717" spans="1:28">
      <c r="A717" s="331"/>
      <c r="B717" s="332"/>
      <c r="C717" s="454"/>
      <c r="D717" s="334"/>
      <c r="E717" s="333"/>
      <c r="F717" s="334"/>
      <c r="G717" s="336"/>
      <c r="H717" s="454"/>
      <c r="I717" s="455"/>
      <c r="J717" s="456"/>
      <c r="K717" s="456"/>
      <c r="L717" s="454"/>
      <c r="M717" s="454"/>
      <c r="N717" s="454"/>
      <c r="O717" s="454"/>
      <c r="P717" s="454"/>
      <c r="Q717" s="454"/>
      <c r="R717" s="454"/>
      <c r="S717" s="454"/>
      <c r="T717" s="454"/>
      <c r="U717" s="454"/>
      <c r="V717" s="454"/>
      <c r="W717" s="454"/>
      <c r="X717" s="454"/>
      <c r="Y717" s="454"/>
      <c r="Z717" s="454"/>
      <c r="AA717" s="454"/>
      <c r="AB717" s="454"/>
    </row>
    <row r="718" spans="1:28">
      <c r="A718" s="331"/>
      <c r="B718" s="332"/>
      <c r="C718" s="454"/>
      <c r="D718" s="334"/>
      <c r="E718" s="333"/>
      <c r="F718" s="334"/>
      <c r="G718" s="336"/>
      <c r="H718" s="454"/>
      <c r="I718" s="455"/>
      <c r="J718" s="456"/>
      <c r="K718" s="456"/>
      <c r="L718" s="454"/>
      <c r="M718" s="454"/>
      <c r="N718" s="454"/>
      <c r="O718" s="454"/>
      <c r="P718" s="454"/>
      <c r="Q718" s="454"/>
      <c r="R718" s="454"/>
      <c r="S718" s="454"/>
      <c r="T718" s="454"/>
      <c r="U718" s="454"/>
      <c r="V718" s="454"/>
      <c r="W718" s="454"/>
      <c r="X718" s="454"/>
      <c r="Y718" s="454"/>
      <c r="Z718" s="454"/>
      <c r="AA718" s="454"/>
      <c r="AB718" s="454"/>
    </row>
    <row r="719" spans="1:28">
      <c r="A719" s="331"/>
      <c r="B719" s="332"/>
      <c r="C719" s="454"/>
      <c r="D719" s="334"/>
      <c r="E719" s="333"/>
      <c r="F719" s="334"/>
      <c r="G719" s="335"/>
      <c r="H719" s="454"/>
      <c r="I719" s="455"/>
      <c r="J719" s="456"/>
      <c r="K719" s="456"/>
      <c r="L719" s="454"/>
      <c r="M719" s="454"/>
      <c r="N719" s="454"/>
      <c r="O719" s="454"/>
      <c r="P719" s="454"/>
      <c r="Q719" s="454"/>
      <c r="R719" s="454"/>
      <c r="S719" s="454"/>
      <c r="T719" s="454"/>
      <c r="U719" s="454"/>
      <c r="V719" s="454"/>
      <c r="W719" s="454"/>
      <c r="X719" s="454"/>
      <c r="Y719" s="454"/>
      <c r="Z719" s="454"/>
      <c r="AA719" s="454"/>
      <c r="AB719" s="454"/>
    </row>
    <row r="720" spans="1:28">
      <c r="A720" s="331"/>
      <c r="B720" s="332"/>
      <c r="C720" s="454"/>
      <c r="D720" s="334"/>
      <c r="E720" s="333"/>
      <c r="F720" s="334"/>
      <c r="G720" s="336"/>
      <c r="H720" s="454"/>
      <c r="I720" s="455"/>
      <c r="J720" s="456"/>
      <c r="K720" s="456"/>
      <c r="L720" s="454"/>
      <c r="M720" s="454"/>
      <c r="N720" s="454"/>
      <c r="O720" s="454"/>
      <c r="P720" s="454"/>
      <c r="Q720" s="454"/>
      <c r="R720" s="454"/>
      <c r="S720" s="454"/>
      <c r="T720" s="454"/>
      <c r="U720" s="454"/>
      <c r="V720" s="454"/>
      <c r="W720" s="454"/>
      <c r="X720" s="454"/>
      <c r="Y720" s="454"/>
      <c r="Z720" s="454"/>
      <c r="AA720" s="454"/>
      <c r="AB720" s="454"/>
    </row>
    <row r="721" spans="1:28">
      <c r="A721" s="331"/>
      <c r="B721" s="332"/>
      <c r="C721" s="454"/>
      <c r="D721" s="334"/>
      <c r="E721" s="333"/>
      <c r="F721" s="334"/>
      <c r="G721" s="334"/>
      <c r="H721" s="454"/>
      <c r="I721" s="455"/>
      <c r="J721" s="456"/>
      <c r="K721" s="456"/>
      <c r="L721" s="454"/>
      <c r="M721" s="454"/>
      <c r="N721" s="454"/>
      <c r="O721" s="454"/>
      <c r="P721" s="454"/>
      <c r="Q721" s="454"/>
      <c r="R721" s="454"/>
      <c r="S721" s="454"/>
      <c r="T721" s="454"/>
      <c r="U721" s="454"/>
      <c r="V721" s="454"/>
      <c r="W721" s="454"/>
      <c r="X721" s="454"/>
      <c r="Y721" s="454"/>
      <c r="Z721" s="454"/>
      <c r="AA721" s="454"/>
      <c r="AB721" s="454"/>
    </row>
    <row r="722" spans="1:28">
      <c r="A722" s="331"/>
      <c r="B722" s="332"/>
      <c r="C722" s="454"/>
      <c r="D722" s="334"/>
      <c r="E722" s="333"/>
      <c r="F722" s="334"/>
      <c r="G722" s="336"/>
      <c r="H722" s="454"/>
      <c r="I722" s="455"/>
      <c r="J722" s="456"/>
      <c r="K722" s="456"/>
      <c r="L722" s="454"/>
      <c r="M722" s="454"/>
      <c r="N722" s="454"/>
      <c r="O722" s="454"/>
      <c r="P722" s="454"/>
      <c r="Q722" s="454"/>
      <c r="R722" s="454"/>
      <c r="S722" s="454"/>
      <c r="T722" s="454"/>
      <c r="U722" s="454"/>
      <c r="V722" s="454"/>
      <c r="W722" s="454"/>
      <c r="X722" s="454"/>
      <c r="Y722" s="454"/>
      <c r="Z722" s="454"/>
      <c r="AA722" s="454"/>
      <c r="AB722" s="454"/>
    </row>
    <row r="723" spans="1:28">
      <c r="A723" s="331"/>
      <c r="B723" s="332"/>
      <c r="C723" s="454"/>
      <c r="D723" s="334"/>
      <c r="E723" s="333"/>
      <c r="F723" s="334"/>
      <c r="G723" s="334"/>
      <c r="H723" s="454"/>
      <c r="I723" s="455"/>
      <c r="J723" s="456"/>
      <c r="K723" s="456"/>
      <c r="L723" s="454"/>
      <c r="M723" s="454"/>
      <c r="N723" s="454"/>
      <c r="O723" s="454"/>
      <c r="P723" s="454"/>
      <c r="Q723" s="454"/>
      <c r="R723" s="454"/>
      <c r="S723" s="454"/>
      <c r="T723" s="454"/>
      <c r="U723" s="454"/>
      <c r="V723" s="454"/>
      <c r="W723" s="454"/>
      <c r="X723" s="454"/>
      <c r="Y723" s="454"/>
      <c r="Z723" s="454"/>
      <c r="AA723" s="454"/>
      <c r="AB723" s="454"/>
    </row>
    <row r="724" spans="1:28">
      <c r="A724" s="331"/>
      <c r="B724" s="332"/>
      <c r="C724" s="454"/>
      <c r="D724" s="334"/>
      <c r="E724" s="333"/>
      <c r="F724" s="334"/>
      <c r="G724" s="334"/>
      <c r="H724" s="454"/>
      <c r="I724" s="455"/>
      <c r="J724" s="456"/>
      <c r="K724" s="456"/>
      <c r="L724" s="454"/>
      <c r="M724" s="454"/>
      <c r="N724" s="454"/>
      <c r="O724" s="454"/>
      <c r="P724" s="454"/>
      <c r="Q724" s="454"/>
      <c r="R724" s="454"/>
      <c r="S724" s="454"/>
      <c r="T724" s="454"/>
      <c r="U724" s="454"/>
      <c r="V724" s="454"/>
      <c r="W724" s="454"/>
      <c r="X724" s="454"/>
      <c r="Y724" s="454"/>
      <c r="Z724" s="454"/>
      <c r="AA724" s="454"/>
      <c r="AB724" s="454"/>
    </row>
    <row r="725" spans="1:28">
      <c r="A725" s="331"/>
      <c r="B725" s="332"/>
      <c r="C725" s="454"/>
      <c r="D725" s="334"/>
      <c r="E725" s="333"/>
      <c r="F725" s="334"/>
      <c r="G725" s="334"/>
      <c r="H725" s="454"/>
      <c r="I725" s="455"/>
      <c r="J725" s="456"/>
      <c r="K725" s="456"/>
      <c r="L725" s="454"/>
      <c r="M725" s="454"/>
      <c r="N725" s="454"/>
      <c r="O725" s="454"/>
      <c r="P725" s="454"/>
      <c r="Q725" s="454"/>
      <c r="R725" s="454"/>
      <c r="S725" s="454"/>
      <c r="T725" s="454"/>
      <c r="U725" s="454"/>
      <c r="V725" s="454"/>
      <c r="W725" s="454"/>
      <c r="X725" s="454"/>
      <c r="Y725" s="454"/>
      <c r="Z725" s="454"/>
      <c r="AA725" s="454"/>
      <c r="AB725" s="454"/>
    </row>
    <row r="726" spans="1:28">
      <c r="A726" s="331"/>
      <c r="B726" s="332"/>
      <c r="C726" s="454"/>
      <c r="D726" s="334"/>
      <c r="E726" s="333"/>
      <c r="F726" s="334"/>
      <c r="G726" s="334"/>
      <c r="H726" s="454"/>
      <c r="I726" s="455"/>
      <c r="J726" s="456"/>
      <c r="K726" s="456"/>
      <c r="L726" s="454"/>
      <c r="M726" s="454"/>
      <c r="N726" s="454"/>
      <c r="O726" s="454"/>
      <c r="P726" s="454"/>
      <c r="Q726" s="454"/>
      <c r="R726" s="454"/>
      <c r="S726" s="454"/>
      <c r="T726" s="454"/>
      <c r="U726" s="454"/>
      <c r="V726" s="454"/>
      <c r="W726" s="454"/>
      <c r="X726" s="454"/>
      <c r="Y726" s="454"/>
      <c r="Z726" s="454"/>
      <c r="AA726" s="454"/>
      <c r="AB726" s="454"/>
    </row>
    <row r="727" spans="1:28">
      <c r="A727" s="331"/>
      <c r="B727" s="332"/>
      <c r="C727" s="454"/>
      <c r="D727" s="334"/>
      <c r="E727" s="333"/>
      <c r="F727" s="334"/>
      <c r="G727" s="334"/>
      <c r="H727" s="454"/>
      <c r="I727" s="455"/>
      <c r="J727" s="456"/>
      <c r="K727" s="456"/>
      <c r="L727" s="454"/>
      <c r="M727" s="454"/>
      <c r="N727" s="454"/>
      <c r="O727" s="454"/>
      <c r="P727" s="454"/>
      <c r="Q727" s="454"/>
      <c r="R727" s="454"/>
      <c r="S727" s="454"/>
      <c r="T727" s="454"/>
      <c r="U727" s="454"/>
      <c r="V727" s="454"/>
      <c r="W727" s="454"/>
      <c r="X727" s="454"/>
      <c r="Y727" s="454"/>
      <c r="Z727" s="454"/>
      <c r="AA727" s="454"/>
      <c r="AB727" s="454"/>
    </row>
    <row r="728" spans="1:28">
      <c r="A728" s="331"/>
      <c r="B728" s="332"/>
      <c r="C728" s="454"/>
      <c r="D728" s="334"/>
      <c r="E728" s="333"/>
      <c r="F728" s="334"/>
      <c r="G728" s="334"/>
      <c r="H728" s="454"/>
      <c r="I728" s="455"/>
      <c r="J728" s="456"/>
      <c r="K728" s="456"/>
      <c r="L728" s="454"/>
      <c r="M728" s="454"/>
      <c r="N728" s="454"/>
      <c r="O728" s="454"/>
      <c r="P728" s="454"/>
      <c r="Q728" s="454"/>
      <c r="R728" s="454"/>
      <c r="S728" s="454"/>
      <c r="T728" s="454"/>
      <c r="U728" s="454"/>
      <c r="V728" s="454"/>
      <c r="W728" s="454"/>
      <c r="X728" s="454"/>
      <c r="Y728" s="454"/>
      <c r="Z728" s="454"/>
      <c r="AA728" s="454"/>
      <c r="AB728" s="454"/>
    </row>
    <row r="729" spans="1:28">
      <c r="A729" s="331"/>
      <c r="B729" s="332"/>
      <c r="C729" s="454"/>
      <c r="D729" s="334"/>
      <c r="E729" s="333"/>
      <c r="F729" s="334"/>
      <c r="G729" s="334"/>
      <c r="H729" s="454"/>
      <c r="I729" s="455"/>
      <c r="J729" s="456"/>
      <c r="K729" s="456"/>
      <c r="L729" s="454"/>
      <c r="M729" s="454"/>
      <c r="N729" s="454"/>
      <c r="O729" s="454"/>
      <c r="P729" s="454"/>
      <c r="Q729" s="454"/>
      <c r="R729" s="454"/>
      <c r="S729" s="454"/>
      <c r="T729" s="454"/>
      <c r="U729" s="454"/>
      <c r="V729" s="454"/>
      <c r="W729" s="454"/>
      <c r="X729" s="454"/>
      <c r="Y729" s="454"/>
      <c r="Z729" s="454"/>
      <c r="AA729" s="454"/>
      <c r="AB729" s="454"/>
    </row>
    <row r="730" spans="1:28">
      <c r="A730" s="331"/>
      <c r="B730" s="332"/>
      <c r="C730" s="454"/>
      <c r="D730" s="334"/>
      <c r="E730" s="333"/>
      <c r="F730" s="334"/>
      <c r="G730" s="334"/>
      <c r="H730" s="454"/>
      <c r="I730" s="455"/>
      <c r="J730" s="456"/>
      <c r="K730" s="456"/>
      <c r="L730" s="454"/>
      <c r="M730" s="454"/>
      <c r="N730" s="454"/>
      <c r="O730" s="454"/>
      <c r="P730" s="454"/>
      <c r="Q730" s="454"/>
      <c r="R730" s="454"/>
      <c r="S730" s="454"/>
      <c r="T730" s="454"/>
      <c r="U730" s="454"/>
      <c r="V730" s="454"/>
      <c r="W730" s="454"/>
      <c r="X730" s="454"/>
      <c r="Y730" s="454"/>
      <c r="Z730" s="454"/>
      <c r="AA730" s="454"/>
      <c r="AB730" s="454"/>
    </row>
    <row r="731" spans="1:28">
      <c r="A731" s="331"/>
      <c r="B731" s="332"/>
      <c r="C731" s="454"/>
      <c r="D731" s="334"/>
      <c r="E731" s="333"/>
      <c r="F731" s="334"/>
      <c r="G731" s="334"/>
      <c r="H731" s="454"/>
      <c r="I731" s="455"/>
      <c r="J731" s="456"/>
      <c r="K731" s="456"/>
      <c r="L731" s="454"/>
      <c r="M731" s="454"/>
      <c r="N731" s="454"/>
      <c r="O731" s="454"/>
      <c r="P731" s="454"/>
      <c r="Q731" s="454"/>
      <c r="R731" s="454"/>
      <c r="S731" s="454"/>
      <c r="T731" s="454"/>
      <c r="U731" s="454"/>
      <c r="V731" s="454"/>
      <c r="W731" s="454"/>
      <c r="X731" s="454"/>
      <c r="Y731" s="454"/>
      <c r="Z731" s="454"/>
      <c r="AA731" s="454"/>
      <c r="AB731" s="454"/>
    </row>
    <row r="732" spans="1:28">
      <c r="A732" s="331"/>
      <c r="B732" s="332"/>
      <c r="C732" s="454"/>
      <c r="D732" s="334"/>
      <c r="E732" s="333"/>
      <c r="F732" s="334"/>
      <c r="G732" s="334"/>
      <c r="H732" s="454"/>
      <c r="I732" s="455"/>
      <c r="J732" s="456"/>
      <c r="K732" s="456"/>
      <c r="L732" s="454"/>
      <c r="M732" s="454"/>
      <c r="N732" s="454"/>
      <c r="O732" s="454"/>
      <c r="P732" s="454"/>
      <c r="Q732" s="454"/>
      <c r="R732" s="454"/>
      <c r="S732" s="454"/>
      <c r="T732" s="454"/>
      <c r="U732" s="454"/>
      <c r="V732" s="454"/>
      <c r="W732" s="454"/>
      <c r="X732" s="454"/>
      <c r="Y732" s="454"/>
      <c r="Z732" s="454"/>
      <c r="AA732" s="454"/>
      <c r="AB732" s="454"/>
    </row>
    <row r="733" spans="1:28">
      <c r="A733" s="331"/>
      <c r="B733" s="332"/>
      <c r="C733" s="454"/>
      <c r="D733" s="334"/>
      <c r="E733" s="333"/>
      <c r="F733" s="334"/>
      <c r="G733" s="334"/>
      <c r="H733" s="454"/>
      <c r="I733" s="455"/>
      <c r="J733" s="456"/>
      <c r="K733" s="456"/>
      <c r="L733" s="454"/>
      <c r="M733" s="454"/>
      <c r="N733" s="454"/>
      <c r="O733" s="454"/>
      <c r="P733" s="454"/>
      <c r="Q733" s="454"/>
      <c r="R733" s="454"/>
      <c r="S733" s="454"/>
      <c r="T733" s="454"/>
      <c r="U733" s="454"/>
      <c r="V733" s="454"/>
      <c r="W733" s="454"/>
      <c r="X733" s="454"/>
      <c r="Y733" s="454"/>
      <c r="Z733" s="454"/>
      <c r="AA733" s="454"/>
      <c r="AB733" s="454"/>
    </row>
    <row r="734" spans="1:28">
      <c r="A734" s="331"/>
      <c r="B734" s="332"/>
      <c r="C734" s="454"/>
      <c r="D734" s="334"/>
      <c r="E734" s="333"/>
      <c r="F734" s="334"/>
      <c r="G734" s="334"/>
      <c r="H734" s="454"/>
      <c r="I734" s="455"/>
      <c r="J734" s="456"/>
      <c r="K734" s="456"/>
      <c r="L734" s="454"/>
      <c r="M734" s="454"/>
      <c r="N734" s="454"/>
      <c r="O734" s="454"/>
      <c r="P734" s="454"/>
      <c r="Q734" s="454"/>
      <c r="R734" s="454"/>
      <c r="S734" s="454"/>
      <c r="T734" s="454"/>
      <c r="U734" s="454"/>
      <c r="V734" s="454"/>
      <c r="W734" s="454"/>
      <c r="X734" s="454"/>
      <c r="Y734" s="454"/>
      <c r="Z734" s="454"/>
      <c r="AA734" s="454"/>
      <c r="AB734" s="454"/>
    </row>
    <row r="735" spans="1:28">
      <c r="A735" s="331"/>
      <c r="B735" s="332"/>
      <c r="C735" s="454"/>
      <c r="D735" s="334"/>
      <c r="E735" s="333"/>
      <c r="F735" s="334"/>
      <c r="G735" s="334"/>
      <c r="H735" s="454"/>
      <c r="I735" s="455"/>
      <c r="J735" s="456"/>
      <c r="K735" s="456"/>
      <c r="L735" s="454"/>
      <c r="M735" s="454"/>
      <c r="N735" s="454"/>
      <c r="O735" s="454"/>
      <c r="P735" s="454"/>
      <c r="Q735" s="454"/>
      <c r="R735" s="454"/>
      <c r="S735" s="454"/>
      <c r="T735" s="454"/>
      <c r="U735" s="454"/>
      <c r="V735" s="454"/>
      <c r="W735" s="454"/>
      <c r="X735" s="454"/>
      <c r="Y735" s="454"/>
      <c r="Z735" s="454"/>
      <c r="AA735" s="454"/>
      <c r="AB735" s="454"/>
    </row>
    <row r="736" spans="1:28">
      <c r="A736" s="331"/>
      <c r="B736" s="332"/>
      <c r="C736" s="454"/>
      <c r="D736" s="334"/>
      <c r="E736" s="333"/>
      <c r="F736" s="334"/>
      <c r="G736" s="334"/>
      <c r="H736" s="454"/>
      <c r="I736" s="455"/>
      <c r="J736" s="456"/>
      <c r="K736" s="456"/>
      <c r="L736" s="454"/>
      <c r="M736" s="454"/>
      <c r="N736" s="454"/>
      <c r="O736" s="454"/>
      <c r="P736" s="454"/>
      <c r="Q736" s="454"/>
      <c r="R736" s="454"/>
      <c r="S736" s="454"/>
      <c r="T736" s="454"/>
      <c r="U736" s="454"/>
      <c r="V736" s="454"/>
      <c r="W736" s="454"/>
      <c r="X736" s="454"/>
      <c r="Y736" s="454"/>
      <c r="Z736" s="454"/>
      <c r="AA736" s="454"/>
      <c r="AB736" s="454"/>
    </row>
    <row r="737" spans="1:28">
      <c r="A737" s="331"/>
      <c r="B737" s="332"/>
      <c r="C737" s="454"/>
      <c r="D737" s="334"/>
      <c r="E737" s="333"/>
      <c r="F737" s="334"/>
      <c r="G737" s="334"/>
      <c r="H737" s="454"/>
      <c r="I737" s="455"/>
      <c r="J737" s="456"/>
      <c r="K737" s="456"/>
      <c r="L737" s="454"/>
      <c r="M737" s="454"/>
      <c r="N737" s="454"/>
      <c r="O737" s="454"/>
      <c r="P737" s="454"/>
      <c r="Q737" s="454"/>
      <c r="R737" s="454"/>
      <c r="S737" s="454"/>
      <c r="T737" s="454"/>
      <c r="U737" s="454"/>
      <c r="V737" s="454"/>
      <c r="W737" s="454"/>
      <c r="X737" s="454"/>
      <c r="Y737" s="454"/>
      <c r="Z737" s="454"/>
      <c r="AA737" s="454"/>
      <c r="AB737" s="454"/>
    </row>
    <row r="738" spans="1:28">
      <c r="A738" s="331"/>
      <c r="B738" s="332"/>
      <c r="C738" s="454"/>
      <c r="D738" s="334"/>
      <c r="E738" s="333"/>
      <c r="F738" s="334"/>
      <c r="G738" s="334"/>
      <c r="H738" s="454"/>
      <c r="I738" s="455"/>
      <c r="J738" s="456"/>
      <c r="K738" s="456"/>
      <c r="L738" s="454"/>
      <c r="M738" s="454"/>
      <c r="N738" s="454"/>
      <c r="O738" s="454"/>
      <c r="P738" s="454"/>
      <c r="Q738" s="454"/>
      <c r="R738" s="454"/>
      <c r="S738" s="454"/>
      <c r="T738" s="454"/>
      <c r="U738" s="454"/>
      <c r="V738" s="454"/>
      <c r="W738" s="454"/>
      <c r="X738" s="454"/>
      <c r="Y738" s="454"/>
      <c r="Z738" s="454"/>
      <c r="AA738" s="454"/>
      <c r="AB738" s="454"/>
    </row>
    <row r="739" spans="1:28">
      <c r="A739" s="331"/>
      <c r="B739" s="332"/>
      <c r="C739" s="454"/>
      <c r="D739" s="334"/>
      <c r="E739" s="333"/>
      <c r="F739" s="334"/>
      <c r="G739" s="334"/>
      <c r="H739" s="454"/>
      <c r="I739" s="455"/>
      <c r="J739" s="456"/>
      <c r="K739" s="456"/>
      <c r="L739" s="454"/>
      <c r="M739" s="454"/>
      <c r="N739" s="454"/>
      <c r="O739" s="454"/>
      <c r="P739" s="454"/>
      <c r="Q739" s="454"/>
      <c r="R739" s="454"/>
      <c r="S739" s="454"/>
      <c r="T739" s="454"/>
      <c r="U739" s="454"/>
      <c r="V739" s="454"/>
      <c r="W739" s="454"/>
      <c r="X739" s="454"/>
      <c r="Y739" s="454"/>
      <c r="Z739" s="454"/>
      <c r="AA739" s="454"/>
      <c r="AB739" s="454"/>
    </row>
    <row r="740" spans="1:28">
      <c r="A740" s="331"/>
      <c r="B740" s="332"/>
      <c r="C740" s="454"/>
      <c r="D740" s="334"/>
      <c r="E740" s="333"/>
      <c r="F740" s="334"/>
      <c r="G740" s="334"/>
      <c r="H740" s="454"/>
      <c r="I740" s="455"/>
      <c r="J740" s="456"/>
      <c r="K740" s="456"/>
      <c r="L740" s="454"/>
      <c r="M740" s="454"/>
      <c r="N740" s="454"/>
      <c r="O740" s="454"/>
      <c r="P740" s="454"/>
      <c r="Q740" s="454"/>
      <c r="R740" s="454"/>
      <c r="S740" s="454"/>
      <c r="T740" s="454"/>
      <c r="U740" s="454"/>
      <c r="V740" s="454"/>
      <c r="W740" s="454"/>
      <c r="X740" s="454"/>
      <c r="Y740" s="454"/>
      <c r="Z740" s="454"/>
      <c r="AA740" s="454"/>
      <c r="AB740" s="454"/>
    </row>
    <row r="741" spans="1:28">
      <c r="A741" s="331"/>
      <c r="B741" s="332"/>
      <c r="C741" s="454"/>
      <c r="D741" s="334"/>
      <c r="E741" s="333"/>
      <c r="F741" s="334"/>
      <c r="G741" s="334"/>
      <c r="H741" s="454"/>
      <c r="I741" s="455"/>
      <c r="J741" s="456"/>
      <c r="K741" s="456"/>
      <c r="L741" s="454"/>
      <c r="M741" s="454"/>
      <c r="N741" s="454"/>
      <c r="O741" s="454"/>
      <c r="P741" s="454"/>
      <c r="Q741" s="454"/>
      <c r="R741" s="454"/>
      <c r="S741" s="454"/>
      <c r="T741" s="454"/>
      <c r="U741" s="454"/>
      <c r="V741" s="454"/>
      <c r="W741" s="454"/>
      <c r="X741" s="454"/>
      <c r="Y741" s="454"/>
      <c r="Z741" s="454"/>
      <c r="AA741" s="454"/>
      <c r="AB741" s="454"/>
    </row>
    <row r="742" spans="1:28">
      <c r="A742" s="331"/>
      <c r="B742" s="332"/>
      <c r="C742" s="454"/>
      <c r="D742" s="334"/>
      <c r="E742" s="333"/>
      <c r="F742" s="334"/>
      <c r="G742" s="334"/>
      <c r="H742" s="454"/>
      <c r="I742" s="455"/>
      <c r="J742" s="456"/>
      <c r="K742" s="456"/>
      <c r="L742" s="454"/>
      <c r="M742" s="454"/>
      <c r="N742" s="454"/>
      <c r="O742" s="454"/>
      <c r="P742" s="454"/>
      <c r="Q742" s="454"/>
      <c r="R742" s="454"/>
      <c r="S742" s="454"/>
      <c r="T742" s="454"/>
      <c r="U742" s="454"/>
      <c r="V742" s="454"/>
      <c r="W742" s="454"/>
      <c r="X742" s="454"/>
      <c r="Y742" s="454"/>
      <c r="Z742" s="454"/>
      <c r="AA742" s="454"/>
      <c r="AB742" s="454"/>
    </row>
    <row r="743" spans="1:28">
      <c r="A743" s="331"/>
      <c r="B743" s="332"/>
      <c r="C743" s="454"/>
      <c r="D743" s="334"/>
      <c r="E743" s="333"/>
      <c r="F743" s="334"/>
      <c r="G743" s="334"/>
      <c r="H743" s="454"/>
      <c r="I743" s="455"/>
      <c r="J743" s="456"/>
      <c r="K743" s="456"/>
      <c r="L743" s="454"/>
      <c r="M743" s="454"/>
      <c r="N743" s="454"/>
      <c r="O743" s="454"/>
      <c r="P743" s="454"/>
      <c r="Q743" s="454"/>
      <c r="R743" s="454"/>
      <c r="S743" s="454"/>
      <c r="T743" s="454"/>
      <c r="U743" s="454"/>
      <c r="V743" s="454"/>
      <c r="W743" s="454"/>
      <c r="X743" s="454"/>
      <c r="Y743" s="454"/>
      <c r="Z743" s="454"/>
      <c r="AA743" s="454"/>
      <c r="AB743" s="454"/>
    </row>
    <row r="744" spans="1:28">
      <c r="A744" s="331"/>
      <c r="B744" s="332"/>
      <c r="C744" s="454"/>
      <c r="D744" s="110"/>
      <c r="E744" s="333"/>
      <c r="F744" s="334"/>
      <c r="G744" s="334"/>
      <c r="H744" s="454"/>
      <c r="I744" s="455"/>
      <c r="J744" s="456"/>
      <c r="K744" s="456"/>
      <c r="L744" s="454"/>
      <c r="M744" s="454"/>
      <c r="N744" s="454"/>
      <c r="O744" s="454"/>
      <c r="P744" s="454"/>
      <c r="Q744" s="454"/>
      <c r="R744" s="454"/>
      <c r="S744" s="454"/>
      <c r="T744" s="454"/>
      <c r="U744" s="454"/>
      <c r="V744" s="454"/>
      <c r="W744" s="454"/>
      <c r="X744" s="454"/>
      <c r="Y744" s="454"/>
      <c r="Z744" s="454"/>
      <c r="AA744" s="454"/>
      <c r="AB744" s="454"/>
    </row>
    <row r="745" spans="1:28">
      <c r="A745" s="331"/>
      <c r="B745" s="332"/>
      <c r="C745" s="454"/>
      <c r="D745" s="334"/>
      <c r="E745" s="333"/>
      <c r="F745" s="334"/>
      <c r="G745" s="334"/>
      <c r="H745" s="454"/>
      <c r="I745" s="455"/>
      <c r="J745" s="456"/>
      <c r="K745" s="456"/>
      <c r="L745" s="454"/>
      <c r="M745" s="454"/>
      <c r="N745" s="454"/>
      <c r="O745" s="454"/>
      <c r="P745" s="454"/>
      <c r="Q745" s="454"/>
      <c r="R745" s="454"/>
      <c r="S745" s="454"/>
      <c r="T745" s="454"/>
      <c r="U745" s="454"/>
      <c r="V745" s="454"/>
      <c r="W745" s="454"/>
      <c r="X745" s="454"/>
      <c r="Y745" s="454"/>
      <c r="Z745" s="454"/>
      <c r="AA745" s="454"/>
      <c r="AB745" s="454"/>
    </row>
    <row r="746" spans="1:28">
      <c r="A746" s="331"/>
      <c r="B746" s="332"/>
      <c r="C746" s="454"/>
      <c r="D746" s="335"/>
      <c r="E746" s="333"/>
      <c r="F746" s="335"/>
      <c r="G746" s="335"/>
      <c r="H746" s="454"/>
      <c r="I746" s="455"/>
      <c r="J746" s="456"/>
      <c r="K746" s="456"/>
      <c r="L746" s="454"/>
      <c r="M746" s="454"/>
      <c r="N746" s="454"/>
      <c r="O746" s="454"/>
      <c r="P746" s="454"/>
      <c r="Q746" s="454"/>
      <c r="R746" s="454"/>
      <c r="S746" s="454"/>
      <c r="T746" s="454"/>
      <c r="U746" s="454"/>
      <c r="V746" s="454"/>
      <c r="W746" s="454"/>
      <c r="X746" s="454"/>
      <c r="Y746" s="454"/>
      <c r="Z746" s="454"/>
      <c r="AA746" s="454"/>
      <c r="AB746" s="454"/>
    </row>
    <row r="747" spans="1:28">
      <c r="A747" s="331"/>
      <c r="B747" s="332"/>
      <c r="C747" s="454"/>
      <c r="D747" s="334"/>
      <c r="E747" s="333"/>
      <c r="F747" s="334"/>
      <c r="G747" s="334"/>
      <c r="H747" s="454"/>
      <c r="I747" s="455"/>
      <c r="J747" s="456"/>
      <c r="K747" s="456"/>
      <c r="L747" s="454"/>
      <c r="M747" s="454"/>
      <c r="N747" s="454"/>
      <c r="O747" s="454"/>
      <c r="P747" s="454"/>
      <c r="Q747" s="454"/>
      <c r="R747" s="454"/>
      <c r="S747" s="454"/>
      <c r="T747" s="454"/>
      <c r="U747" s="454"/>
      <c r="V747" s="454"/>
      <c r="W747" s="454"/>
      <c r="X747" s="454"/>
      <c r="Y747" s="454"/>
      <c r="Z747" s="454"/>
      <c r="AA747" s="454"/>
      <c r="AB747" s="454"/>
    </row>
    <row r="748" spans="1:28">
      <c r="A748" s="331"/>
      <c r="B748" s="332"/>
      <c r="C748" s="454"/>
      <c r="D748" s="334"/>
      <c r="E748" s="333"/>
      <c r="F748" s="334"/>
      <c r="G748" s="334"/>
      <c r="H748" s="454"/>
      <c r="I748" s="455"/>
      <c r="J748" s="456"/>
      <c r="K748" s="456"/>
      <c r="L748" s="454"/>
      <c r="M748" s="454"/>
      <c r="N748" s="454"/>
      <c r="O748" s="454"/>
      <c r="P748" s="454"/>
      <c r="Q748" s="454"/>
      <c r="R748" s="454"/>
      <c r="S748" s="454"/>
      <c r="T748" s="454"/>
      <c r="U748" s="454"/>
      <c r="V748" s="454"/>
      <c r="W748" s="454"/>
      <c r="X748" s="454"/>
      <c r="Y748" s="454"/>
      <c r="Z748" s="454"/>
      <c r="AA748" s="454"/>
      <c r="AB748" s="454"/>
    </row>
    <row r="749" spans="1:28">
      <c r="A749" s="331"/>
      <c r="B749" s="332"/>
      <c r="C749" s="454"/>
      <c r="D749" s="334"/>
      <c r="E749" s="333"/>
      <c r="F749" s="334"/>
      <c r="G749" s="334"/>
      <c r="H749" s="454"/>
      <c r="I749" s="455"/>
      <c r="J749" s="456"/>
      <c r="K749" s="456"/>
      <c r="L749" s="454"/>
      <c r="M749" s="454"/>
      <c r="N749" s="454"/>
      <c r="O749" s="454"/>
      <c r="P749" s="454"/>
      <c r="Q749" s="454"/>
      <c r="R749" s="454"/>
      <c r="S749" s="454"/>
      <c r="T749" s="454"/>
      <c r="U749" s="454"/>
      <c r="V749" s="454"/>
      <c r="W749" s="454"/>
      <c r="X749" s="454"/>
      <c r="Y749" s="454"/>
      <c r="Z749" s="454"/>
      <c r="AA749" s="454"/>
      <c r="AB749" s="454"/>
    </row>
    <row r="750" spans="1:28">
      <c r="A750" s="331"/>
      <c r="B750" s="332"/>
      <c r="C750" s="454"/>
      <c r="D750" s="334"/>
      <c r="E750" s="333"/>
      <c r="F750" s="334"/>
      <c r="G750" s="334"/>
      <c r="H750" s="454"/>
      <c r="I750" s="455"/>
      <c r="J750" s="456"/>
      <c r="K750" s="456"/>
      <c r="L750" s="454"/>
      <c r="M750" s="454"/>
      <c r="N750" s="454"/>
      <c r="O750" s="454"/>
      <c r="P750" s="454"/>
      <c r="Q750" s="454"/>
      <c r="R750" s="454"/>
      <c r="S750" s="454"/>
      <c r="T750" s="454"/>
      <c r="U750" s="454"/>
      <c r="V750" s="454"/>
      <c r="W750" s="454"/>
      <c r="X750" s="454"/>
      <c r="Y750" s="454"/>
      <c r="Z750" s="454"/>
      <c r="AA750" s="454"/>
      <c r="AB750" s="454"/>
    </row>
    <row r="751" spans="1:28">
      <c r="A751" s="331"/>
      <c r="B751" s="332"/>
      <c r="C751" s="454"/>
      <c r="D751" s="334"/>
      <c r="E751" s="333"/>
      <c r="F751" s="334"/>
      <c r="G751" s="334"/>
      <c r="H751" s="454"/>
      <c r="I751" s="455"/>
      <c r="J751" s="456"/>
      <c r="K751" s="456"/>
      <c r="L751" s="454"/>
      <c r="M751" s="454"/>
      <c r="N751" s="454"/>
      <c r="O751" s="454"/>
      <c r="P751" s="454"/>
      <c r="Q751" s="454"/>
      <c r="R751" s="454"/>
      <c r="S751" s="454"/>
      <c r="T751" s="454"/>
      <c r="U751" s="454"/>
      <c r="V751" s="454"/>
      <c r="W751" s="454"/>
      <c r="X751" s="454"/>
      <c r="Y751" s="454"/>
      <c r="Z751" s="454"/>
      <c r="AA751" s="454"/>
      <c r="AB751" s="454"/>
    </row>
    <row r="752" spans="1:28">
      <c r="A752" s="331"/>
      <c r="B752" s="332"/>
      <c r="C752" s="454"/>
      <c r="D752" s="334"/>
      <c r="E752" s="333"/>
      <c r="F752" s="334"/>
      <c r="G752" s="334"/>
      <c r="H752" s="454"/>
      <c r="I752" s="455"/>
      <c r="J752" s="456"/>
      <c r="K752" s="456"/>
      <c r="L752" s="454"/>
      <c r="M752" s="454"/>
      <c r="N752" s="454"/>
      <c r="O752" s="454"/>
      <c r="P752" s="454"/>
      <c r="Q752" s="454"/>
      <c r="R752" s="454"/>
      <c r="S752" s="454"/>
      <c r="T752" s="454"/>
      <c r="U752" s="454"/>
      <c r="V752" s="454"/>
      <c r="W752" s="454"/>
      <c r="X752" s="454"/>
      <c r="Y752" s="454"/>
      <c r="Z752" s="454"/>
      <c r="AA752" s="454"/>
      <c r="AB752" s="454"/>
    </row>
    <row r="753" spans="1:28">
      <c r="A753" s="331"/>
      <c r="B753" s="332"/>
      <c r="C753" s="454"/>
      <c r="D753" s="334"/>
      <c r="E753" s="333"/>
      <c r="F753" s="334"/>
      <c r="G753" s="334"/>
      <c r="H753" s="454"/>
      <c r="I753" s="455"/>
      <c r="J753" s="456"/>
      <c r="K753" s="456"/>
      <c r="L753" s="454"/>
      <c r="M753" s="454"/>
      <c r="N753" s="454"/>
      <c r="O753" s="454"/>
      <c r="P753" s="454"/>
      <c r="Q753" s="454"/>
      <c r="R753" s="454"/>
      <c r="S753" s="454"/>
      <c r="T753" s="454"/>
      <c r="U753" s="454"/>
      <c r="V753" s="454"/>
      <c r="W753" s="454"/>
      <c r="X753" s="454"/>
      <c r="Y753" s="454"/>
      <c r="Z753" s="454"/>
      <c r="AA753" s="454"/>
      <c r="AB753" s="454"/>
    </row>
    <row r="754" spans="1:28">
      <c r="A754" s="331"/>
      <c r="B754" s="332"/>
      <c r="C754" s="454"/>
      <c r="D754" s="334"/>
      <c r="E754" s="333"/>
      <c r="F754" s="334"/>
      <c r="G754" s="334"/>
      <c r="H754" s="454"/>
      <c r="I754" s="455"/>
      <c r="J754" s="456"/>
      <c r="K754" s="456"/>
      <c r="L754" s="454"/>
      <c r="M754" s="454"/>
      <c r="N754" s="454"/>
      <c r="O754" s="454"/>
      <c r="P754" s="454"/>
      <c r="Q754" s="454"/>
      <c r="R754" s="454"/>
      <c r="S754" s="454"/>
      <c r="T754" s="454"/>
      <c r="U754" s="454"/>
      <c r="V754" s="454"/>
      <c r="W754" s="454"/>
      <c r="X754" s="454"/>
      <c r="Y754" s="454"/>
      <c r="Z754" s="454"/>
      <c r="AA754" s="454"/>
      <c r="AB754" s="454"/>
    </row>
    <row r="755" spans="1:28">
      <c r="A755" s="331"/>
      <c r="B755" s="332"/>
      <c r="C755" s="454"/>
      <c r="D755" s="334"/>
      <c r="E755" s="333"/>
      <c r="F755" s="334"/>
      <c r="G755" s="334"/>
      <c r="H755" s="454"/>
      <c r="I755" s="455"/>
      <c r="J755" s="456"/>
      <c r="K755" s="456"/>
      <c r="L755" s="454"/>
      <c r="M755" s="454"/>
      <c r="N755" s="454"/>
      <c r="O755" s="454"/>
      <c r="P755" s="454"/>
      <c r="Q755" s="454"/>
      <c r="R755" s="454"/>
      <c r="S755" s="454"/>
      <c r="T755" s="454"/>
      <c r="U755" s="454"/>
      <c r="V755" s="454"/>
      <c r="W755" s="454"/>
      <c r="X755" s="454"/>
      <c r="Y755" s="454"/>
      <c r="Z755" s="454"/>
      <c r="AA755" s="454"/>
      <c r="AB755" s="454"/>
    </row>
    <row r="756" spans="1:28">
      <c r="A756" s="331"/>
      <c r="B756" s="332"/>
      <c r="C756" s="454"/>
      <c r="D756" s="334"/>
      <c r="E756" s="333"/>
      <c r="F756" s="334"/>
      <c r="G756" s="334"/>
      <c r="H756" s="454"/>
      <c r="I756" s="455"/>
      <c r="J756" s="456"/>
      <c r="K756" s="456"/>
      <c r="L756" s="454"/>
      <c r="M756" s="454"/>
      <c r="N756" s="454"/>
      <c r="O756" s="454"/>
      <c r="P756" s="454"/>
      <c r="Q756" s="454"/>
      <c r="R756" s="454"/>
      <c r="S756" s="454"/>
      <c r="T756" s="454"/>
      <c r="U756" s="454"/>
      <c r="V756" s="454"/>
      <c r="W756" s="454"/>
      <c r="X756" s="454"/>
      <c r="Y756" s="454"/>
      <c r="Z756" s="454"/>
      <c r="AA756" s="454"/>
      <c r="AB756" s="454"/>
    </row>
    <row r="757" spans="1:28">
      <c r="A757" s="331"/>
      <c r="B757" s="332"/>
      <c r="C757" s="454"/>
      <c r="D757" s="334"/>
      <c r="E757" s="333"/>
      <c r="F757" s="334"/>
      <c r="G757" s="334"/>
      <c r="H757" s="454"/>
      <c r="I757" s="455"/>
      <c r="J757" s="456"/>
      <c r="K757" s="456"/>
      <c r="L757" s="454"/>
      <c r="M757" s="454"/>
      <c r="N757" s="454"/>
      <c r="O757" s="454"/>
      <c r="P757" s="454"/>
      <c r="Q757" s="454"/>
      <c r="R757" s="454"/>
      <c r="S757" s="454"/>
      <c r="T757" s="454"/>
      <c r="U757" s="454"/>
      <c r="V757" s="454"/>
      <c r="W757" s="454"/>
      <c r="X757" s="454"/>
      <c r="Y757" s="454"/>
      <c r="Z757" s="454"/>
      <c r="AA757" s="454"/>
      <c r="AB757" s="454"/>
    </row>
    <row r="758" spans="1:28">
      <c r="A758" s="331"/>
      <c r="B758" s="332"/>
      <c r="C758" s="454"/>
      <c r="D758" s="334"/>
      <c r="E758" s="333"/>
      <c r="F758" s="334"/>
      <c r="G758" s="334"/>
      <c r="H758" s="454"/>
      <c r="I758" s="455"/>
      <c r="J758" s="456"/>
      <c r="K758" s="456"/>
      <c r="L758" s="454"/>
      <c r="M758" s="454"/>
      <c r="N758" s="454"/>
      <c r="O758" s="454"/>
      <c r="P758" s="454"/>
      <c r="Q758" s="454"/>
      <c r="R758" s="454"/>
      <c r="S758" s="454"/>
      <c r="T758" s="454"/>
      <c r="U758" s="454"/>
      <c r="V758" s="454"/>
      <c r="W758" s="454"/>
      <c r="X758" s="454"/>
      <c r="Y758" s="454"/>
      <c r="Z758" s="454"/>
      <c r="AA758" s="454"/>
      <c r="AB758" s="454"/>
    </row>
    <row r="759" spans="1:28">
      <c r="A759" s="331"/>
      <c r="B759" s="332"/>
      <c r="C759" s="454"/>
      <c r="D759" s="334"/>
      <c r="E759" s="333"/>
      <c r="F759" s="334"/>
      <c r="G759" s="334"/>
      <c r="H759" s="454"/>
      <c r="I759" s="455"/>
      <c r="J759" s="456"/>
      <c r="K759" s="456"/>
      <c r="L759" s="454"/>
      <c r="M759" s="454"/>
      <c r="N759" s="454"/>
      <c r="O759" s="454"/>
      <c r="P759" s="454"/>
      <c r="Q759" s="454"/>
      <c r="R759" s="454"/>
      <c r="S759" s="454"/>
      <c r="T759" s="454"/>
      <c r="U759" s="454"/>
      <c r="V759" s="454"/>
      <c r="W759" s="454"/>
      <c r="X759" s="454"/>
      <c r="Y759" s="454"/>
      <c r="Z759" s="454"/>
      <c r="AA759" s="454"/>
      <c r="AB759" s="454"/>
    </row>
    <row r="760" spans="1:28">
      <c r="A760" s="331"/>
      <c r="B760" s="332"/>
      <c r="C760" s="454"/>
      <c r="D760" s="334"/>
      <c r="E760" s="333"/>
      <c r="F760" s="334"/>
      <c r="G760" s="334"/>
      <c r="H760" s="454"/>
      <c r="I760" s="455"/>
      <c r="J760" s="456"/>
      <c r="K760" s="456"/>
      <c r="L760" s="454"/>
      <c r="M760" s="454"/>
      <c r="N760" s="454"/>
      <c r="O760" s="454"/>
      <c r="P760" s="454"/>
      <c r="Q760" s="454"/>
      <c r="R760" s="454"/>
      <c r="S760" s="454"/>
      <c r="T760" s="454"/>
      <c r="U760" s="454"/>
      <c r="V760" s="454"/>
      <c r="W760" s="454"/>
      <c r="X760" s="454"/>
      <c r="Y760" s="454"/>
      <c r="Z760" s="454"/>
      <c r="AA760" s="454"/>
      <c r="AB760" s="454"/>
    </row>
    <row r="761" spans="1:28">
      <c r="A761" s="331"/>
      <c r="B761" s="332"/>
      <c r="C761" s="454"/>
      <c r="D761" s="334"/>
      <c r="E761" s="333"/>
      <c r="F761" s="334"/>
      <c r="G761" s="334"/>
      <c r="H761" s="454"/>
      <c r="I761" s="455"/>
      <c r="J761" s="456"/>
      <c r="K761" s="456"/>
      <c r="L761" s="454"/>
      <c r="M761" s="454"/>
      <c r="N761" s="454"/>
      <c r="O761" s="454"/>
      <c r="P761" s="454"/>
      <c r="Q761" s="454"/>
      <c r="R761" s="454"/>
      <c r="S761" s="454"/>
      <c r="T761" s="454"/>
      <c r="U761" s="454"/>
      <c r="V761" s="454"/>
      <c r="W761" s="454"/>
      <c r="X761" s="454"/>
      <c r="Y761" s="454"/>
      <c r="Z761" s="454"/>
      <c r="AA761" s="454"/>
      <c r="AB761" s="454"/>
    </row>
    <row r="762" spans="1:28">
      <c r="A762" s="331"/>
      <c r="B762" s="332"/>
      <c r="C762" s="454"/>
      <c r="D762" s="334"/>
      <c r="E762" s="333"/>
      <c r="F762" s="334"/>
      <c r="G762" s="334"/>
      <c r="H762" s="454"/>
      <c r="I762" s="455"/>
      <c r="J762" s="456"/>
      <c r="K762" s="456"/>
      <c r="L762" s="454"/>
      <c r="M762" s="454"/>
      <c r="N762" s="454"/>
      <c r="O762" s="454"/>
      <c r="P762" s="454"/>
      <c r="Q762" s="454"/>
      <c r="R762" s="454"/>
      <c r="S762" s="454"/>
      <c r="T762" s="454"/>
      <c r="U762" s="454"/>
      <c r="V762" s="454"/>
      <c r="W762" s="454"/>
      <c r="X762" s="454"/>
      <c r="Y762" s="454"/>
      <c r="Z762" s="454"/>
      <c r="AA762" s="454"/>
      <c r="AB762" s="454"/>
    </row>
    <row r="763" spans="1:28">
      <c r="A763" s="331"/>
      <c r="B763" s="332"/>
      <c r="C763" s="454"/>
      <c r="D763" s="334"/>
      <c r="E763" s="333"/>
      <c r="F763" s="334"/>
      <c r="G763" s="334"/>
      <c r="H763" s="454"/>
      <c r="I763" s="455"/>
      <c r="J763" s="456"/>
      <c r="K763" s="456"/>
      <c r="L763" s="454"/>
      <c r="M763" s="454"/>
      <c r="N763" s="454"/>
      <c r="O763" s="454"/>
      <c r="P763" s="454"/>
      <c r="Q763" s="454"/>
      <c r="R763" s="454"/>
      <c r="S763" s="454"/>
      <c r="T763" s="454"/>
      <c r="U763" s="454"/>
      <c r="V763" s="454"/>
      <c r="W763" s="454"/>
      <c r="X763" s="454"/>
      <c r="Y763" s="454"/>
      <c r="Z763" s="454"/>
      <c r="AA763" s="454"/>
      <c r="AB763" s="454"/>
    </row>
    <row r="764" spans="1:28">
      <c r="A764" s="331"/>
      <c r="B764" s="332"/>
      <c r="C764" s="454"/>
      <c r="D764" s="334"/>
      <c r="E764" s="333"/>
      <c r="F764" s="334"/>
      <c r="G764" s="334"/>
      <c r="H764" s="454"/>
      <c r="I764" s="455"/>
      <c r="J764" s="456"/>
      <c r="K764" s="456"/>
      <c r="L764" s="454"/>
      <c r="M764" s="454"/>
      <c r="N764" s="454"/>
      <c r="O764" s="454"/>
      <c r="P764" s="454"/>
      <c r="Q764" s="454"/>
      <c r="R764" s="454"/>
      <c r="S764" s="454"/>
      <c r="T764" s="454"/>
      <c r="U764" s="454"/>
      <c r="V764" s="454"/>
      <c r="W764" s="454"/>
      <c r="X764" s="454"/>
      <c r="Y764" s="454"/>
      <c r="Z764" s="454"/>
      <c r="AA764" s="454"/>
      <c r="AB764" s="454"/>
    </row>
    <row r="765" spans="1:28">
      <c r="A765" s="331"/>
      <c r="B765" s="332"/>
      <c r="C765" s="454"/>
      <c r="D765" s="334"/>
      <c r="E765" s="333"/>
      <c r="F765" s="334"/>
      <c r="G765" s="334"/>
      <c r="H765" s="454"/>
      <c r="I765" s="455"/>
      <c r="J765" s="456"/>
      <c r="K765" s="456"/>
      <c r="L765" s="454"/>
      <c r="M765" s="454"/>
      <c r="N765" s="454"/>
      <c r="O765" s="454"/>
      <c r="P765" s="454"/>
      <c r="Q765" s="454"/>
      <c r="R765" s="454"/>
      <c r="S765" s="454"/>
      <c r="T765" s="454"/>
      <c r="U765" s="454"/>
      <c r="V765" s="454"/>
      <c r="W765" s="454"/>
      <c r="X765" s="454"/>
      <c r="Y765" s="454"/>
      <c r="Z765" s="454"/>
      <c r="AA765" s="454"/>
      <c r="AB765" s="454"/>
    </row>
    <row r="766" spans="1:28">
      <c r="A766" s="331"/>
      <c r="B766" s="332"/>
      <c r="C766" s="454"/>
      <c r="D766" s="334"/>
      <c r="E766" s="333"/>
      <c r="F766" s="334"/>
      <c r="G766" s="336"/>
      <c r="H766" s="454"/>
      <c r="I766" s="455"/>
      <c r="J766" s="456"/>
      <c r="K766" s="456"/>
      <c r="L766" s="454"/>
      <c r="M766" s="454"/>
      <c r="N766" s="454"/>
      <c r="O766" s="454"/>
      <c r="P766" s="454"/>
      <c r="Q766" s="454"/>
      <c r="R766" s="454"/>
      <c r="S766" s="454"/>
      <c r="T766" s="454"/>
      <c r="U766" s="454"/>
      <c r="V766" s="454"/>
      <c r="W766" s="454"/>
      <c r="X766" s="454"/>
      <c r="Y766" s="454"/>
      <c r="Z766" s="454"/>
      <c r="AA766" s="454"/>
      <c r="AB766" s="454"/>
    </row>
    <row r="767" spans="1:28">
      <c r="A767" s="331"/>
      <c r="B767" s="332"/>
      <c r="C767" s="454"/>
      <c r="D767" s="334"/>
      <c r="E767" s="333"/>
      <c r="F767" s="333"/>
      <c r="G767" s="336"/>
      <c r="H767" s="454"/>
      <c r="I767" s="455"/>
      <c r="J767" s="456"/>
      <c r="K767" s="456"/>
      <c r="L767" s="454"/>
      <c r="M767" s="454"/>
      <c r="N767" s="454"/>
      <c r="O767" s="454"/>
      <c r="P767" s="454"/>
      <c r="Q767" s="454"/>
      <c r="R767" s="454"/>
      <c r="S767" s="454"/>
      <c r="T767" s="454"/>
      <c r="U767" s="454"/>
      <c r="V767" s="454"/>
      <c r="W767" s="454"/>
      <c r="X767" s="454"/>
      <c r="Y767" s="454"/>
      <c r="Z767" s="454"/>
      <c r="AA767" s="454"/>
      <c r="AB767" s="454"/>
    </row>
    <row r="768" spans="1:28">
      <c r="A768" s="331"/>
      <c r="B768" s="332"/>
      <c r="C768" s="454"/>
      <c r="D768" s="334"/>
      <c r="E768" s="333"/>
      <c r="F768" s="334"/>
      <c r="G768" s="336"/>
      <c r="H768" s="454"/>
      <c r="I768" s="455"/>
      <c r="J768" s="456"/>
      <c r="K768" s="456"/>
      <c r="L768" s="454"/>
      <c r="M768" s="454"/>
      <c r="N768" s="454"/>
      <c r="O768" s="454"/>
      <c r="P768" s="454"/>
      <c r="Q768" s="454"/>
      <c r="R768" s="454"/>
      <c r="S768" s="454"/>
      <c r="T768" s="454"/>
      <c r="U768" s="454"/>
      <c r="V768" s="454"/>
      <c r="W768" s="454"/>
      <c r="X768" s="454"/>
      <c r="Y768" s="454"/>
      <c r="Z768" s="454"/>
      <c r="AA768" s="454"/>
      <c r="AB768" s="454"/>
    </row>
    <row r="769" spans="1:28">
      <c r="A769" s="331"/>
      <c r="B769" s="332"/>
      <c r="C769" s="454"/>
      <c r="D769" s="334"/>
      <c r="E769" s="333"/>
      <c r="F769" s="334"/>
      <c r="G769" s="336"/>
      <c r="H769" s="454"/>
      <c r="I769" s="455"/>
      <c r="J769" s="456"/>
      <c r="K769" s="456"/>
      <c r="L769" s="454"/>
      <c r="M769" s="454"/>
      <c r="N769" s="454"/>
      <c r="O769" s="454"/>
      <c r="P769" s="454"/>
      <c r="Q769" s="454"/>
      <c r="R769" s="454"/>
      <c r="S769" s="454"/>
      <c r="T769" s="454"/>
      <c r="U769" s="454"/>
      <c r="V769" s="454"/>
      <c r="W769" s="454"/>
      <c r="X769" s="454"/>
      <c r="Y769" s="454"/>
      <c r="Z769" s="454"/>
      <c r="AA769" s="454"/>
      <c r="AB769" s="454"/>
    </row>
    <row r="770" spans="1:28">
      <c r="A770" s="331"/>
      <c r="B770" s="332"/>
      <c r="C770" s="454"/>
      <c r="D770" s="336"/>
      <c r="E770" s="333"/>
      <c r="F770" s="336"/>
      <c r="G770" s="336"/>
      <c r="H770" s="454"/>
      <c r="I770" s="455"/>
      <c r="J770" s="456"/>
      <c r="K770" s="456"/>
      <c r="L770" s="454"/>
      <c r="M770" s="454"/>
      <c r="N770" s="454"/>
      <c r="O770" s="454"/>
      <c r="P770" s="454"/>
      <c r="Q770" s="454"/>
      <c r="R770" s="454"/>
      <c r="S770" s="454"/>
      <c r="T770" s="454"/>
      <c r="U770" s="454"/>
      <c r="V770" s="454"/>
      <c r="W770" s="454"/>
      <c r="X770" s="454"/>
      <c r="Y770" s="454"/>
      <c r="Z770" s="454"/>
      <c r="AA770" s="454"/>
      <c r="AB770" s="454"/>
    </row>
    <row r="771" spans="1:28">
      <c r="A771" s="331"/>
      <c r="B771" s="332"/>
      <c r="C771" s="454"/>
      <c r="D771" s="334"/>
      <c r="E771" s="333"/>
      <c r="F771" s="334"/>
      <c r="G771" s="336"/>
      <c r="H771" s="454"/>
      <c r="I771" s="455"/>
      <c r="J771" s="456"/>
      <c r="K771" s="456"/>
      <c r="L771" s="454"/>
      <c r="M771" s="454"/>
      <c r="N771" s="454"/>
      <c r="O771" s="454"/>
      <c r="P771" s="454"/>
      <c r="Q771" s="454"/>
      <c r="R771" s="454"/>
      <c r="S771" s="454"/>
      <c r="T771" s="454"/>
      <c r="U771" s="454"/>
      <c r="V771" s="454"/>
      <c r="W771" s="454"/>
      <c r="X771" s="454"/>
      <c r="Y771" s="454"/>
      <c r="Z771" s="454"/>
      <c r="AA771" s="454"/>
      <c r="AB771" s="454"/>
    </row>
    <row r="772" spans="1:28">
      <c r="A772" s="331"/>
      <c r="B772" s="332"/>
      <c r="C772" s="454"/>
      <c r="D772" s="334"/>
      <c r="E772" s="333"/>
      <c r="F772" s="334"/>
      <c r="G772" s="334"/>
      <c r="H772" s="454"/>
      <c r="I772" s="455"/>
      <c r="J772" s="456"/>
      <c r="K772" s="456"/>
      <c r="L772" s="454"/>
      <c r="M772" s="454"/>
      <c r="N772" s="454"/>
      <c r="O772" s="454"/>
      <c r="P772" s="454"/>
      <c r="Q772" s="454"/>
      <c r="R772" s="454"/>
      <c r="S772" s="454"/>
      <c r="T772" s="454"/>
      <c r="U772" s="454"/>
      <c r="V772" s="454"/>
      <c r="W772" s="454"/>
      <c r="X772" s="454"/>
      <c r="Y772" s="454"/>
      <c r="Z772" s="454"/>
      <c r="AA772" s="454"/>
      <c r="AB772" s="454"/>
    </row>
    <row r="773" spans="1:28">
      <c r="A773" s="331"/>
      <c r="B773" s="332"/>
      <c r="C773" s="454"/>
      <c r="D773" s="334"/>
      <c r="E773" s="333"/>
      <c r="F773" s="334"/>
      <c r="G773" s="334"/>
      <c r="H773" s="454"/>
      <c r="I773" s="455"/>
      <c r="J773" s="456"/>
      <c r="K773" s="456"/>
      <c r="L773" s="454"/>
      <c r="M773" s="454"/>
      <c r="N773" s="454"/>
      <c r="O773" s="454"/>
      <c r="P773" s="454"/>
      <c r="Q773" s="454"/>
      <c r="R773" s="454"/>
      <c r="S773" s="454"/>
      <c r="T773" s="454"/>
      <c r="U773" s="454"/>
      <c r="V773" s="454"/>
      <c r="W773" s="454"/>
      <c r="X773" s="454"/>
      <c r="Y773" s="454"/>
      <c r="Z773" s="454"/>
      <c r="AA773" s="454"/>
      <c r="AB773" s="454"/>
    </row>
    <row r="774" spans="1:28">
      <c r="A774" s="331"/>
      <c r="B774" s="332"/>
      <c r="C774" s="454"/>
      <c r="D774" s="334"/>
      <c r="E774" s="333"/>
      <c r="F774" s="334"/>
      <c r="G774" s="334"/>
      <c r="H774" s="454"/>
      <c r="I774" s="455"/>
      <c r="J774" s="456"/>
      <c r="K774" s="456"/>
      <c r="L774" s="454"/>
      <c r="M774" s="454"/>
      <c r="N774" s="454"/>
      <c r="O774" s="454"/>
      <c r="P774" s="454"/>
      <c r="Q774" s="454"/>
      <c r="R774" s="454"/>
      <c r="S774" s="454"/>
      <c r="T774" s="454"/>
      <c r="U774" s="454"/>
      <c r="V774" s="454"/>
      <c r="W774" s="454"/>
      <c r="X774" s="454"/>
      <c r="Y774" s="454"/>
      <c r="Z774" s="454"/>
      <c r="AA774" s="454"/>
      <c r="AB774" s="454"/>
    </row>
    <row r="775" spans="1:28">
      <c r="A775" s="331"/>
      <c r="B775" s="332"/>
      <c r="C775" s="454"/>
      <c r="D775" s="334"/>
      <c r="E775" s="333"/>
      <c r="F775" s="334"/>
      <c r="G775" s="334"/>
      <c r="H775" s="454"/>
      <c r="I775" s="455"/>
      <c r="J775" s="456"/>
      <c r="K775" s="456"/>
      <c r="L775" s="454"/>
      <c r="M775" s="454"/>
      <c r="N775" s="454"/>
      <c r="O775" s="454"/>
      <c r="P775" s="454"/>
      <c r="Q775" s="454"/>
      <c r="R775" s="454"/>
      <c r="S775" s="454"/>
      <c r="T775" s="454"/>
      <c r="U775" s="454"/>
      <c r="V775" s="454"/>
      <c r="W775" s="454"/>
      <c r="X775" s="454"/>
      <c r="Y775" s="454"/>
      <c r="Z775" s="454"/>
      <c r="AA775" s="454"/>
      <c r="AB775" s="454"/>
    </row>
    <row r="776" spans="1:28">
      <c r="A776" s="331"/>
      <c r="B776" s="332"/>
      <c r="C776" s="454"/>
      <c r="D776" s="334"/>
      <c r="E776" s="333"/>
      <c r="F776" s="334"/>
      <c r="G776" s="334"/>
      <c r="H776" s="454"/>
      <c r="I776" s="455"/>
      <c r="J776" s="456"/>
      <c r="K776" s="456"/>
      <c r="L776" s="454"/>
      <c r="M776" s="454"/>
      <c r="N776" s="454"/>
      <c r="O776" s="454"/>
      <c r="P776" s="454"/>
      <c r="Q776" s="454"/>
      <c r="R776" s="454"/>
      <c r="S776" s="454"/>
      <c r="T776" s="454"/>
      <c r="U776" s="454"/>
      <c r="V776" s="454"/>
      <c r="W776" s="454"/>
      <c r="X776" s="454"/>
      <c r="Y776" s="454"/>
      <c r="Z776" s="454"/>
      <c r="AA776" s="454"/>
      <c r="AB776" s="454"/>
    </row>
    <row r="777" spans="1:28">
      <c r="A777" s="331"/>
      <c r="B777" s="332"/>
      <c r="C777" s="454"/>
      <c r="D777" s="333"/>
      <c r="E777" s="333"/>
      <c r="F777" s="333"/>
      <c r="G777" s="333"/>
      <c r="H777" s="454"/>
      <c r="I777" s="455"/>
      <c r="J777" s="456"/>
      <c r="K777" s="456"/>
      <c r="L777" s="454"/>
      <c r="M777" s="454"/>
      <c r="N777" s="454"/>
      <c r="O777" s="454"/>
      <c r="P777" s="454"/>
      <c r="Q777" s="454"/>
      <c r="R777" s="454"/>
      <c r="S777" s="454"/>
      <c r="T777" s="454"/>
      <c r="U777" s="454"/>
      <c r="V777" s="454"/>
      <c r="W777" s="454"/>
      <c r="X777" s="454"/>
      <c r="Y777" s="454"/>
      <c r="Z777" s="454"/>
      <c r="AA777" s="454"/>
      <c r="AB777" s="454"/>
    </row>
    <row r="778" spans="1:28">
      <c r="A778" s="331"/>
      <c r="B778" s="332"/>
      <c r="C778" s="454"/>
      <c r="D778" s="333"/>
      <c r="E778" s="333"/>
      <c r="F778" s="333"/>
      <c r="G778" s="333"/>
      <c r="H778" s="454"/>
      <c r="I778" s="455"/>
      <c r="J778" s="456"/>
      <c r="K778" s="456"/>
      <c r="L778" s="454"/>
      <c r="M778" s="454"/>
      <c r="N778" s="454"/>
      <c r="O778" s="454"/>
      <c r="P778" s="454"/>
      <c r="Q778" s="454"/>
      <c r="R778" s="454"/>
      <c r="S778" s="454"/>
      <c r="T778" s="454"/>
      <c r="U778" s="454"/>
      <c r="V778" s="454"/>
      <c r="W778" s="454"/>
      <c r="X778" s="454"/>
      <c r="Y778" s="454"/>
      <c r="Z778" s="454"/>
      <c r="AA778" s="454"/>
      <c r="AB778" s="454"/>
    </row>
    <row r="779" spans="1:28">
      <c r="A779" s="331"/>
      <c r="B779" s="332"/>
      <c r="C779" s="454"/>
      <c r="D779" s="333"/>
      <c r="E779" s="333"/>
      <c r="F779" s="333"/>
      <c r="G779" s="333"/>
      <c r="H779" s="454"/>
      <c r="I779" s="455"/>
      <c r="J779" s="456"/>
      <c r="K779" s="456"/>
      <c r="L779" s="454"/>
      <c r="M779" s="454"/>
      <c r="N779" s="454"/>
      <c r="O779" s="454"/>
      <c r="P779" s="454"/>
      <c r="Q779" s="454"/>
      <c r="R779" s="454"/>
      <c r="S779" s="454"/>
      <c r="T779" s="454"/>
      <c r="U779" s="454"/>
      <c r="V779" s="454"/>
      <c r="W779" s="454"/>
      <c r="X779" s="454"/>
      <c r="Y779" s="454"/>
      <c r="Z779" s="454"/>
      <c r="AA779" s="454"/>
      <c r="AB779" s="454"/>
    </row>
    <row r="780" spans="1:28">
      <c r="A780" s="331"/>
      <c r="B780" s="332"/>
      <c r="C780" s="454"/>
      <c r="D780" s="333"/>
      <c r="E780" s="333"/>
      <c r="F780" s="333"/>
      <c r="G780" s="333"/>
      <c r="H780" s="454"/>
      <c r="I780" s="455"/>
      <c r="J780" s="456"/>
      <c r="K780" s="456"/>
      <c r="L780" s="454"/>
      <c r="M780" s="454"/>
      <c r="N780" s="454"/>
      <c r="O780" s="454"/>
      <c r="P780" s="454"/>
      <c r="Q780" s="454"/>
      <c r="R780" s="454"/>
      <c r="S780" s="454"/>
      <c r="T780" s="454"/>
      <c r="U780" s="454"/>
      <c r="V780" s="454"/>
      <c r="W780" s="454"/>
      <c r="X780" s="454"/>
      <c r="Y780" s="454"/>
      <c r="Z780" s="454"/>
      <c r="AA780" s="454"/>
      <c r="AB780" s="454"/>
    </row>
    <row r="781" spans="1:28">
      <c r="A781" s="331"/>
      <c r="B781" s="332"/>
      <c r="C781" s="454"/>
      <c r="D781" s="333"/>
      <c r="E781" s="333"/>
      <c r="F781" s="333"/>
      <c r="G781" s="333"/>
      <c r="H781" s="454"/>
      <c r="I781" s="455"/>
      <c r="J781" s="456"/>
      <c r="K781" s="456"/>
      <c r="L781" s="454"/>
      <c r="M781" s="454"/>
      <c r="N781" s="454"/>
      <c r="O781" s="454"/>
      <c r="P781" s="454"/>
      <c r="Q781" s="454"/>
      <c r="R781" s="454"/>
      <c r="S781" s="454"/>
      <c r="T781" s="454"/>
      <c r="U781" s="454"/>
      <c r="V781" s="454"/>
      <c r="W781" s="454"/>
      <c r="X781" s="454"/>
      <c r="Y781" s="454"/>
      <c r="Z781" s="454"/>
      <c r="AA781" s="454"/>
      <c r="AB781" s="454"/>
    </row>
    <row r="782" spans="1:28">
      <c r="A782" s="331"/>
      <c r="B782" s="332"/>
      <c r="C782" s="454"/>
      <c r="D782" s="333"/>
      <c r="E782" s="333"/>
      <c r="F782" s="333"/>
      <c r="G782" s="333"/>
      <c r="H782" s="454"/>
      <c r="I782" s="455"/>
      <c r="J782" s="456"/>
      <c r="K782" s="456"/>
      <c r="L782" s="454"/>
      <c r="M782" s="454"/>
      <c r="N782" s="454"/>
      <c r="O782" s="454"/>
      <c r="P782" s="454"/>
      <c r="Q782" s="454"/>
      <c r="R782" s="454"/>
      <c r="S782" s="454"/>
      <c r="T782" s="454"/>
      <c r="U782" s="454"/>
      <c r="V782" s="454"/>
      <c r="W782" s="454"/>
      <c r="X782" s="454"/>
      <c r="Y782" s="454"/>
      <c r="Z782" s="454"/>
      <c r="AA782" s="454"/>
      <c r="AB782" s="454"/>
    </row>
    <row r="783" spans="1:28">
      <c r="A783" s="331"/>
      <c r="B783" s="332"/>
      <c r="C783" s="454"/>
      <c r="D783" s="333"/>
      <c r="E783" s="333"/>
      <c r="F783" s="333"/>
      <c r="G783" s="333"/>
      <c r="H783" s="454"/>
      <c r="I783" s="455"/>
      <c r="J783" s="456"/>
      <c r="K783" s="456"/>
      <c r="L783" s="454"/>
      <c r="M783" s="454"/>
      <c r="N783" s="454"/>
      <c r="O783" s="454"/>
      <c r="P783" s="454"/>
      <c r="Q783" s="454"/>
      <c r="R783" s="454"/>
      <c r="S783" s="454"/>
      <c r="T783" s="454"/>
      <c r="U783" s="454"/>
      <c r="V783" s="454"/>
      <c r="W783" s="454"/>
      <c r="X783" s="454"/>
      <c r="Y783" s="454"/>
      <c r="Z783" s="454"/>
      <c r="AA783" s="454"/>
      <c r="AB783" s="454"/>
    </row>
    <row r="784" spans="1:28">
      <c r="A784" s="331"/>
      <c r="B784" s="332"/>
      <c r="C784" s="454"/>
      <c r="D784" s="333"/>
      <c r="E784" s="333"/>
      <c r="F784" s="333"/>
      <c r="G784" s="333"/>
      <c r="H784" s="454"/>
      <c r="I784" s="455"/>
      <c r="J784" s="456"/>
      <c r="K784" s="456"/>
      <c r="L784" s="454"/>
      <c r="M784" s="454"/>
      <c r="N784" s="454"/>
      <c r="O784" s="454"/>
      <c r="P784" s="454"/>
      <c r="Q784" s="454"/>
      <c r="R784" s="454"/>
      <c r="S784" s="454"/>
      <c r="T784" s="454"/>
      <c r="U784" s="454"/>
      <c r="V784" s="454"/>
      <c r="W784" s="454"/>
      <c r="X784" s="454"/>
      <c r="Y784" s="454"/>
      <c r="Z784" s="454"/>
      <c r="AA784" s="454"/>
      <c r="AB784" s="454"/>
    </row>
    <row r="785" spans="1:28">
      <c r="A785" s="331"/>
      <c r="B785" s="332"/>
      <c r="C785" s="454"/>
      <c r="D785" s="333"/>
      <c r="E785" s="333"/>
      <c r="F785" s="333"/>
      <c r="G785" s="333"/>
      <c r="H785" s="454"/>
      <c r="I785" s="455"/>
      <c r="J785" s="456"/>
      <c r="K785" s="456"/>
      <c r="L785" s="454"/>
      <c r="M785" s="454"/>
      <c r="N785" s="454"/>
      <c r="O785" s="454"/>
      <c r="P785" s="454"/>
      <c r="Q785" s="454"/>
      <c r="R785" s="454"/>
      <c r="S785" s="454"/>
      <c r="T785" s="454"/>
      <c r="U785" s="454"/>
      <c r="V785" s="454"/>
      <c r="W785" s="454"/>
      <c r="X785" s="454"/>
      <c r="Y785" s="454"/>
      <c r="Z785" s="454"/>
      <c r="AA785" s="454"/>
      <c r="AB785" s="454"/>
    </row>
    <row r="786" spans="1:28">
      <c r="A786" s="331"/>
      <c r="B786" s="332"/>
      <c r="C786" s="454"/>
      <c r="D786" s="333"/>
      <c r="E786" s="333"/>
      <c r="F786" s="333"/>
      <c r="G786" s="333"/>
      <c r="H786" s="454"/>
      <c r="I786" s="455"/>
      <c r="J786" s="456"/>
      <c r="K786" s="456"/>
      <c r="L786" s="454"/>
      <c r="M786" s="454"/>
      <c r="N786" s="454"/>
      <c r="O786" s="454"/>
      <c r="P786" s="454"/>
      <c r="Q786" s="454"/>
      <c r="R786" s="454"/>
      <c r="S786" s="454"/>
      <c r="T786" s="454"/>
      <c r="U786" s="454"/>
      <c r="V786" s="454"/>
      <c r="W786" s="454"/>
      <c r="X786" s="454"/>
      <c r="Y786" s="454"/>
      <c r="Z786" s="454"/>
      <c r="AA786" s="454"/>
      <c r="AB786" s="454"/>
    </row>
    <row r="787" spans="1:28">
      <c r="A787" s="331"/>
      <c r="B787" s="332"/>
      <c r="C787" s="454"/>
      <c r="D787" s="334"/>
      <c r="E787" s="333"/>
      <c r="F787" s="334"/>
      <c r="G787" s="334"/>
      <c r="H787" s="454"/>
      <c r="I787" s="455"/>
      <c r="J787" s="456"/>
      <c r="K787" s="456"/>
      <c r="L787" s="454"/>
      <c r="M787" s="454"/>
      <c r="N787" s="454"/>
      <c r="O787" s="454"/>
      <c r="P787" s="454"/>
      <c r="Q787" s="454"/>
      <c r="R787" s="454"/>
      <c r="S787" s="454"/>
      <c r="T787" s="454"/>
      <c r="U787" s="454"/>
      <c r="V787" s="454"/>
      <c r="W787" s="454"/>
      <c r="X787" s="454"/>
      <c r="Y787" s="454"/>
      <c r="Z787" s="454"/>
      <c r="AA787" s="454"/>
      <c r="AB787" s="454"/>
    </row>
    <row r="788" spans="1:28">
      <c r="A788" s="331"/>
      <c r="B788" s="332"/>
      <c r="C788" s="454"/>
      <c r="D788" s="334"/>
      <c r="E788" s="333"/>
      <c r="F788" s="334"/>
      <c r="G788" s="334"/>
      <c r="H788" s="454"/>
      <c r="I788" s="455"/>
      <c r="J788" s="456"/>
      <c r="K788" s="456"/>
      <c r="L788" s="454"/>
      <c r="M788" s="454"/>
      <c r="N788" s="454"/>
      <c r="O788" s="454"/>
      <c r="P788" s="454"/>
      <c r="Q788" s="454"/>
      <c r="R788" s="454"/>
      <c r="S788" s="454"/>
      <c r="T788" s="454"/>
      <c r="U788" s="454"/>
      <c r="V788" s="454"/>
      <c r="W788" s="454"/>
      <c r="X788" s="454"/>
      <c r="Y788" s="454"/>
      <c r="Z788" s="454"/>
      <c r="AA788" s="454"/>
      <c r="AB788" s="454"/>
    </row>
    <row r="789" spans="1:28">
      <c r="A789" s="331"/>
      <c r="B789" s="332"/>
      <c r="C789" s="454"/>
      <c r="D789" s="333"/>
      <c r="E789" s="333"/>
      <c r="F789" s="333"/>
      <c r="G789" s="333"/>
      <c r="H789" s="454"/>
      <c r="I789" s="455"/>
      <c r="J789" s="456"/>
      <c r="K789" s="456"/>
      <c r="L789" s="454"/>
      <c r="M789" s="454"/>
      <c r="N789" s="454"/>
      <c r="O789" s="454"/>
      <c r="P789" s="454"/>
      <c r="Q789" s="454"/>
      <c r="R789" s="454"/>
      <c r="S789" s="454"/>
      <c r="T789" s="454"/>
      <c r="U789" s="454"/>
      <c r="V789" s="454"/>
      <c r="W789" s="454"/>
      <c r="X789" s="454"/>
      <c r="Y789" s="454"/>
      <c r="Z789" s="454"/>
      <c r="AA789" s="454"/>
      <c r="AB789" s="454"/>
    </row>
    <row r="790" spans="1:28">
      <c r="A790" s="331"/>
      <c r="B790" s="332"/>
      <c r="C790" s="454"/>
      <c r="D790" s="333"/>
      <c r="E790" s="333"/>
      <c r="F790" s="333"/>
      <c r="G790" s="333"/>
      <c r="H790" s="454"/>
      <c r="I790" s="455"/>
      <c r="J790" s="456"/>
      <c r="K790" s="456"/>
      <c r="L790" s="454"/>
      <c r="M790" s="454"/>
      <c r="N790" s="454"/>
      <c r="O790" s="454"/>
      <c r="P790" s="454"/>
      <c r="Q790" s="454"/>
      <c r="R790" s="454"/>
      <c r="S790" s="454"/>
      <c r="T790" s="454"/>
      <c r="U790" s="454"/>
      <c r="V790" s="454"/>
      <c r="W790" s="454"/>
      <c r="X790" s="454"/>
      <c r="Y790" s="454"/>
      <c r="Z790" s="454"/>
      <c r="AA790" s="454"/>
      <c r="AB790" s="454"/>
    </row>
    <row r="791" spans="1:28">
      <c r="A791" s="331"/>
      <c r="B791" s="332"/>
      <c r="C791" s="454"/>
      <c r="D791" s="333"/>
      <c r="E791" s="333"/>
      <c r="F791" s="333"/>
      <c r="G791" s="333"/>
      <c r="H791" s="454"/>
      <c r="I791" s="455"/>
      <c r="J791" s="456"/>
      <c r="K791" s="456"/>
      <c r="L791" s="454"/>
      <c r="M791" s="454"/>
      <c r="N791" s="454"/>
      <c r="O791" s="454"/>
      <c r="P791" s="454"/>
      <c r="Q791" s="454"/>
      <c r="R791" s="454"/>
      <c r="S791" s="454"/>
      <c r="T791" s="454"/>
      <c r="U791" s="454"/>
      <c r="V791" s="454"/>
      <c r="W791" s="454"/>
      <c r="X791" s="454"/>
      <c r="Y791" s="454"/>
      <c r="Z791" s="454"/>
      <c r="AA791" s="454"/>
      <c r="AB791" s="454"/>
    </row>
    <row r="792" spans="1:28">
      <c r="A792" s="331"/>
      <c r="B792" s="332"/>
      <c r="C792" s="454"/>
      <c r="D792" s="333"/>
      <c r="E792" s="333"/>
      <c r="F792" s="333"/>
      <c r="G792" s="333"/>
      <c r="H792" s="454"/>
      <c r="I792" s="455"/>
      <c r="J792" s="456"/>
      <c r="K792" s="456"/>
      <c r="L792" s="454"/>
      <c r="M792" s="454"/>
      <c r="N792" s="454"/>
      <c r="O792" s="454"/>
      <c r="P792" s="454"/>
      <c r="Q792" s="454"/>
      <c r="R792" s="454"/>
      <c r="S792" s="454"/>
      <c r="T792" s="454"/>
      <c r="U792" s="454"/>
      <c r="V792" s="454"/>
      <c r="W792" s="454"/>
      <c r="X792" s="454"/>
      <c r="Y792" s="454"/>
      <c r="Z792" s="454"/>
      <c r="AA792" s="454"/>
      <c r="AB792" s="454"/>
    </row>
    <row r="793" spans="1:28">
      <c r="A793" s="331"/>
      <c r="B793" s="332"/>
      <c r="C793" s="454"/>
      <c r="D793" s="337"/>
      <c r="E793" s="333"/>
      <c r="F793" s="337"/>
      <c r="G793" s="337"/>
      <c r="H793" s="454"/>
      <c r="I793" s="455"/>
      <c r="J793" s="456"/>
      <c r="K793" s="456"/>
      <c r="L793" s="454"/>
      <c r="M793" s="454"/>
      <c r="N793" s="454"/>
      <c r="O793" s="454"/>
      <c r="P793" s="454"/>
      <c r="Q793" s="454"/>
      <c r="R793" s="454"/>
      <c r="S793" s="454"/>
      <c r="T793" s="454"/>
      <c r="U793" s="454"/>
      <c r="V793" s="454"/>
      <c r="W793" s="454"/>
      <c r="X793" s="454"/>
      <c r="Y793" s="454"/>
      <c r="Z793" s="454"/>
      <c r="AA793" s="454"/>
      <c r="AB793" s="454"/>
    </row>
    <row r="794" spans="1:28">
      <c r="A794" s="331"/>
      <c r="B794" s="332"/>
      <c r="C794" s="454"/>
      <c r="D794" s="335"/>
      <c r="E794" s="333"/>
      <c r="F794" s="335"/>
      <c r="G794" s="335"/>
      <c r="H794" s="454"/>
      <c r="I794" s="455"/>
      <c r="J794" s="456"/>
      <c r="K794" s="456"/>
      <c r="L794" s="454"/>
      <c r="M794" s="454"/>
      <c r="N794" s="454"/>
      <c r="O794" s="454"/>
      <c r="P794" s="454"/>
      <c r="Q794" s="454"/>
      <c r="R794" s="454"/>
      <c r="S794" s="454"/>
      <c r="T794" s="454"/>
      <c r="U794" s="454"/>
      <c r="V794" s="454"/>
      <c r="W794" s="454"/>
      <c r="X794" s="454"/>
      <c r="Y794" s="454"/>
      <c r="Z794" s="454"/>
      <c r="AA794" s="454"/>
      <c r="AB794" s="454"/>
    </row>
    <row r="795" spans="1:28">
      <c r="A795" s="331"/>
      <c r="B795" s="332"/>
      <c r="C795" s="454"/>
      <c r="D795" s="336"/>
      <c r="E795" s="333"/>
      <c r="F795" s="336"/>
      <c r="G795" s="336"/>
      <c r="H795" s="454"/>
      <c r="I795" s="455"/>
      <c r="J795" s="456"/>
      <c r="K795" s="456"/>
      <c r="L795" s="454"/>
      <c r="M795" s="454"/>
      <c r="N795" s="454"/>
      <c r="O795" s="454"/>
      <c r="P795" s="454"/>
      <c r="Q795" s="454"/>
      <c r="R795" s="454"/>
      <c r="S795" s="454"/>
      <c r="T795" s="454"/>
      <c r="U795" s="454"/>
      <c r="V795" s="454"/>
      <c r="W795" s="454"/>
      <c r="X795" s="454"/>
      <c r="Y795" s="454"/>
      <c r="Z795" s="454"/>
      <c r="AA795" s="454"/>
      <c r="AB795" s="454"/>
    </row>
    <row r="796" spans="1:28">
      <c r="A796" s="331"/>
      <c r="B796" s="332"/>
      <c r="C796" s="454"/>
      <c r="D796" s="336"/>
      <c r="E796" s="333"/>
      <c r="F796" s="336"/>
      <c r="G796" s="336"/>
      <c r="H796" s="454"/>
      <c r="I796" s="455"/>
      <c r="J796" s="456"/>
      <c r="K796" s="456"/>
      <c r="L796" s="454"/>
      <c r="M796" s="454"/>
      <c r="N796" s="454"/>
      <c r="O796" s="454"/>
      <c r="P796" s="454"/>
      <c r="Q796" s="454"/>
      <c r="R796" s="454"/>
      <c r="S796" s="454"/>
      <c r="T796" s="454"/>
      <c r="U796" s="454"/>
      <c r="V796" s="454"/>
      <c r="W796" s="454"/>
      <c r="X796" s="454"/>
      <c r="Y796" s="454"/>
      <c r="Z796" s="454"/>
      <c r="AA796" s="454"/>
      <c r="AB796" s="454"/>
    </row>
    <row r="797" spans="1:28">
      <c r="A797" s="331"/>
      <c r="B797" s="332"/>
      <c r="C797" s="454"/>
      <c r="D797" s="334"/>
      <c r="E797" s="333"/>
      <c r="F797" s="334"/>
      <c r="G797" s="336"/>
      <c r="H797" s="454"/>
      <c r="I797" s="455"/>
      <c r="J797" s="456"/>
      <c r="K797" s="456"/>
      <c r="L797" s="454"/>
      <c r="M797" s="454"/>
      <c r="N797" s="454"/>
      <c r="O797" s="454"/>
      <c r="P797" s="454"/>
      <c r="Q797" s="454"/>
      <c r="R797" s="454"/>
      <c r="S797" s="454"/>
      <c r="T797" s="454"/>
      <c r="U797" s="454"/>
      <c r="V797" s="454"/>
      <c r="W797" s="454"/>
      <c r="X797" s="454"/>
      <c r="Y797" s="454"/>
      <c r="Z797" s="454"/>
      <c r="AA797" s="454"/>
      <c r="AB797" s="454"/>
    </row>
    <row r="798" spans="1:28">
      <c r="A798" s="331"/>
      <c r="B798" s="332"/>
      <c r="C798" s="454"/>
      <c r="D798" s="334"/>
      <c r="E798" s="333"/>
      <c r="F798" s="333"/>
      <c r="G798" s="336"/>
      <c r="H798" s="454"/>
      <c r="I798" s="455"/>
      <c r="J798" s="456"/>
      <c r="K798" s="456"/>
      <c r="L798" s="454"/>
      <c r="M798" s="454"/>
      <c r="N798" s="454"/>
      <c r="O798" s="454"/>
      <c r="P798" s="454"/>
      <c r="Q798" s="454"/>
      <c r="R798" s="454"/>
      <c r="S798" s="454"/>
      <c r="T798" s="454"/>
      <c r="U798" s="454"/>
      <c r="V798" s="454"/>
      <c r="W798" s="454"/>
      <c r="X798" s="454"/>
      <c r="Y798" s="454"/>
      <c r="Z798" s="454"/>
      <c r="AA798" s="454"/>
      <c r="AB798" s="454"/>
    </row>
    <row r="799" spans="1:28">
      <c r="A799" s="331"/>
      <c r="B799" s="332"/>
      <c r="C799" s="454"/>
      <c r="D799" s="334"/>
      <c r="E799" s="333"/>
      <c r="F799" s="334"/>
      <c r="G799" s="336"/>
      <c r="H799" s="454"/>
      <c r="I799" s="455"/>
      <c r="J799" s="456"/>
      <c r="K799" s="456"/>
      <c r="L799" s="454"/>
      <c r="M799" s="454"/>
      <c r="N799" s="454"/>
      <c r="O799" s="454"/>
      <c r="P799" s="454"/>
      <c r="Q799" s="454"/>
      <c r="R799" s="454"/>
      <c r="S799" s="454"/>
      <c r="T799" s="454"/>
      <c r="U799" s="454"/>
      <c r="V799" s="454"/>
      <c r="W799" s="454"/>
      <c r="X799" s="454"/>
      <c r="Y799" s="454"/>
      <c r="Z799" s="454"/>
      <c r="AA799" s="454"/>
      <c r="AB799" s="454"/>
    </row>
    <row r="800" spans="1:28">
      <c r="A800" s="331"/>
      <c r="B800" s="332"/>
      <c r="C800" s="454"/>
      <c r="D800" s="334"/>
      <c r="E800" s="333"/>
      <c r="F800" s="334"/>
      <c r="G800" s="336"/>
      <c r="H800" s="454"/>
      <c r="I800" s="455"/>
      <c r="J800" s="456"/>
      <c r="K800" s="456"/>
      <c r="L800" s="454"/>
      <c r="M800" s="454"/>
      <c r="N800" s="454"/>
      <c r="O800" s="454"/>
      <c r="P800" s="454"/>
      <c r="Q800" s="454"/>
      <c r="R800" s="454"/>
      <c r="S800" s="454"/>
      <c r="T800" s="454"/>
      <c r="U800" s="454"/>
      <c r="V800" s="454"/>
      <c r="W800" s="454"/>
      <c r="X800" s="454"/>
      <c r="Y800" s="454"/>
      <c r="Z800" s="454"/>
      <c r="AA800" s="454"/>
      <c r="AB800" s="454"/>
    </row>
    <row r="801" spans="1:28">
      <c r="A801" s="331"/>
      <c r="B801" s="332"/>
      <c r="C801" s="454"/>
      <c r="D801" s="334"/>
      <c r="E801" s="333"/>
      <c r="F801" s="334"/>
      <c r="G801" s="336"/>
      <c r="H801" s="454"/>
      <c r="I801" s="455"/>
      <c r="J801" s="456"/>
      <c r="K801" s="456"/>
      <c r="L801" s="454"/>
      <c r="M801" s="454"/>
      <c r="N801" s="454"/>
      <c r="O801" s="454"/>
      <c r="P801" s="454"/>
      <c r="Q801" s="454"/>
      <c r="R801" s="454"/>
      <c r="S801" s="454"/>
      <c r="T801" s="454"/>
      <c r="U801" s="454"/>
      <c r="V801" s="454"/>
      <c r="W801" s="454"/>
      <c r="X801" s="454"/>
      <c r="Y801" s="454"/>
      <c r="Z801" s="454"/>
      <c r="AA801" s="454"/>
      <c r="AB801" s="454"/>
    </row>
    <row r="802" spans="1:28">
      <c r="A802" s="331"/>
      <c r="B802" s="332"/>
      <c r="C802" s="454"/>
      <c r="D802" s="334"/>
      <c r="E802" s="333"/>
      <c r="F802" s="334"/>
      <c r="G802" s="336"/>
      <c r="H802" s="454"/>
      <c r="I802" s="455"/>
      <c r="J802" s="456"/>
      <c r="K802" s="456"/>
      <c r="L802" s="454"/>
      <c r="M802" s="454"/>
      <c r="N802" s="454"/>
      <c r="O802" s="454"/>
      <c r="P802" s="454"/>
      <c r="Q802" s="454"/>
      <c r="R802" s="454"/>
      <c r="S802" s="454"/>
      <c r="T802" s="454"/>
      <c r="U802" s="454"/>
      <c r="V802" s="454"/>
      <c r="W802" s="454"/>
      <c r="X802" s="454"/>
      <c r="Y802" s="454"/>
      <c r="Z802" s="454"/>
      <c r="AA802" s="454"/>
      <c r="AB802" s="454"/>
    </row>
    <row r="803" spans="1:28">
      <c r="A803" s="331"/>
      <c r="B803" s="332"/>
      <c r="C803" s="454"/>
      <c r="D803" s="334"/>
      <c r="E803" s="333"/>
      <c r="F803" s="334"/>
      <c r="G803" s="336"/>
      <c r="H803" s="454"/>
      <c r="I803" s="455"/>
      <c r="J803" s="456"/>
      <c r="K803" s="456"/>
      <c r="L803" s="454"/>
      <c r="M803" s="454"/>
      <c r="N803" s="454"/>
      <c r="O803" s="454"/>
      <c r="P803" s="454"/>
      <c r="Q803" s="454"/>
      <c r="R803" s="454"/>
      <c r="S803" s="454"/>
      <c r="T803" s="454"/>
      <c r="U803" s="454"/>
      <c r="V803" s="454"/>
      <c r="W803" s="454"/>
      <c r="X803" s="454"/>
      <c r="Y803" s="454"/>
      <c r="Z803" s="454"/>
      <c r="AA803" s="454"/>
      <c r="AB803" s="454"/>
    </row>
    <row r="804" spans="1:28">
      <c r="A804" s="331"/>
      <c r="B804" s="332"/>
      <c r="C804" s="454"/>
      <c r="D804" s="334"/>
      <c r="E804" s="333"/>
      <c r="F804" s="334"/>
      <c r="G804" s="336"/>
      <c r="H804" s="454"/>
      <c r="I804" s="455"/>
      <c r="J804" s="456"/>
      <c r="K804" s="456"/>
      <c r="L804" s="454"/>
      <c r="M804" s="454"/>
      <c r="N804" s="454"/>
      <c r="O804" s="454"/>
      <c r="P804" s="454"/>
      <c r="Q804" s="454"/>
      <c r="R804" s="454"/>
      <c r="S804" s="454"/>
      <c r="T804" s="454"/>
      <c r="U804" s="454"/>
      <c r="V804" s="454"/>
      <c r="W804" s="454"/>
      <c r="X804" s="454"/>
      <c r="Y804" s="454"/>
      <c r="Z804" s="454"/>
      <c r="AA804" s="454"/>
      <c r="AB804" s="454"/>
    </row>
    <row r="805" spans="1:28">
      <c r="A805" s="331"/>
      <c r="B805" s="332"/>
      <c r="C805" s="454"/>
      <c r="D805" s="334"/>
      <c r="E805" s="333"/>
      <c r="F805" s="334"/>
      <c r="G805" s="336"/>
      <c r="H805" s="454"/>
      <c r="I805" s="455"/>
      <c r="J805" s="456"/>
      <c r="K805" s="456"/>
      <c r="L805" s="454"/>
      <c r="M805" s="454"/>
      <c r="N805" s="454"/>
      <c r="O805" s="454"/>
      <c r="P805" s="454"/>
      <c r="Q805" s="454"/>
      <c r="R805" s="454"/>
      <c r="S805" s="454"/>
      <c r="T805" s="454"/>
      <c r="U805" s="454"/>
      <c r="V805" s="454"/>
      <c r="W805" s="454"/>
      <c r="X805" s="454"/>
      <c r="Y805" s="454"/>
      <c r="Z805" s="454"/>
      <c r="AA805" s="454"/>
      <c r="AB805" s="454"/>
    </row>
    <row r="806" spans="1:28">
      <c r="A806" s="331"/>
      <c r="B806" s="332"/>
      <c r="C806" s="454"/>
      <c r="D806" s="334"/>
      <c r="E806" s="333"/>
      <c r="F806" s="334"/>
      <c r="G806" s="336"/>
      <c r="H806" s="454"/>
      <c r="I806" s="455"/>
      <c r="J806" s="456"/>
      <c r="K806" s="456"/>
      <c r="L806" s="454"/>
      <c r="M806" s="454"/>
      <c r="N806" s="454"/>
      <c r="O806" s="454"/>
      <c r="P806" s="454"/>
      <c r="Q806" s="454"/>
      <c r="R806" s="454"/>
      <c r="S806" s="454"/>
      <c r="T806" s="454"/>
      <c r="U806" s="454"/>
      <c r="V806" s="454"/>
      <c r="W806" s="454"/>
      <c r="X806" s="454"/>
      <c r="Y806" s="454"/>
      <c r="Z806" s="454"/>
      <c r="AA806" s="454"/>
      <c r="AB806" s="454"/>
    </row>
    <row r="807" spans="1:28">
      <c r="A807" s="331"/>
      <c r="B807" s="332"/>
      <c r="C807" s="454"/>
      <c r="D807" s="334"/>
      <c r="E807" s="333"/>
      <c r="F807" s="334"/>
      <c r="G807" s="335"/>
      <c r="H807" s="454"/>
      <c r="I807" s="455"/>
      <c r="J807" s="456"/>
      <c r="K807" s="456"/>
      <c r="L807" s="454"/>
      <c r="M807" s="454"/>
      <c r="N807" s="454"/>
      <c r="O807" s="454"/>
      <c r="P807" s="454"/>
      <c r="Q807" s="454"/>
      <c r="R807" s="454"/>
      <c r="S807" s="454"/>
      <c r="T807" s="454"/>
      <c r="U807" s="454"/>
      <c r="V807" s="454"/>
      <c r="W807" s="454"/>
      <c r="X807" s="454"/>
      <c r="Y807" s="454"/>
      <c r="Z807" s="454"/>
      <c r="AA807" s="454"/>
      <c r="AB807" s="454"/>
    </row>
    <row r="808" spans="1:28">
      <c r="A808" s="331"/>
      <c r="B808" s="332"/>
      <c r="C808" s="454"/>
      <c r="D808" s="334"/>
      <c r="E808" s="333"/>
      <c r="F808" s="334"/>
      <c r="G808" s="336"/>
      <c r="H808" s="454"/>
      <c r="I808" s="455"/>
      <c r="J808" s="456"/>
      <c r="K808" s="456"/>
      <c r="L808" s="454"/>
      <c r="M808" s="454"/>
      <c r="N808" s="454"/>
      <c r="O808" s="454"/>
      <c r="P808" s="454"/>
      <c r="Q808" s="454"/>
      <c r="R808" s="454"/>
      <c r="S808" s="454"/>
      <c r="T808" s="454"/>
      <c r="U808" s="454"/>
      <c r="V808" s="454"/>
      <c r="W808" s="454"/>
      <c r="X808" s="454"/>
      <c r="Y808" s="454"/>
      <c r="Z808" s="454"/>
      <c r="AA808" s="454"/>
      <c r="AB808" s="454"/>
    </row>
    <row r="809" spans="1:28">
      <c r="A809" s="331"/>
      <c r="B809" s="332"/>
      <c r="C809" s="454"/>
      <c r="D809" s="334"/>
      <c r="E809" s="333"/>
      <c r="F809" s="334"/>
      <c r="G809" s="334"/>
      <c r="H809" s="454"/>
      <c r="I809" s="455"/>
      <c r="J809" s="456"/>
      <c r="K809" s="456"/>
      <c r="L809" s="454"/>
      <c r="M809" s="454"/>
      <c r="N809" s="454"/>
      <c r="O809" s="454"/>
      <c r="P809" s="454"/>
      <c r="Q809" s="454"/>
      <c r="R809" s="454"/>
      <c r="S809" s="454"/>
      <c r="T809" s="454"/>
      <c r="U809" s="454"/>
      <c r="V809" s="454"/>
      <c r="W809" s="454"/>
      <c r="X809" s="454"/>
      <c r="Y809" s="454"/>
      <c r="Z809" s="454"/>
      <c r="AA809" s="454"/>
      <c r="AB809" s="454"/>
    </row>
    <row r="810" spans="1:28">
      <c r="A810" s="331"/>
      <c r="B810" s="332"/>
      <c r="C810" s="454"/>
      <c r="D810" s="334"/>
      <c r="E810" s="333"/>
      <c r="F810" s="334"/>
      <c r="G810" s="336"/>
      <c r="H810" s="454"/>
      <c r="I810" s="455"/>
      <c r="J810" s="456"/>
      <c r="K810" s="456"/>
      <c r="L810" s="454"/>
      <c r="M810" s="454"/>
      <c r="N810" s="454"/>
      <c r="O810" s="454"/>
      <c r="P810" s="454"/>
      <c r="Q810" s="454"/>
      <c r="R810" s="454"/>
      <c r="S810" s="454"/>
      <c r="T810" s="454"/>
      <c r="U810" s="454"/>
      <c r="V810" s="454"/>
      <c r="W810" s="454"/>
      <c r="X810" s="454"/>
      <c r="Y810" s="454"/>
      <c r="Z810" s="454"/>
      <c r="AA810" s="454"/>
      <c r="AB810" s="454"/>
    </row>
    <row r="811" spans="1:28">
      <c r="A811" s="331"/>
      <c r="B811" s="332"/>
      <c r="C811" s="454"/>
      <c r="D811" s="334"/>
      <c r="E811" s="333"/>
      <c r="F811" s="334"/>
      <c r="G811" s="334"/>
      <c r="H811" s="454"/>
      <c r="I811" s="455"/>
      <c r="J811" s="456"/>
      <c r="K811" s="456"/>
      <c r="L811" s="454"/>
      <c r="M811" s="454"/>
      <c r="N811" s="454"/>
      <c r="O811" s="454"/>
      <c r="P811" s="454"/>
      <c r="Q811" s="454"/>
      <c r="R811" s="454"/>
      <c r="S811" s="454"/>
      <c r="T811" s="454"/>
      <c r="U811" s="454"/>
      <c r="V811" s="454"/>
      <c r="W811" s="454"/>
      <c r="X811" s="454"/>
      <c r="Y811" s="454"/>
      <c r="Z811" s="454"/>
      <c r="AA811" s="454"/>
      <c r="AB811" s="454"/>
    </row>
    <row r="812" spans="1:28">
      <c r="A812" s="331"/>
      <c r="B812" s="332"/>
      <c r="C812" s="454"/>
      <c r="D812" s="334"/>
      <c r="E812" s="333"/>
      <c r="F812" s="334"/>
      <c r="G812" s="334"/>
      <c r="H812" s="454"/>
      <c r="I812" s="455"/>
      <c r="J812" s="456"/>
      <c r="K812" s="456"/>
      <c r="L812" s="454"/>
      <c r="M812" s="454"/>
      <c r="N812" s="454"/>
      <c r="O812" s="454"/>
      <c r="P812" s="454"/>
      <c r="Q812" s="454"/>
      <c r="R812" s="454"/>
      <c r="S812" s="454"/>
      <c r="T812" s="454"/>
      <c r="U812" s="454"/>
      <c r="V812" s="454"/>
      <c r="W812" s="454"/>
      <c r="X812" s="454"/>
      <c r="Y812" s="454"/>
      <c r="Z812" s="454"/>
      <c r="AA812" s="454"/>
      <c r="AB812" s="454"/>
    </row>
    <row r="813" spans="1:28">
      <c r="A813" s="331"/>
      <c r="B813" s="332"/>
      <c r="C813" s="454"/>
      <c r="D813" s="334"/>
      <c r="E813" s="333"/>
      <c r="F813" s="334"/>
      <c r="G813" s="334"/>
      <c r="H813" s="454"/>
      <c r="I813" s="455"/>
      <c r="J813" s="456"/>
      <c r="K813" s="456"/>
      <c r="L813" s="454"/>
      <c r="M813" s="454"/>
      <c r="N813" s="454"/>
      <c r="O813" s="454"/>
      <c r="P813" s="454"/>
      <c r="Q813" s="454"/>
      <c r="R813" s="454"/>
      <c r="S813" s="454"/>
      <c r="T813" s="454"/>
      <c r="U813" s="454"/>
      <c r="V813" s="454"/>
      <c r="W813" s="454"/>
      <c r="X813" s="454"/>
      <c r="Y813" s="454"/>
      <c r="Z813" s="454"/>
      <c r="AA813" s="454"/>
      <c r="AB813" s="454"/>
    </row>
    <row r="814" spans="1:28">
      <c r="A814" s="331"/>
      <c r="B814" s="332"/>
      <c r="C814" s="454"/>
      <c r="D814" s="334"/>
      <c r="E814" s="333"/>
      <c r="F814" s="334"/>
      <c r="G814" s="334"/>
      <c r="H814" s="454"/>
      <c r="I814" s="455"/>
      <c r="J814" s="456"/>
      <c r="K814" s="456"/>
      <c r="L814" s="454"/>
      <c r="M814" s="454"/>
      <c r="N814" s="454"/>
      <c r="O814" s="454"/>
      <c r="P814" s="454"/>
      <c r="Q814" s="454"/>
      <c r="R814" s="454"/>
      <c r="S814" s="454"/>
      <c r="T814" s="454"/>
      <c r="U814" s="454"/>
      <c r="V814" s="454"/>
      <c r="W814" s="454"/>
      <c r="X814" s="454"/>
      <c r="Y814" s="454"/>
      <c r="Z814" s="454"/>
      <c r="AA814" s="454"/>
      <c r="AB814" s="454"/>
    </row>
    <row r="815" spans="1:28">
      <c r="A815" s="331"/>
      <c r="B815" s="332"/>
      <c r="C815" s="454"/>
      <c r="D815" s="334"/>
      <c r="E815" s="333"/>
      <c r="F815" s="334"/>
      <c r="G815" s="334"/>
      <c r="H815" s="454"/>
      <c r="I815" s="455"/>
      <c r="J815" s="456"/>
      <c r="K815" s="456"/>
      <c r="L815" s="454"/>
      <c r="M815" s="454"/>
      <c r="N815" s="454"/>
      <c r="O815" s="454"/>
      <c r="P815" s="454"/>
      <c r="Q815" s="454"/>
      <c r="R815" s="454"/>
      <c r="S815" s="454"/>
      <c r="T815" s="454"/>
      <c r="U815" s="454"/>
      <c r="V815" s="454"/>
      <c r="W815" s="454"/>
      <c r="X815" s="454"/>
      <c r="Y815" s="454"/>
      <c r="Z815" s="454"/>
      <c r="AA815" s="454"/>
      <c r="AB815" s="454"/>
    </row>
    <row r="816" spans="1:28">
      <c r="A816" s="331"/>
      <c r="B816" s="332"/>
      <c r="C816" s="454"/>
      <c r="D816" s="334"/>
      <c r="E816" s="333"/>
      <c r="F816" s="334"/>
      <c r="G816" s="334"/>
      <c r="H816" s="454"/>
      <c r="I816" s="455"/>
      <c r="J816" s="456"/>
      <c r="K816" s="456"/>
      <c r="L816" s="454"/>
      <c r="M816" s="454"/>
      <c r="N816" s="454"/>
      <c r="O816" s="454"/>
      <c r="P816" s="454"/>
      <c r="Q816" s="454"/>
      <c r="R816" s="454"/>
      <c r="S816" s="454"/>
      <c r="T816" s="454"/>
      <c r="U816" s="454"/>
      <c r="V816" s="454"/>
      <c r="W816" s="454"/>
      <c r="X816" s="454"/>
      <c r="Y816" s="454"/>
      <c r="Z816" s="454"/>
      <c r="AA816" s="454"/>
      <c r="AB816" s="454"/>
    </row>
    <row r="817" spans="1:28">
      <c r="A817" s="331"/>
      <c r="B817" s="332"/>
      <c r="C817" s="454"/>
      <c r="D817" s="334"/>
      <c r="E817" s="333"/>
      <c r="F817" s="334"/>
      <c r="G817" s="334"/>
      <c r="H817" s="454"/>
      <c r="I817" s="455"/>
      <c r="J817" s="456"/>
      <c r="K817" s="456"/>
      <c r="L817" s="454"/>
      <c r="M817" s="454"/>
      <c r="N817" s="454"/>
      <c r="O817" s="454"/>
      <c r="P817" s="454"/>
      <c r="Q817" s="454"/>
      <c r="R817" s="454"/>
      <c r="S817" s="454"/>
      <c r="T817" s="454"/>
      <c r="U817" s="454"/>
      <c r="V817" s="454"/>
      <c r="W817" s="454"/>
      <c r="X817" s="454"/>
      <c r="Y817" s="454"/>
      <c r="Z817" s="454"/>
      <c r="AA817" s="454"/>
      <c r="AB817" s="454"/>
    </row>
    <row r="818" spans="1:28">
      <c r="A818" s="331"/>
      <c r="B818" s="332"/>
      <c r="C818" s="454"/>
      <c r="D818" s="334"/>
      <c r="E818" s="333"/>
      <c r="F818" s="334"/>
      <c r="G818" s="334"/>
      <c r="H818" s="454"/>
      <c r="I818" s="455"/>
      <c r="J818" s="456"/>
      <c r="K818" s="456"/>
      <c r="L818" s="454"/>
      <c r="M818" s="454"/>
      <c r="N818" s="454"/>
      <c r="O818" s="454"/>
      <c r="P818" s="454"/>
      <c r="Q818" s="454"/>
      <c r="R818" s="454"/>
      <c r="S818" s="454"/>
      <c r="T818" s="454"/>
      <c r="U818" s="454"/>
      <c r="V818" s="454"/>
      <c r="W818" s="454"/>
      <c r="X818" s="454"/>
      <c r="Y818" s="454"/>
      <c r="Z818" s="454"/>
      <c r="AA818" s="454"/>
      <c r="AB818" s="454"/>
    </row>
    <row r="819" spans="1:28">
      <c r="A819" s="331"/>
      <c r="B819" s="332"/>
      <c r="C819" s="454"/>
      <c r="D819" s="334"/>
      <c r="E819" s="333"/>
      <c r="F819" s="334"/>
      <c r="G819" s="334"/>
      <c r="H819" s="454"/>
      <c r="I819" s="455"/>
      <c r="J819" s="456"/>
      <c r="K819" s="456"/>
      <c r="L819" s="454"/>
      <c r="M819" s="454"/>
      <c r="N819" s="454"/>
      <c r="O819" s="454"/>
      <c r="P819" s="454"/>
      <c r="Q819" s="454"/>
      <c r="R819" s="454"/>
      <c r="S819" s="454"/>
      <c r="T819" s="454"/>
      <c r="U819" s="454"/>
      <c r="V819" s="454"/>
      <c r="W819" s="454"/>
      <c r="X819" s="454"/>
      <c r="Y819" s="454"/>
      <c r="Z819" s="454"/>
      <c r="AA819" s="454"/>
      <c r="AB819" s="454"/>
    </row>
    <row r="820" spans="1:28">
      <c r="A820" s="331"/>
      <c r="B820" s="332"/>
      <c r="C820" s="454"/>
      <c r="D820" s="334"/>
      <c r="E820" s="333"/>
      <c r="F820" s="334"/>
      <c r="G820" s="334"/>
      <c r="H820" s="454"/>
      <c r="I820" s="455"/>
      <c r="J820" s="456"/>
      <c r="K820" s="456"/>
      <c r="L820" s="454"/>
      <c r="M820" s="454"/>
      <c r="N820" s="454"/>
      <c r="O820" s="454"/>
      <c r="P820" s="454"/>
      <c r="Q820" s="454"/>
      <c r="R820" s="454"/>
      <c r="S820" s="454"/>
      <c r="T820" s="454"/>
      <c r="U820" s="454"/>
      <c r="V820" s="454"/>
      <c r="W820" s="454"/>
      <c r="X820" s="454"/>
      <c r="Y820" s="454"/>
      <c r="Z820" s="454"/>
      <c r="AA820" s="454"/>
      <c r="AB820" s="454"/>
    </row>
    <row r="821" spans="1:28">
      <c r="A821" s="331"/>
      <c r="B821" s="332"/>
      <c r="C821" s="454"/>
      <c r="D821" s="334"/>
      <c r="E821" s="333"/>
      <c r="F821" s="334"/>
      <c r="G821" s="334"/>
      <c r="H821" s="454"/>
      <c r="I821" s="455"/>
      <c r="J821" s="456"/>
      <c r="K821" s="456"/>
      <c r="L821" s="454"/>
      <c r="M821" s="454"/>
      <c r="N821" s="454"/>
      <c r="O821" s="454"/>
      <c r="P821" s="454"/>
      <c r="Q821" s="454"/>
      <c r="R821" s="454"/>
      <c r="S821" s="454"/>
      <c r="T821" s="454"/>
      <c r="U821" s="454"/>
      <c r="V821" s="454"/>
      <c r="W821" s="454"/>
      <c r="X821" s="454"/>
      <c r="Y821" s="454"/>
      <c r="Z821" s="454"/>
      <c r="AA821" s="454"/>
      <c r="AB821" s="454"/>
    </row>
    <row r="822" spans="1:28">
      <c r="A822" s="331"/>
      <c r="B822" s="332"/>
      <c r="C822" s="454"/>
      <c r="D822" s="334"/>
      <c r="E822" s="333"/>
      <c r="F822" s="334"/>
      <c r="G822" s="334"/>
      <c r="H822" s="454"/>
      <c r="I822" s="455"/>
      <c r="J822" s="456"/>
      <c r="K822" s="456"/>
      <c r="L822" s="454"/>
      <c r="M822" s="454"/>
      <c r="N822" s="454"/>
      <c r="O822" s="454"/>
      <c r="P822" s="454"/>
      <c r="Q822" s="454"/>
      <c r="R822" s="454"/>
      <c r="S822" s="454"/>
      <c r="T822" s="454"/>
      <c r="U822" s="454"/>
      <c r="V822" s="454"/>
      <c r="W822" s="454"/>
      <c r="X822" s="454"/>
      <c r="Y822" s="454"/>
      <c r="Z822" s="454"/>
      <c r="AA822" s="454"/>
      <c r="AB822" s="454"/>
    </row>
    <row r="823" spans="1:28">
      <c r="A823" s="331"/>
      <c r="B823" s="332"/>
      <c r="C823" s="454"/>
      <c r="D823" s="334"/>
      <c r="E823" s="333"/>
      <c r="F823" s="334"/>
      <c r="G823" s="334"/>
      <c r="H823" s="454"/>
      <c r="I823" s="455"/>
      <c r="J823" s="456"/>
      <c r="K823" s="456"/>
      <c r="L823" s="454"/>
      <c r="M823" s="454"/>
      <c r="N823" s="454"/>
      <c r="O823" s="454"/>
      <c r="P823" s="454"/>
      <c r="Q823" s="454"/>
      <c r="R823" s="454"/>
      <c r="S823" s="454"/>
      <c r="T823" s="454"/>
      <c r="U823" s="454"/>
      <c r="V823" s="454"/>
      <c r="W823" s="454"/>
      <c r="X823" s="454"/>
      <c r="Y823" s="454"/>
      <c r="Z823" s="454"/>
      <c r="AA823" s="454"/>
      <c r="AB823" s="454"/>
    </row>
    <row r="824" spans="1:28">
      <c r="A824" s="331"/>
      <c r="B824" s="332"/>
      <c r="C824" s="454"/>
      <c r="D824" s="334"/>
      <c r="E824" s="333"/>
      <c r="F824" s="334"/>
      <c r="G824" s="334"/>
      <c r="H824" s="454"/>
      <c r="I824" s="455"/>
      <c r="J824" s="456"/>
      <c r="K824" s="456"/>
      <c r="L824" s="454"/>
      <c r="M824" s="454"/>
      <c r="N824" s="454"/>
      <c r="O824" s="454"/>
      <c r="P824" s="454"/>
      <c r="Q824" s="454"/>
      <c r="R824" s="454"/>
      <c r="S824" s="454"/>
      <c r="T824" s="454"/>
      <c r="U824" s="454"/>
      <c r="V824" s="454"/>
      <c r="W824" s="454"/>
      <c r="X824" s="454"/>
      <c r="Y824" s="454"/>
      <c r="Z824" s="454"/>
      <c r="AA824" s="454"/>
      <c r="AB824" s="454"/>
    </row>
    <row r="825" spans="1:28">
      <c r="A825" s="331"/>
      <c r="B825" s="332"/>
      <c r="C825" s="454"/>
      <c r="D825" s="334"/>
      <c r="E825" s="333"/>
      <c r="F825" s="334"/>
      <c r="G825" s="334"/>
      <c r="H825" s="454"/>
      <c r="I825" s="455"/>
      <c r="J825" s="456"/>
      <c r="K825" s="456"/>
      <c r="L825" s="454"/>
      <c r="M825" s="454"/>
      <c r="N825" s="454"/>
      <c r="O825" s="454"/>
      <c r="P825" s="454"/>
      <c r="Q825" s="454"/>
      <c r="R825" s="454"/>
      <c r="S825" s="454"/>
      <c r="T825" s="454"/>
      <c r="U825" s="454"/>
      <c r="V825" s="454"/>
      <c r="W825" s="454"/>
      <c r="X825" s="454"/>
      <c r="Y825" s="454"/>
      <c r="Z825" s="454"/>
      <c r="AA825" s="454"/>
      <c r="AB825" s="454"/>
    </row>
    <row r="826" spans="1:28">
      <c r="A826" s="331"/>
      <c r="B826" s="332"/>
      <c r="C826" s="454"/>
      <c r="D826" s="334"/>
      <c r="E826" s="333"/>
      <c r="F826" s="334"/>
      <c r="G826" s="334"/>
      <c r="H826" s="454"/>
      <c r="I826" s="455"/>
      <c r="J826" s="456"/>
      <c r="K826" s="456"/>
      <c r="L826" s="454"/>
      <c r="M826" s="454"/>
      <c r="N826" s="454"/>
      <c r="O826" s="454"/>
      <c r="P826" s="454"/>
      <c r="Q826" s="454"/>
      <c r="R826" s="454"/>
      <c r="S826" s="454"/>
      <c r="T826" s="454"/>
      <c r="U826" s="454"/>
      <c r="V826" s="454"/>
      <c r="W826" s="454"/>
      <c r="X826" s="454"/>
      <c r="Y826" s="454"/>
      <c r="Z826" s="454"/>
      <c r="AA826" s="454"/>
      <c r="AB826" s="454"/>
    </row>
    <row r="827" spans="1:28">
      <c r="A827" s="331"/>
      <c r="B827" s="332"/>
      <c r="C827" s="454"/>
      <c r="D827" s="334"/>
      <c r="E827" s="333"/>
      <c r="F827" s="334"/>
      <c r="G827" s="334"/>
      <c r="H827" s="454"/>
      <c r="I827" s="455"/>
      <c r="J827" s="456"/>
      <c r="K827" s="456"/>
      <c r="L827" s="454"/>
      <c r="M827" s="454"/>
      <c r="N827" s="454"/>
      <c r="O827" s="454"/>
      <c r="P827" s="454"/>
      <c r="Q827" s="454"/>
      <c r="R827" s="454"/>
      <c r="S827" s="454"/>
      <c r="T827" s="454"/>
      <c r="U827" s="454"/>
      <c r="V827" s="454"/>
      <c r="W827" s="454"/>
      <c r="X827" s="454"/>
      <c r="Y827" s="454"/>
      <c r="Z827" s="454"/>
      <c r="AA827" s="454"/>
      <c r="AB827" s="454"/>
    </row>
    <row r="828" spans="1:28">
      <c r="A828" s="331"/>
      <c r="B828" s="332"/>
      <c r="C828" s="454"/>
      <c r="D828" s="334"/>
      <c r="E828" s="333"/>
      <c r="F828" s="334"/>
      <c r="G828" s="334"/>
      <c r="H828" s="454"/>
      <c r="I828" s="455"/>
      <c r="J828" s="456"/>
      <c r="K828" s="456"/>
      <c r="L828" s="454"/>
      <c r="M828" s="454"/>
      <c r="N828" s="454"/>
      <c r="O828" s="454"/>
      <c r="P828" s="454"/>
      <c r="Q828" s="454"/>
      <c r="R828" s="454"/>
      <c r="S828" s="454"/>
      <c r="T828" s="454"/>
      <c r="U828" s="454"/>
      <c r="V828" s="454"/>
      <c r="W828" s="454"/>
      <c r="X828" s="454"/>
      <c r="Y828" s="454"/>
      <c r="Z828" s="454"/>
      <c r="AA828" s="454"/>
      <c r="AB828" s="454"/>
    </row>
    <row r="829" spans="1:28">
      <c r="A829" s="331"/>
      <c r="B829" s="332"/>
      <c r="C829" s="454"/>
      <c r="D829" s="334"/>
      <c r="E829" s="333"/>
      <c r="F829" s="334"/>
      <c r="G829" s="334"/>
      <c r="H829" s="454"/>
      <c r="I829" s="455"/>
      <c r="J829" s="456"/>
      <c r="K829" s="456"/>
      <c r="L829" s="454"/>
      <c r="M829" s="454"/>
      <c r="N829" s="454"/>
      <c r="O829" s="454"/>
      <c r="P829" s="454"/>
      <c r="Q829" s="454"/>
      <c r="R829" s="454"/>
      <c r="S829" s="454"/>
      <c r="T829" s="454"/>
      <c r="U829" s="454"/>
      <c r="V829" s="454"/>
      <c r="W829" s="454"/>
      <c r="X829" s="454"/>
      <c r="Y829" s="454"/>
      <c r="Z829" s="454"/>
      <c r="AA829" s="454"/>
      <c r="AB829" s="454"/>
    </row>
    <row r="830" spans="1:28">
      <c r="A830" s="331"/>
      <c r="B830" s="332"/>
      <c r="C830" s="454"/>
      <c r="D830" s="334"/>
      <c r="E830" s="333"/>
      <c r="F830" s="334"/>
      <c r="G830" s="334"/>
      <c r="H830" s="454"/>
      <c r="I830" s="455"/>
      <c r="J830" s="456"/>
      <c r="K830" s="456"/>
      <c r="L830" s="454"/>
      <c r="M830" s="454"/>
      <c r="N830" s="454"/>
      <c r="O830" s="454"/>
      <c r="P830" s="454"/>
      <c r="Q830" s="454"/>
      <c r="R830" s="454"/>
      <c r="S830" s="454"/>
      <c r="T830" s="454"/>
      <c r="U830" s="454"/>
      <c r="V830" s="454"/>
      <c r="W830" s="454"/>
      <c r="X830" s="454"/>
      <c r="Y830" s="454"/>
      <c r="Z830" s="454"/>
      <c r="AA830" s="454"/>
      <c r="AB830" s="454"/>
    </row>
    <row r="831" spans="1:28">
      <c r="A831" s="331"/>
      <c r="B831" s="332"/>
      <c r="C831" s="454"/>
      <c r="D831" s="334"/>
      <c r="E831" s="333"/>
      <c r="F831" s="334"/>
      <c r="G831" s="334"/>
      <c r="H831" s="454"/>
      <c r="I831" s="455"/>
      <c r="J831" s="456"/>
      <c r="K831" s="456"/>
      <c r="L831" s="454"/>
      <c r="M831" s="454"/>
      <c r="N831" s="454"/>
      <c r="O831" s="454"/>
      <c r="P831" s="454"/>
      <c r="Q831" s="454"/>
      <c r="R831" s="454"/>
      <c r="S831" s="454"/>
      <c r="T831" s="454"/>
      <c r="U831" s="454"/>
      <c r="V831" s="454"/>
      <c r="W831" s="454"/>
      <c r="X831" s="454"/>
      <c r="Y831" s="454"/>
      <c r="Z831" s="454"/>
      <c r="AA831" s="454"/>
      <c r="AB831" s="454"/>
    </row>
    <row r="832" spans="1:28">
      <c r="A832" s="331"/>
      <c r="B832" s="332"/>
      <c r="C832" s="454"/>
      <c r="D832" s="110"/>
      <c r="E832" s="333"/>
      <c r="F832" s="334"/>
      <c r="G832" s="334"/>
      <c r="H832" s="454"/>
      <c r="I832" s="455"/>
      <c r="J832" s="456"/>
      <c r="K832" s="456"/>
      <c r="L832" s="454"/>
      <c r="M832" s="454"/>
      <c r="N832" s="454"/>
      <c r="O832" s="454"/>
      <c r="P832" s="454"/>
      <c r="Q832" s="454"/>
      <c r="R832" s="454"/>
      <c r="S832" s="454"/>
      <c r="T832" s="454"/>
      <c r="U832" s="454"/>
      <c r="V832" s="454"/>
      <c r="W832" s="454"/>
      <c r="X832" s="454"/>
      <c r="Y832" s="454"/>
      <c r="Z832" s="454"/>
      <c r="AA832" s="454"/>
      <c r="AB832" s="454"/>
    </row>
    <row r="833" spans="1:28">
      <c r="A833" s="331"/>
      <c r="B833" s="332"/>
      <c r="C833" s="454"/>
      <c r="D833" s="334"/>
      <c r="E833" s="333"/>
      <c r="F833" s="334"/>
      <c r="G833" s="334"/>
      <c r="H833" s="454"/>
      <c r="I833" s="455"/>
      <c r="J833" s="456"/>
      <c r="K833" s="456"/>
      <c r="L833" s="454"/>
      <c r="M833" s="454"/>
      <c r="N833" s="454"/>
      <c r="O833" s="454"/>
      <c r="P833" s="454"/>
      <c r="Q833" s="454"/>
      <c r="R833" s="454"/>
      <c r="S833" s="454"/>
      <c r="T833" s="454"/>
      <c r="U833" s="454"/>
      <c r="V833" s="454"/>
      <c r="W833" s="454"/>
      <c r="X833" s="454"/>
      <c r="Y833" s="454"/>
      <c r="Z833" s="454"/>
      <c r="AA833" s="454"/>
      <c r="AB833" s="454"/>
    </row>
    <row r="834" spans="1:28">
      <c r="A834" s="331"/>
      <c r="B834" s="332"/>
      <c r="C834" s="454"/>
      <c r="D834" s="335"/>
      <c r="E834" s="333"/>
      <c r="F834" s="335"/>
      <c r="G834" s="335"/>
      <c r="H834" s="454"/>
      <c r="I834" s="455"/>
      <c r="J834" s="456"/>
      <c r="K834" s="456"/>
      <c r="L834" s="454"/>
      <c r="M834" s="454"/>
      <c r="N834" s="454"/>
      <c r="O834" s="454"/>
      <c r="P834" s="454"/>
      <c r="Q834" s="454"/>
      <c r="R834" s="454"/>
      <c r="S834" s="454"/>
      <c r="T834" s="454"/>
      <c r="U834" s="454"/>
      <c r="V834" s="454"/>
      <c r="W834" s="454"/>
      <c r="X834" s="454"/>
      <c r="Y834" s="454"/>
      <c r="Z834" s="454"/>
      <c r="AA834" s="454"/>
      <c r="AB834" s="454"/>
    </row>
    <row r="835" spans="1:28">
      <c r="A835" s="331"/>
      <c r="B835" s="332"/>
      <c r="C835" s="454"/>
      <c r="D835" s="334"/>
      <c r="E835" s="333"/>
      <c r="F835" s="334"/>
      <c r="G835" s="334"/>
      <c r="H835" s="454"/>
      <c r="I835" s="455"/>
      <c r="J835" s="456"/>
      <c r="K835" s="456"/>
      <c r="L835" s="454"/>
      <c r="M835" s="454"/>
      <c r="N835" s="454"/>
      <c r="O835" s="454"/>
      <c r="P835" s="454"/>
      <c r="Q835" s="454"/>
      <c r="R835" s="454"/>
      <c r="S835" s="454"/>
      <c r="T835" s="454"/>
      <c r="U835" s="454"/>
      <c r="V835" s="454"/>
      <c r="W835" s="454"/>
      <c r="X835" s="454"/>
      <c r="Y835" s="454"/>
      <c r="Z835" s="454"/>
      <c r="AA835" s="454"/>
      <c r="AB835" s="454"/>
    </row>
    <row r="836" spans="1:28">
      <c r="A836" s="331"/>
      <c r="B836" s="332"/>
      <c r="C836" s="454"/>
      <c r="D836" s="334"/>
      <c r="E836" s="333"/>
      <c r="F836" s="334"/>
      <c r="G836" s="334"/>
      <c r="H836" s="454"/>
      <c r="I836" s="455"/>
      <c r="J836" s="456"/>
      <c r="K836" s="456"/>
      <c r="L836" s="454"/>
      <c r="M836" s="454"/>
      <c r="N836" s="454"/>
      <c r="O836" s="454"/>
      <c r="P836" s="454"/>
      <c r="Q836" s="454"/>
      <c r="R836" s="454"/>
      <c r="S836" s="454"/>
      <c r="T836" s="454"/>
      <c r="U836" s="454"/>
      <c r="V836" s="454"/>
      <c r="W836" s="454"/>
      <c r="X836" s="454"/>
      <c r="Y836" s="454"/>
      <c r="Z836" s="454"/>
      <c r="AA836" s="454"/>
      <c r="AB836" s="454"/>
    </row>
    <row r="837" spans="1:28">
      <c r="A837" s="331"/>
      <c r="B837" s="332"/>
      <c r="C837" s="454"/>
      <c r="D837" s="334"/>
      <c r="E837" s="333"/>
      <c r="F837" s="334"/>
      <c r="G837" s="334"/>
      <c r="H837" s="454"/>
      <c r="I837" s="455"/>
      <c r="J837" s="456"/>
      <c r="K837" s="456"/>
      <c r="L837" s="454"/>
      <c r="M837" s="454"/>
      <c r="N837" s="454"/>
      <c r="O837" s="454"/>
      <c r="P837" s="454"/>
      <c r="Q837" s="454"/>
      <c r="R837" s="454"/>
      <c r="S837" s="454"/>
      <c r="T837" s="454"/>
      <c r="U837" s="454"/>
      <c r="V837" s="454"/>
      <c r="W837" s="454"/>
      <c r="X837" s="454"/>
      <c r="Y837" s="454"/>
      <c r="Z837" s="454"/>
      <c r="AA837" s="454"/>
      <c r="AB837" s="454"/>
    </row>
    <row r="838" spans="1:28">
      <c r="A838" s="331"/>
      <c r="B838" s="332"/>
      <c r="C838" s="454"/>
      <c r="D838" s="334"/>
      <c r="E838" s="333"/>
      <c r="F838" s="334"/>
      <c r="G838" s="334"/>
      <c r="H838" s="454"/>
      <c r="I838" s="455"/>
      <c r="J838" s="456"/>
      <c r="K838" s="456"/>
      <c r="L838" s="454"/>
      <c r="M838" s="454"/>
      <c r="N838" s="454"/>
      <c r="O838" s="454"/>
      <c r="P838" s="454"/>
      <c r="Q838" s="454"/>
      <c r="R838" s="454"/>
      <c r="S838" s="454"/>
      <c r="T838" s="454"/>
      <c r="U838" s="454"/>
      <c r="V838" s="454"/>
      <c r="W838" s="454"/>
      <c r="X838" s="454"/>
      <c r="Y838" s="454"/>
      <c r="Z838" s="454"/>
      <c r="AA838" s="454"/>
      <c r="AB838" s="454"/>
    </row>
    <row r="839" spans="1:28">
      <c r="A839" s="331"/>
      <c r="B839" s="332"/>
      <c r="C839" s="454"/>
      <c r="D839" s="334"/>
      <c r="E839" s="333"/>
      <c r="F839" s="334"/>
      <c r="G839" s="334"/>
      <c r="H839" s="454"/>
      <c r="I839" s="455"/>
      <c r="J839" s="456"/>
      <c r="K839" s="456"/>
      <c r="L839" s="454"/>
      <c r="M839" s="454"/>
      <c r="N839" s="454"/>
      <c r="O839" s="454"/>
      <c r="P839" s="454"/>
      <c r="Q839" s="454"/>
      <c r="R839" s="454"/>
      <c r="S839" s="454"/>
      <c r="T839" s="454"/>
      <c r="U839" s="454"/>
      <c r="V839" s="454"/>
      <c r="W839" s="454"/>
      <c r="X839" s="454"/>
      <c r="Y839" s="454"/>
      <c r="Z839" s="454"/>
      <c r="AA839" s="454"/>
      <c r="AB839" s="454"/>
    </row>
    <row r="840" spans="1:28">
      <c r="A840" s="331"/>
      <c r="B840" s="332"/>
      <c r="C840" s="454"/>
      <c r="D840" s="334"/>
      <c r="E840" s="333"/>
      <c r="F840" s="334"/>
      <c r="G840" s="334"/>
      <c r="H840" s="454"/>
      <c r="I840" s="455"/>
      <c r="J840" s="456"/>
      <c r="K840" s="456"/>
      <c r="L840" s="454"/>
      <c r="M840" s="454"/>
      <c r="N840" s="454"/>
      <c r="O840" s="454"/>
      <c r="P840" s="454"/>
      <c r="Q840" s="454"/>
      <c r="R840" s="454"/>
      <c r="S840" s="454"/>
      <c r="T840" s="454"/>
      <c r="U840" s="454"/>
      <c r="V840" s="454"/>
      <c r="W840" s="454"/>
      <c r="X840" s="454"/>
      <c r="Y840" s="454"/>
      <c r="Z840" s="454"/>
      <c r="AA840" s="454"/>
      <c r="AB840" s="454"/>
    </row>
    <row r="841" spans="1:28">
      <c r="A841" s="331"/>
      <c r="B841" s="332"/>
      <c r="C841" s="454"/>
      <c r="D841" s="334"/>
      <c r="E841" s="333"/>
      <c r="F841" s="334"/>
      <c r="G841" s="334"/>
      <c r="H841" s="454"/>
      <c r="I841" s="455"/>
      <c r="J841" s="456"/>
      <c r="K841" s="456"/>
      <c r="L841" s="454"/>
      <c r="M841" s="454"/>
      <c r="N841" s="454"/>
      <c r="O841" s="454"/>
      <c r="P841" s="454"/>
      <c r="Q841" s="454"/>
      <c r="R841" s="454"/>
      <c r="S841" s="454"/>
      <c r="T841" s="454"/>
      <c r="U841" s="454"/>
      <c r="V841" s="454"/>
      <c r="W841" s="454"/>
      <c r="X841" s="454"/>
      <c r="Y841" s="454"/>
      <c r="Z841" s="454"/>
      <c r="AA841" s="454"/>
      <c r="AB841" s="454"/>
    </row>
    <row r="842" spans="1:28">
      <c r="A842" s="331"/>
      <c r="B842" s="332"/>
      <c r="C842" s="454"/>
      <c r="D842" s="334"/>
      <c r="E842" s="333"/>
      <c r="F842" s="334"/>
      <c r="G842" s="334"/>
      <c r="H842" s="454"/>
      <c r="I842" s="455"/>
      <c r="J842" s="456"/>
      <c r="K842" s="456"/>
      <c r="L842" s="454"/>
      <c r="M842" s="454"/>
      <c r="N842" s="454"/>
      <c r="O842" s="454"/>
      <c r="P842" s="454"/>
      <c r="Q842" s="454"/>
      <c r="R842" s="454"/>
      <c r="S842" s="454"/>
      <c r="T842" s="454"/>
      <c r="U842" s="454"/>
      <c r="V842" s="454"/>
      <c r="W842" s="454"/>
      <c r="X842" s="454"/>
      <c r="Y842" s="454"/>
      <c r="Z842" s="454"/>
      <c r="AA842" s="454"/>
      <c r="AB842" s="454"/>
    </row>
    <row r="843" spans="1:28">
      <c r="A843" s="331"/>
      <c r="B843" s="332"/>
      <c r="C843" s="454"/>
      <c r="D843" s="334"/>
      <c r="E843" s="333"/>
      <c r="F843" s="334"/>
      <c r="G843" s="334"/>
      <c r="H843" s="454"/>
      <c r="I843" s="455"/>
      <c r="J843" s="456"/>
      <c r="K843" s="456"/>
      <c r="L843" s="454"/>
      <c r="M843" s="454"/>
      <c r="N843" s="454"/>
      <c r="O843" s="454"/>
      <c r="P843" s="454"/>
      <c r="Q843" s="454"/>
      <c r="R843" s="454"/>
      <c r="S843" s="454"/>
      <c r="T843" s="454"/>
      <c r="U843" s="454"/>
      <c r="V843" s="454"/>
      <c r="W843" s="454"/>
      <c r="X843" s="454"/>
      <c r="Y843" s="454"/>
      <c r="Z843" s="454"/>
      <c r="AA843" s="454"/>
      <c r="AB843" s="454"/>
    </row>
    <row r="844" spans="1:28">
      <c r="A844" s="331"/>
      <c r="B844" s="332"/>
      <c r="C844" s="454"/>
      <c r="D844" s="334"/>
      <c r="E844" s="333"/>
      <c r="F844" s="334"/>
      <c r="G844" s="334"/>
      <c r="H844" s="454"/>
      <c r="I844" s="455"/>
      <c r="J844" s="456"/>
      <c r="K844" s="456"/>
      <c r="L844" s="454"/>
      <c r="M844" s="454"/>
      <c r="N844" s="454"/>
      <c r="O844" s="454"/>
      <c r="P844" s="454"/>
      <c r="Q844" s="454"/>
      <c r="R844" s="454"/>
      <c r="S844" s="454"/>
      <c r="T844" s="454"/>
      <c r="U844" s="454"/>
      <c r="V844" s="454"/>
      <c r="W844" s="454"/>
      <c r="X844" s="454"/>
      <c r="Y844" s="454"/>
      <c r="Z844" s="454"/>
      <c r="AA844" s="454"/>
      <c r="AB844" s="454"/>
    </row>
    <row r="845" spans="1:28">
      <c r="A845" s="331"/>
      <c r="B845" s="332"/>
      <c r="C845" s="454"/>
      <c r="D845" s="334"/>
      <c r="E845" s="333"/>
      <c r="F845" s="334"/>
      <c r="G845" s="334"/>
      <c r="H845" s="454"/>
      <c r="I845" s="455"/>
      <c r="J845" s="456"/>
      <c r="K845" s="456"/>
      <c r="L845" s="454"/>
      <c r="M845" s="454"/>
      <c r="N845" s="454"/>
      <c r="O845" s="454"/>
      <c r="P845" s="454"/>
      <c r="Q845" s="454"/>
      <c r="R845" s="454"/>
      <c r="S845" s="454"/>
      <c r="T845" s="454"/>
      <c r="U845" s="454"/>
      <c r="V845" s="454"/>
      <c r="W845" s="454"/>
      <c r="X845" s="454"/>
      <c r="Y845" s="454"/>
      <c r="Z845" s="454"/>
      <c r="AA845" s="454"/>
      <c r="AB845" s="454"/>
    </row>
    <row r="846" spans="1:28">
      <c r="A846" s="331"/>
      <c r="B846" s="332"/>
      <c r="C846" s="454"/>
      <c r="D846" s="334"/>
      <c r="E846" s="333"/>
      <c r="F846" s="334"/>
      <c r="G846" s="334"/>
      <c r="H846" s="454"/>
      <c r="I846" s="455"/>
      <c r="J846" s="456"/>
      <c r="K846" s="456"/>
      <c r="L846" s="454"/>
      <c r="M846" s="454"/>
      <c r="N846" s="454"/>
      <c r="O846" s="454"/>
      <c r="P846" s="454"/>
      <c r="Q846" s="454"/>
      <c r="R846" s="454"/>
      <c r="S846" s="454"/>
      <c r="T846" s="454"/>
      <c r="U846" s="454"/>
      <c r="V846" s="454"/>
      <c r="W846" s="454"/>
      <c r="X846" s="454"/>
      <c r="Y846" s="454"/>
      <c r="Z846" s="454"/>
      <c r="AA846" s="454"/>
      <c r="AB846" s="454"/>
    </row>
    <row r="847" spans="1:28">
      <c r="A847" s="331"/>
      <c r="B847" s="332"/>
      <c r="C847" s="454"/>
      <c r="D847" s="334"/>
      <c r="E847" s="333"/>
      <c r="F847" s="334"/>
      <c r="G847" s="334"/>
      <c r="H847" s="454"/>
      <c r="I847" s="455"/>
      <c r="J847" s="456"/>
      <c r="K847" s="456"/>
      <c r="L847" s="454"/>
      <c r="M847" s="454"/>
      <c r="N847" s="454"/>
      <c r="O847" s="454"/>
      <c r="P847" s="454"/>
      <c r="Q847" s="454"/>
      <c r="R847" s="454"/>
      <c r="S847" s="454"/>
      <c r="T847" s="454"/>
      <c r="U847" s="454"/>
      <c r="V847" s="454"/>
      <c r="W847" s="454"/>
      <c r="X847" s="454"/>
      <c r="Y847" s="454"/>
      <c r="Z847" s="454"/>
      <c r="AA847" s="454"/>
      <c r="AB847" s="454"/>
    </row>
    <row r="848" spans="1:28">
      <c r="A848" s="331"/>
      <c r="B848" s="332"/>
      <c r="C848" s="454"/>
      <c r="D848" s="334"/>
      <c r="E848" s="333"/>
      <c r="F848" s="334"/>
      <c r="G848" s="334"/>
      <c r="H848" s="454"/>
      <c r="I848" s="455"/>
      <c r="J848" s="456"/>
      <c r="K848" s="456"/>
      <c r="L848" s="454"/>
      <c r="M848" s="454"/>
      <c r="N848" s="454"/>
      <c r="O848" s="454"/>
      <c r="P848" s="454"/>
      <c r="Q848" s="454"/>
      <c r="R848" s="454"/>
      <c r="S848" s="454"/>
      <c r="T848" s="454"/>
      <c r="U848" s="454"/>
      <c r="V848" s="454"/>
      <c r="W848" s="454"/>
      <c r="X848" s="454"/>
      <c r="Y848" s="454"/>
      <c r="Z848" s="454"/>
      <c r="AA848" s="454"/>
      <c r="AB848" s="454"/>
    </row>
    <row r="849" spans="1:28">
      <c r="A849" s="331"/>
      <c r="B849" s="332"/>
      <c r="C849" s="454"/>
      <c r="D849" s="334"/>
      <c r="E849" s="333"/>
      <c r="F849" s="334"/>
      <c r="G849" s="334"/>
      <c r="H849" s="454"/>
      <c r="I849" s="455"/>
      <c r="J849" s="456"/>
      <c r="K849" s="456"/>
      <c r="L849" s="454"/>
      <c r="M849" s="454"/>
      <c r="N849" s="454"/>
      <c r="O849" s="454"/>
      <c r="P849" s="454"/>
      <c r="Q849" s="454"/>
      <c r="R849" s="454"/>
      <c r="S849" s="454"/>
      <c r="T849" s="454"/>
      <c r="U849" s="454"/>
      <c r="V849" s="454"/>
      <c r="W849" s="454"/>
      <c r="X849" s="454"/>
      <c r="Y849" s="454"/>
      <c r="Z849" s="454"/>
      <c r="AA849" s="454"/>
      <c r="AB849" s="454"/>
    </row>
    <row r="850" spans="1:28">
      <c r="A850" s="331"/>
      <c r="B850" s="332"/>
      <c r="C850" s="454"/>
      <c r="D850" s="334"/>
      <c r="E850" s="333"/>
      <c r="F850" s="334"/>
      <c r="G850" s="334"/>
      <c r="H850" s="454"/>
      <c r="I850" s="455"/>
      <c r="J850" s="456"/>
      <c r="K850" s="456"/>
      <c r="L850" s="454"/>
      <c r="M850" s="454"/>
      <c r="N850" s="454"/>
      <c r="O850" s="454"/>
      <c r="P850" s="454"/>
      <c r="Q850" s="454"/>
      <c r="R850" s="454"/>
      <c r="S850" s="454"/>
      <c r="T850" s="454"/>
      <c r="U850" s="454"/>
      <c r="V850" s="454"/>
      <c r="W850" s="454"/>
      <c r="X850" s="454"/>
      <c r="Y850" s="454"/>
      <c r="Z850" s="454"/>
      <c r="AA850" s="454"/>
      <c r="AB850" s="454"/>
    </row>
    <row r="851" spans="1:28">
      <c r="A851" s="331"/>
      <c r="B851" s="332"/>
      <c r="C851" s="454"/>
      <c r="D851" s="334"/>
      <c r="E851" s="333"/>
      <c r="F851" s="334"/>
      <c r="G851" s="334"/>
      <c r="H851" s="454"/>
      <c r="I851" s="455"/>
      <c r="J851" s="456"/>
      <c r="K851" s="456"/>
      <c r="L851" s="454"/>
      <c r="M851" s="454"/>
      <c r="N851" s="454"/>
      <c r="O851" s="454"/>
      <c r="P851" s="454"/>
      <c r="Q851" s="454"/>
      <c r="R851" s="454"/>
      <c r="S851" s="454"/>
      <c r="T851" s="454"/>
      <c r="U851" s="454"/>
      <c r="V851" s="454"/>
      <c r="W851" s="454"/>
      <c r="X851" s="454"/>
      <c r="Y851" s="454"/>
      <c r="Z851" s="454"/>
      <c r="AA851" s="454"/>
      <c r="AB851" s="454"/>
    </row>
    <row r="852" spans="1:28">
      <c r="A852" s="331"/>
      <c r="B852" s="332"/>
      <c r="C852" s="454"/>
      <c r="D852" s="334"/>
      <c r="E852" s="333"/>
      <c r="F852" s="334"/>
      <c r="G852" s="334"/>
      <c r="H852" s="454"/>
      <c r="I852" s="455"/>
      <c r="J852" s="456"/>
      <c r="K852" s="456"/>
      <c r="L852" s="454"/>
      <c r="M852" s="454"/>
      <c r="N852" s="454"/>
      <c r="O852" s="454"/>
      <c r="P852" s="454"/>
      <c r="Q852" s="454"/>
      <c r="R852" s="454"/>
      <c r="S852" s="454"/>
      <c r="T852" s="454"/>
      <c r="U852" s="454"/>
      <c r="V852" s="454"/>
      <c r="W852" s="454"/>
      <c r="X852" s="454"/>
      <c r="Y852" s="454"/>
      <c r="Z852" s="454"/>
      <c r="AA852" s="454"/>
      <c r="AB852" s="454"/>
    </row>
    <row r="853" spans="1:28">
      <c r="A853" s="331"/>
      <c r="B853" s="332"/>
      <c r="C853" s="454"/>
      <c r="D853" s="334"/>
      <c r="E853" s="333"/>
      <c r="F853" s="334"/>
      <c r="G853" s="334"/>
      <c r="H853" s="454"/>
      <c r="I853" s="455"/>
      <c r="J853" s="456"/>
      <c r="K853" s="456"/>
      <c r="L853" s="454"/>
      <c r="M853" s="454"/>
      <c r="N853" s="454"/>
      <c r="O853" s="454"/>
      <c r="P853" s="454"/>
      <c r="Q853" s="454"/>
      <c r="R853" s="454"/>
      <c r="S853" s="454"/>
      <c r="T853" s="454"/>
      <c r="U853" s="454"/>
      <c r="V853" s="454"/>
      <c r="W853" s="454"/>
      <c r="X853" s="454"/>
      <c r="Y853" s="454"/>
      <c r="Z853" s="454"/>
      <c r="AA853" s="454"/>
      <c r="AB853" s="454"/>
    </row>
    <row r="854" spans="1:28">
      <c r="A854" s="331"/>
      <c r="B854" s="332"/>
      <c r="C854" s="454"/>
      <c r="D854" s="334"/>
      <c r="E854" s="333"/>
      <c r="F854" s="334"/>
      <c r="G854" s="336"/>
      <c r="H854" s="454"/>
      <c r="I854" s="455"/>
      <c r="J854" s="456"/>
      <c r="K854" s="456"/>
      <c r="L854" s="454"/>
      <c r="M854" s="454"/>
      <c r="N854" s="454"/>
      <c r="O854" s="454"/>
      <c r="P854" s="454"/>
      <c r="Q854" s="454"/>
      <c r="R854" s="454"/>
      <c r="S854" s="454"/>
      <c r="T854" s="454"/>
      <c r="U854" s="454"/>
      <c r="V854" s="454"/>
      <c r="W854" s="454"/>
      <c r="X854" s="454"/>
      <c r="Y854" s="454"/>
      <c r="Z854" s="454"/>
      <c r="AA854" s="454"/>
      <c r="AB854" s="454"/>
    </row>
    <row r="855" spans="1:28">
      <c r="A855" s="331"/>
      <c r="B855" s="332"/>
      <c r="C855" s="454"/>
      <c r="D855" s="334"/>
      <c r="E855" s="333"/>
      <c r="F855" s="333"/>
      <c r="G855" s="336"/>
      <c r="H855" s="454"/>
      <c r="I855" s="455"/>
      <c r="J855" s="456"/>
      <c r="K855" s="456"/>
      <c r="L855" s="454"/>
      <c r="M855" s="454"/>
      <c r="N855" s="454"/>
      <c r="O855" s="454"/>
      <c r="P855" s="454"/>
      <c r="Q855" s="454"/>
      <c r="R855" s="454"/>
      <c r="S855" s="454"/>
      <c r="T855" s="454"/>
      <c r="U855" s="454"/>
      <c r="V855" s="454"/>
      <c r="W855" s="454"/>
      <c r="X855" s="454"/>
      <c r="Y855" s="454"/>
      <c r="Z855" s="454"/>
      <c r="AA855" s="454"/>
      <c r="AB855" s="454"/>
    </row>
    <row r="856" spans="1:28">
      <c r="A856" s="331"/>
      <c r="B856" s="332"/>
      <c r="C856" s="454"/>
      <c r="D856" s="334"/>
      <c r="E856" s="333"/>
      <c r="F856" s="334"/>
      <c r="G856" s="336"/>
      <c r="H856" s="454"/>
      <c r="I856" s="455"/>
      <c r="J856" s="456"/>
      <c r="K856" s="456"/>
      <c r="L856" s="454"/>
      <c r="M856" s="454"/>
      <c r="N856" s="454"/>
      <c r="O856" s="454"/>
      <c r="P856" s="454"/>
      <c r="Q856" s="454"/>
      <c r="R856" s="454"/>
      <c r="S856" s="454"/>
      <c r="T856" s="454"/>
      <c r="U856" s="454"/>
      <c r="V856" s="454"/>
      <c r="W856" s="454"/>
      <c r="X856" s="454"/>
      <c r="Y856" s="454"/>
      <c r="Z856" s="454"/>
      <c r="AA856" s="454"/>
      <c r="AB856" s="454"/>
    </row>
    <row r="857" spans="1:28">
      <c r="A857" s="331"/>
      <c r="B857" s="332"/>
      <c r="C857" s="454"/>
      <c r="D857" s="334"/>
      <c r="E857" s="333"/>
      <c r="F857" s="334"/>
      <c r="G857" s="336"/>
      <c r="H857" s="454"/>
      <c r="I857" s="455"/>
      <c r="J857" s="456"/>
      <c r="K857" s="456"/>
      <c r="L857" s="454"/>
      <c r="M857" s="454"/>
      <c r="N857" s="454"/>
      <c r="O857" s="454"/>
      <c r="P857" s="454"/>
      <c r="Q857" s="454"/>
      <c r="R857" s="454"/>
      <c r="S857" s="454"/>
      <c r="T857" s="454"/>
      <c r="U857" s="454"/>
      <c r="V857" s="454"/>
      <c r="W857" s="454"/>
      <c r="X857" s="454"/>
      <c r="Y857" s="454"/>
      <c r="Z857" s="454"/>
      <c r="AA857" s="454"/>
      <c r="AB857" s="454"/>
    </row>
    <row r="858" spans="1:28">
      <c r="A858" s="331"/>
      <c r="B858" s="332"/>
      <c r="C858" s="454"/>
      <c r="D858" s="336"/>
      <c r="E858" s="333"/>
      <c r="F858" s="336"/>
      <c r="G858" s="336"/>
      <c r="H858" s="454"/>
      <c r="I858" s="455"/>
      <c r="J858" s="456"/>
      <c r="K858" s="456"/>
      <c r="L858" s="454"/>
      <c r="M858" s="454"/>
      <c r="N858" s="454"/>
      <c r="O858" s="454"/>
      <c r="P858" s="454"/>
      <c r="Q858" s="454"/>
      <c r="R858" s="454"/>
      <c r="S858" s="454"/>
      <c r="T858" s="454"/>
      <c r="U858" s="454"/>
      <c r="V858" s="454"/>
      <c r="W858" s="454"/>
      <c r="X858" s="454"/>
      <c r="Y858" s="454"/>
      <c r="Z858" s="454"/>
      <c r="AA858" s="454"/>
      <c r="AB858" s="454"/>
    </row>
    <row r="859" spans="1:28">
      <c r="A859" s="331"/>
      <c r="B859" s="332"/>
      <c r="C859" s="454"/>
      <c r="D859" s="334"/>
      <c r="E859" s="333"/>
      <c r="F859" s="334"/>
      <c r="G859" s="336"/>
      <c r="H859" s="454"/>
      <c r="I859" s="455"/>
      <c r="J859" s="456"/>
      <c r="K859" s="456"/>
      <c r="L859" s="454"/>
      <c r="M859" s="454"/>
      <c r="N859" s="454"/>
      <c r="O859" s="454"/>
      <c r="P859" s="454"/>
      <c r="Q859" s="454"/>
      <c r="R859" s="454"/>
      <c r="S859" s="454"/>
      <c r="T859" s="454"/>
      <c r="U859" s="454"/>
      <c r="V859" s="454"/>
      <c r="W859" s="454"/>
      <c r="X859" s="454"/>
      <c r="Y859" s="454"/>
      <c r="Z859" s="454"/>
      <c r="AA859" s="454"/>
      <c r="AB859" s="454"/>
    </row>
    <row r="860" spans="1:28">
      <c r="A860" s="331"/>
      <c r="B860" s="332"/>
      <c r="C860" s="454"/>
      <c r="D860" s="334"/>
      <c r="E860" s="333"/>
      <c r="F860" s="334"/>
      <c r="G860" s="334"/>
      <c r="H860" s="454"/>
      <c r="I860" s="455"/>
      <c r="J860" s="456"/>
      <c r="K860" s="456"/>
      <c r="L860" s="454"/>
      <c r="M860" s="454"/>
      <c r="N860" s="454"/>
      <c r="O860" s="454"/>
      <c r="P860" s="454"/>
      <c r="Q860" s="454"/>
      <c r="R860" s="454"/>
      <c r="S860" s="454"/>
      <c r="T860" s="454"/>
      <c r="U860" s="454"/>
      <c r="V860" s="454"/>
      <c r="W860" s="454"/>
      <c r="X860" s="454"/>
      <c r="Y860" s="454"/>
      <c r="Z860" s="454"/>
      <c r="AA860" s="454"/>
      <c r="AB860" s="454"/>
    </row>
    <row r="861" spans="1:28">
      <c r="A861" s="331"/>
      <c r="B861" s="332"/>
      <c r="C861" s="454"/>
      <c r="D861" s="334"/>
      <c r="E861" s="333"/>
      <c r="F861" s="334"/>
      <c r="G861" s="334"/>
      <c r="H861" s="454"/>
      <c r="I861" s="455"/>
      <c r="J861" s="456"/>
      <c r="K861" s="456"/>
      <c r="L861" s="454"/>
      <c r="M861" s="454"/>
      <c r="N861" s="454"/>
      <c r="O861" s="454"/>
      <c r="P861" s="454"/>
      <c r="Q861" s="454"/>
      <c r="R861" s="454"/>
      <c r="S861" s="454"/>
      <c r="T861" s="454"/>
      <c r="U861" s="454"/>
      <c r="V861" s="454"/>
      <c r="W861" s="454"/>
      <c r="X861" s="454"/>
      <c r="Y861" s="454"/>
      <c r="Z861" s="454"/>
      <c r="AA861" s="454"/>
      <c r="AB861" s="454"/>
    </row>
    <row r="862" spans="1:28">
      <c r="A862" s="331"/>
      <c r="B862" s="332"/>
      <c r="C862" s="454"/>
      <c r="D862" s="334"/>
      <c r="E862" s="333"/>
      <c r="F862" s="334"/>
      <c r="G862" s="334"/>
      <c r="H862" s="454"/>
      <c r="I862" s="455"/>
      <c r="J862" s="456"/>
      <c r="K862" s="456"/>
      <c r="L862" s="454"/>
      <c r="M862" s="454"/>
      <c r="N862" s="454"/>
      <c r="O862" s="454"/>
      <c r="P862" s="454"/>
      <c r="Q862" s="454"/>
      <c r="R862" s="454"/>
      <c r="S862" s="454"/>
      <c r="T862" s="454"/>
      <c r="U862" s="454"/>
      <c r="V862" s="454"/>
      <c r="W862" s="454"/>
      <c r="X862" s="454"/>
      <c r="Y862" s="454"/>
      <c r="Z862" s="454"/>
      <c r="AA862" s="454"/>
      <c r="AB862" s="454"/>
    </row>
    <row r="863" spans="1:28">
      <c r="A863" s="331"/>
      <c r="B863" s="332"/>
      <c r="C863" s="454"/>
      <c r="D863" s="334"/>
      <c r="E863" s="333"/>
      <c r="F863" s="334"/>
      <c r="G863" s="334"/>
      <c r="H863" s="454"/>
      <c r="I863" s="455"/>
      <c r="J863" s="456"/>
      <c r="K863" s="456"/>
      <c r="L863" s="454"/>
      <c r="M863" s="454"/>
      <c r="N863" s="454"/>
      <c r="O863" s="454"/>
      <c r="P863" s="454"/>
      <c r="Q863" s="454"/>
      <c r="R863" s="454"/>
      <c r="S863" s="454"/>
      <c r="T863" s="454"/>
      <c r="U863" s="454"/>
      <c r="V863" s="454"/>
      <c r="W863" s="454"/>
      <c r="X863" s="454"/>
      <c r="Y863" s="454"/>
      <c r="Z863" s="454"/>
      <c r="AA863" s="454"/>
      <c r="AB863" s="454"/>
    </row>
    <row r="864" spans="1:28">
      <c r="A864" s="331"/>
      <c r="B864" s="332"/>
      <c r="C864" s="454"/>
      <c r="D864" s="334"/>
      <c r="E864" s="333"/>
      <c r="F864" s="334"/>
      <c r="G864" s="334"/>
      <c r="H864" s="454"/>
      <c r="I864" s="455"/>
      <c r="J864" s="456"/>
      <c r="K864" s="456"/>
      <c r="L864" s="454"/>
      <c r="M864" s="454"/>
      <c r="N864" s="454"/>
      <c r="O864" s="454"/>
      <c r="P864" s="454"/>
      <c r="Q864" s="454"/>
      <c r="R864" s="454"/>
      <c r="S864" s="454"/>
      <c r="T864" s="454"/>
      <c r="U864" s="454"/>
      <c r="V864" s="454"/>
      <c r="W864" s="454"/>
      <c r="X864" s="454"/>
      <c r="Y864" s="454"/>
      <c r="Z864" s="454"/>
      <c r="AA864" s="454"/>
      <c r="AB864" s="454"/>
    </row>
    <row r="865" spans="1:28">
      <c r="A865" s="331"/>
      <c r="B865" s="332"/>
      <c r="C865" s="454"/>
      <c r="D865" s="333"/>
      <c r="E865" s="333"/>
      <c r="F865" s="333"/>
      <c r="G865" s="333"/>
      <c r="H865" s="454"/>
      <c r="I865" s="455"/>
      <c r="J865" s="456"/>
      <c r="K865" s="456"/>
      <c r="L865" s="454"/>
      <c r="M865" s="454"/>
      <c r="N865" s="454"/>
      <c r="O865" s="454"/>
      <c r="P865" s="454"/>
      <c r="Q865" s="454"/>
      <c r="R865" s="454"/>
      <c r="S865" s="454"/>
      <c r="T865" s="454"/>
      <c r="U865" s="454"/>
      <c r="V865" s="454"/>
      <c r="W865" s="454"/>
      <c r="X865" s="454"/>
      <c r="Y865" s="454"/>
      <c r="Z865" s="454"/>
      <c r="AA865" s="454"/>
      <c r="AB865" s="454"/>
    </row>
    <row r="866" spans="1:28">
      <c r="A866" s="331"/>
      <c r="B866" s="332"/>
      <c r="C866" s="454"/>
      <c r="D866" s="333"/>
      <c r="E866" s="333"/>
      <c r="F866" s="333"/>
      <c r="G866" s="333"/>
      <c r="H866" s="454"/>
      <c r="I866" s="455"/>
      <c r="J866" s="456"/>
      <c r="K866" s="456"/>
      <c r="L866" s="454"/>
      <c r="M866" s="454"/>
      <c r="N866" s="454"/>
      <c r="O866" s="454"/>
      <c r="P866" s="454"/>
      <c r="Q866" s="454"/>
      <c r="R866" s="454"/>
      <c r="S866" s="454"/>
      <c r="T866" s="454"/>
      <c r="U866" s="454"/>
      <c r="V866" s="454"/>
      <c r="W866" s="454"/>
      <c r="X866" s="454"/>
      <c r="Y866" s="454"/>
      <c r="Z866" s="454"/>
      <c r="AA866" s="454"/>
      <c r="AB866" s="454"/>
    </row>
    <row r="867" spans="1:28">
      <c r="A867" s="331"/>
      <c r="B867" s="332"/>
      <c r="C867" s="454"/>
      <c r="D867" s="333"/>
      <c r="E867" s="333"/>
      <c r="F867" s="333"/>
      <c r="G867" s="333"/>
      <c r="H867" s="454"/>
      <c r="I867" s="455"/>
      <c r="J867" s="456"/>
      <c r="K867" s="456"/>
      <c r="L867" s="454"/>
      <c r="M867" s="454"/>
      <c r="N867" s="454"/>
      <c r="O867" s="454"/>
      <c r="P867" s="454"/>
      <c r="Q867" s="454"/>
      <c r="R867" s="454"/>
      <c r="S867" s="454"/>
      <c r="T867" s="454"/>
      <c r="U867" s="454"/>
      <c r="V867" s="454"/>
      <c r="W867" s="454"/>
      <c r="X867" s="454"/>
      <c r="Y867" s="454"/>
      <c r="Z867" s="454"/>
      <c r="AA867" s="454"/>
      <c r="AB867" s="454"/>
    </row>
    <row r="868" spans="1:28">
      <c r="A868" s="331"/>
      <c r="B868" s="332"/>
      <c r="C868" s="454"/>
      <c r="D868" s="333"/>
      <c r="E868" s="333"/>
      <c r="F868" s="333"/>
      <c r="G868" s="333"/>
      <c r="H868" s="454"/>
      <c r="I868" s="455"/>
      <c r="J868" s="456"/>
      <c r="K868" s="456"/>
      <c r="L868" s="454"/>
      <c r="M868" s="454"/>
      <c r="N868" s="454"/>
      <c r="O868" s="454"/>
      <c r="P868" s="454"/>
      <c r="Q868" s="454"/>
      <c r="R868" s="454"/>
      <c r="S868" s="454"/>
      <c r="T868" s="454"/>
      <c r="U868" s="454"/>
      <c r="V868" s="454"/>
      <c r="W868" s="454"/>
      <c r="X868" s="454"/>
      <c r="Y868" s="454"/>
      <c r="Z868" s="454"/>
      <c r="AA868" s="454"/>
      <c r="AB868" s="454"/>
    </row>
    <row r="869" spans="1:28">
      <c r="A869" s="331"/>
      <c r="B869" s="332"/>
      <c r="C869" s="454"/>
      <c r="D869" s="333"/>
      <c r="E869" s="333"/>
      <c r="F869" s="333"/>
      <c r="G869" s="333"/>
      <c r="H869" s="454"/>
      <c r="I869" s="455"/>
      <c r="J869" s="456"/>
      <c r="K869" s="456"/>
      <c r="L869" s="454"/>
      <c r="M869" s="454"/>
      <c r="N869" s="454"/>
      <c r="O869" s="454"/>
      <c r="P869" s="454"/>
      <c r="Q869" s="454"/>
      <c r="R869" s="454"/>
      <c r="S869" s="454"/>
      <c r="T869" s="454"/>
      <c r="U869" s="454"/>
      <c r="V869" s="454"/>
      <c r="W869" s="454"/>
      <c r="X869" s="454"/>
      <c r="Y869" s="454"/>
      <c r="Z869" s="454"/>
      <c r="AA869" s="454"/>
      <c r="AB869" s="454"/>
    </row>
    <row r="870" spans="1:28">
      <c r="A870" s="331"/>
      <c r="B870" s="332"/>
      <c r="C870" s="454"/>
      <c r="D870" s="333"/>
      <c r="E870" s="333"/>
      <c r="F870" s="333"/>
      <c r="G870" s="333"/>
      <c r="H870" s="454"/>
      <c r="I870" s="455"/>
      <c r="J870" s="456"/>
      <c r="K870" s="456"/>
      <c r="L870" s="454"/>
      <c r="M870" s="454"/>
      <c r="N870" s="454"/>
      <c r="O870" s="454"/>
      <c r="P870" s="454"/>
      <c r="Q870" s="454"/>
      <c r="R870" s="454"/>
      <c r="S870" s="454"/>
      <c r="T870" s="454"/>
      <c r="U870" s="454"/>
      <c r="V870" s="454"/>
      <c r="W870" s="454"/>
      <c r="X870" s="454"/>
      <c r="Y870" s="454"/>
      <c r="Z870" s="454"/>
      <c r="AA870" s="454"/>
      <c r="AB870" s="454"/>
    </row>
    <row r="871" spans="1:28">
      <c r="A871" s="331"/>
      <c r="B871" s="332"/>
      <c r="C871" s="454"/>
      <c r="D871" s="333"/>
      <c r="E871" s="333"/>
      <c r="F871" s="333"/>
      <c r="G871" s="333"/>
      <c r="H871" s="454"/>
      <c r="I871" s="455"/>
      <c r="J871" s="456"/>
      <c r="K871" s="456"/>
      <c r="L871" s="454"/>
      <c r="M871" s="454"/>
      <c r="N871" s="454"/>
      <c r="O871" s="454"/>
      <c r="P871" s="454"/>
      <c r="Q871" s="454"/>
      <c r="R871" s="454"/>
      <c r="S871" s="454"/>
      <c r="T871" s="454"/>
      <c r="U871" s="454"/>
      <c r="V871" s="454"/>
      <c r="W871" s="454"/>
      <c r="X871" s="454"/>
      <c r="Y871" s="454"/>
      <c r="Z871" s="454"/>
      <c r="AA871" s="454"/>
      <c r="AB871" s="454"/>
    </row>
    <row r="872" spans="1:28">
      <c r="A872" s="331"/>
      <c r="B872" s="332"/>
      <c r="C872" s="454"/>
      <c r="D872" s="333"/>
      <c r="E872" s="333"/>
      <c r="F872" s="333"/>
      <c r="G872" s="333"/>
      <c r="H872" s="454"/>
      <c r="I872" s="455"/>
      <c r="J872" s="456"/>
      <c r="K872" s="456"/>
      <c r="L872" s="454"/>
      <c r="M872" s="454"/>
      <c r="N872" s="454"/>
      <c r="O872" s="454"/>
      <c r="P872" s="454"/>
      <c r="Q872" s="454"/>
      <c r="R872" s="454"/>
      <c r="S872" s="454"/>
      <c r="T872" s="454"/>
      <c r="U872" s="454"/>
      <c r="V872" s="454"/>
      <c r="W872" s="454"/>
      <c r="X872" s="454"/>
      <c r="Y872" s="454"/>
      <c r="Z872" s="454"/>
      <c r="AA872" s="454"/>
      <c r="AB872" s="454"/>
    </row>
    <row r="873" spans="1:28">
      <c r="A873" s="331"/>
      <c r="B873" s="332"/>
      <c r="C873" s="454"/>
      <c r="D873" s="333"/>
      <c r="E873" s="333"/>
      <c r="F873" s="333"/>
      <c r="G873" s="333"/>
      <c r="H873" s="454"/>
      <c r="I873" s="455"/>
      <c r="J873" s="456"/>
      <c r="K873" s="456"/>
      <c r="L873" s="454"/>
      <c r="M873" s="454"/>
      <c r="N873" s="454"/>
      <c r="O873" s="454"/>
      <c r="P873" s="454"/>
      <c r="Q873" s="454"/>
      <c r="R873" s="454"/>
      <c r="S873" s="454"/>
      <c r="T873" s="454"/>
      <c r="U873" s="454"/>
      <c r="V873" s="454"/>
      <c r="W873" s="454"/>
      <c r="X873" s="454"/>
      <c r="Y873" s="454"/>
      <c r="Z873" s="454"/>
      <c r="AA873" s="454"/>
      <c r="AB873" s="454"/>
    </row>
    <row r="874" spans="1:28">
      <c r="A874" s="331"/>
      <c r="B874" s="332"/>
      <c r="C874" s="454"/>
      <c r="D874" s="333"/>
      <c r="E874" s="333"/>
      <c r="F874" s="333"/>
      <c r="G874" s="333"/>
      <c r="H874" s="454"/>
      <c r="I874" s="455"/>
      <c r="J874" s="456"/>
      <c r="K874" s="456"/>
      <c r="L874" s="454"/>
      <c r="M874" s="454"/>
      <c r="N874" s="454"/>
      <c r="O874" s="454"/>
      <c r="P874" s="454"/>
      <c r="Q874" s="454"/>
      <c r="R874" s="454"/>
      <c r="S874" s="454"/>
      <c r="T874" s="454"/>
      <c r="U874" s="454"/>
      <c r="V874" s="454"/>
      <c r="W874" s="454"/>
      <c r="X874" s="454"/>
      <c r="Y874" s="454"/>
      <c r="Z874" s="454"/>
      <c r="AA874" s="454"/>
      <c r="AB874" s="454"/>
    </row>
    <row r="875" spans="1:28">
      <c r="A875" s="331"/>
      <c r="B875" s="332"/>
      <c r="C875" s="454"/>
      <c r="D875" s="334"/>
      <c r="E875" s="333"/>
      <c r="F875" s="334"/>
      <c r="G875" s="334"/>
      <c r="H875" s="454"/>
      <c r="I875" s="455"/>
      <c r="J875" s="456"/>
      <c r="K875" s="456"/>
      <c r="L875" s="454"/>
      <c r="M875" s="454"/>
      <c r="N875" s="454"/>
      <c r="O875" s="454"/>
      <c r="P875" s="454"/>
      <c r="Q875" s="454"/>
      <c r="R875" s="454"/>
      <c r="S875" s="454"/>
      <c r="T875" s="454"/>
      <c r="U875" s="454"/>
      <c r="V875" s="454"/>
      <c r="W875" s="454"/>
      <c r="X875" s="454"/>
      <c r="Y875" s="454"/>
      <c r="Z875" s="454"/>
      <c r="AA875" s="454"/>
      <c r="AB875" s="454"/>
    </row>
    <row r="876" spans="1:28">
      <c r="A876" s="331"/>
      <c r="B876" s="332"/>
      <c r="C876" s="454"/>
      <c r="D876" s="334"/>
      <c r="E876" s="333"/>
      <c r="F876" s="334"/>
      <c r="G876" s="334"/>
      <c r="H876" s="454"/>
      <c r="I876" s="455"/>
      <c r="J876" s="456"/>
      <c r="K876" s="456"/>
      <c r="L876" s="454"/>
      <c r="M876" s="454"/>
      <c r="N876" s="454"/>
      <c r="O876" s="454"/>
      <c r="P876" s="454"/>
      <c r="Q876" s="454"/>
      <c r="R876" s="454"/>
      <c r="S876" s="454"/>
      <c r="T876" s="454"/>
      <c r="U876" s="454"/>
      <c r="V876" s="454"/>
      <c r="W876" s="454"/>
      <c r="X876" s="454"/>
      <c r="Y876" s="454"/>
      <c r="Z876" s="454"/>
      <c r="AA876" s="454"/>
      <c r="AB876" s="454"/>
    </row>
    <row r="877" spans="1:28">
      <c r="A877" s="331"/>
      <c r="B877" s="332"/>
      <c r="C877" s="454"/>
      <c r="D877" s="333"/>
      <c r="E877" s="333"/>
      <c r="F877" s="333"/>
      <c r="G877" s="333"/>
      <c r="H877" s="454"/>
      <c r="I877" s="455"/>
      <c r="J877" s="456"/>
      <c r="K877" s="456"/>
      <c r="L877" s="454"/>
      <c r="M877" s="454"/>
      <c r="N877" s="454"/>
      <c r="O877" s="454"/>
      <c r="P877" s="454"/>
      <c r="Q877" s="454"/>
      <c r="R877" s="454"/>
      <c r="S877" s="454"/>
      <c r="T877" s="454"/>
      <c r="U877" s="454"/>
      <c r="V877" s="454"/>
      <c r="W877" s="454"/>
      <c r="X877" s="454"/>
      <c r="Y877" s="454"/>
      <c r="Z877" s="454"/>
      <c r="AA877" s="454"/>
      <c r="AB877" s="454"/>
    </row>
    <row r="878" spans="1:28">
      <c r="A878" s="331"/>
      <c r="B878" s="332"/>
      <c r="C878" s="454"/>
      <c r="D878" s="333"/>
      <c r="E878" s="333"/>
      <c r="F878" s="333"/>
      <c r="G878" s="333"/>
      <c r="H878" s="454"/>
      <c r="I878" s="455"/>
      <c r="J878" s="456"/>
      <c r="K878" s="456"/>
      <c r="L878" s="454"/>
      <c r="M878" s="454"/>
      <c r="N878" s="454"/>
      <c r="O878" s="454"/>
      <c r="P878" s="454"/>
      <c r="Q878" s="454"/>
      <c r="R878" s="454"/>
      <c r="S878" s="454"/>
      <c r="T878" s="454"/>
      <c r="U878" s="454"/>
      <c r="V878" s="454"/>
      <c r="W878" s="454"/>
      <c r="X878" s="454"/>
      <c r="Y878" s="454"/>
      <c r="Z878" s="454"/>
      <c r="AA878" s="454"/>
      <c r="AB878" s="454"/>
    </row>
    <row r="879" spans="1:28">
      <c r="A879" s="331"/>
      <c r="B879" s="332"/>
      <c r="C879" s="454"/>
      <c r="D879" s="333"/>
      <c r="E879" s="333"/>
      <c r="F879" s="333"/>
      <c r="G879" s="333"/>
      <c r="H879" s="454"/>
      <c r="I879" s="455"/>
      <c r="J879" s="456"/>
      <c r="K879" s="456"/>
      <c r="L879" s="454"/>
      <c r="M879" s="454"/>
      <c r="N879" s="454"/>
      <c r="O879" s="454"/>
      <c r="P879" s="454"/>
      <c r="Q879" s="454"/>
      <c r="R879" s="454"/>
      <c r="S879" s="454"/>
      <c r="T879" s="454"/>
      <c r="U879" s="454"/>
      <c r="V879" s="454"/>
      <c r="W879" s="454"/>
      <c r="X879" s="454"/>
      <c r="Y879" s="454"/>
      <c r="Z879" s="454"/>
      <c r="AA879" s="454"/>
      <c r="AB879" s="454"/>
    </row>
    <row r="880" spans="1:28">
      <c r="A880" s="331"/>
      <c r="B880" s="332"/>
      <c r="C880" s="454"/>
      <c r="D880" s="333"/>
      <c r="E880" s="333"/>
      <c r="F880" s="333"/>
      <c r="G880" s="333"/>
      <c r="H880" s="454"/>
      <c r="I880" s="455"/>
      <c r="J880" s="456"/>
      <c r="K880" s="456"/>
      <c r="L880" s="454"/>
      <c r="M880" s="454"/>
      <c r="N880" s="454"/>
      <c r="O880" s="454"/>
      <c r="P880" s="454"/>
      <c r="Q880" s="454"/>
      <c r="R880" s="454"/>
      <c r="S880" s="454"/>
      <c r="T880" s="454"/>
      <c r="U880" s="454"/>
      <c r="V880" s="454"/>
      <c r="W880" s="454"/>
      <c r="X880" s="454"/>
      <c r="Y880" s="454"/>
      <c r="Z880" s="454"/>
      <c r="AA880" s="454"/>
      <c r="AB880" s="454"/>
    </row>
    <row r="881" spans="1:28">
      <c r="A881" s="331"/>
      <c r="B881" s="332"/>
      <c r="C881" s="454"/>
      <c r="D881" s="337"/>
      <c r="E881" s="333"/>
      <c r="F881" s="337"/>
      <c r="G881" s="337"/>
      <c r="H881" s="454"/>
      <c r="I881" s="455"/>
      <c r="J881" s="456"/>
      <c r="K881" s="456"/>
      <c r="L881" s="454"/>
      <c r="M881" s="454"/>
      <c r="N881" s="454"/>
      <c r="O881" s="454"/>
      <c r="P881" s="454"/>
      <c r="Q881" s="454"/>
      <c r="R881" s="454"/>
      <c r="S881" s="454"/>
      <c r="T881" s="454"/>
      <c r="U881" s="454"/>
      <c r="V881" s="454"/>
      <c r="W881" s="454"/>
      <c r="X881" s="454"/>
      <c r="Y881" s="454"/>
      <c r="Z881" s="454"/>
      <c r="AA881" s="454"/>
      <c r="AB881" s="454"/>
    </row>
    <row r="882" spans="1:28">
      <c r="A882" s="331"/>
      <c r="B882" s="332"/>
      <c r="C882" s="454"/>
      <c r="D882" s="335"/>
      <c r="E882" s="333"/>
      <c r="F882" s="335"/>
      <c r="G882" s="335"/>
      <c r="H882" s="454"/>
      <c r="I882" s="455"/>
      <c r="J882" s="456"/>
      <c r="K882" s="456"/>
      <c r="L882" s="454"/>
      <c r="M882" s="454"/>
      <c r="N882" s="454"/>
      <c r="O882" s="454"/>
      <c r="P882" s="454"/>
      <c r="Q882" s="454"/>
      <c r="R882" s="454"/>
      <c r="S882" s="454"/>
      <c r="T882" s="454"/>
      <c r="U882" s="454"/>
      <c r="V882" s="454"/>
      <c r="W882" s="454"/>
      <c r="X882" s="454"/>
      <c r="Y882" s="454"/>
      <c r="Z882" s="454"/>
      <c r="AA882" s="454"/>
      <c r="AB882" s="454"/>
    </row>
    <row r="883" spans="1:28">
      <c r="A883" s="331"/>
      <c r="B883" s="332"/>
      <c r="C883" s="454"/>
      <c r="D883" s="336"/>
      <c r="E883" s="333"/>
      <c r="F883" s="336"/>
      <c r="G883" s="336"/>
      <c r="H883" s="454"/>
      <c r="I883" s="455"/>
      <c r="J883" s="456"/>
      <c r="K883" s="456"/>
      <c r="L883" s="454"/>
      <c r="M883" s="454"/>
      <c r="N883" s="454"/>
      <c r="O883" s="454"/>
      <c r="P883" s="454"/>
      <c r="Q883" s="454"/>
      <c r="R883" s="454"/>
      <c r="S883" s="454"/>
      <c r="T883" s="454"/>
      <c r="U883" s="454"/>
      <c r="V883" s="454"/>
      <c r="W883" s="454"/>
      <c r="X883" s="454"/>
      <c r="Y883" s="454"/>
      <c r="Z883" s="454"/>
      <c r="AA883" s="454"/>
      <c r="AB883" s="454"/>
    </row>
    <row r="884" spans="1:28">
      <c r="A884" s="331"/>
      <c r="B884" s="332"/>
      <c r="C884" s="454"/>
      <c r="D884" s="336"/>
      <c r="E884" s="333"/>
      <c r="F884" s="336"/>
      <c r="G884" s="336"/>
      <c r="H884" s="454"/>
      <c r="I884" s="455"/>
      <c r="J884" s="456"/>
      <c r="K884" s="456"/>
      <c r="L884" s="454"/>
      <c r="M884" s="454"/>
      <c r="N884" s="454"/>
      <c r="O884" s="454"/>
      <c r="P884" s="454"/>
      <c r="Q884" s="454"/>
      <c r="R884" s="454"/>
      <c r="S884" s="454"/>
      <c r="T884" s="454"/>
      <c r="U884" s="454"/>
      <c r="V884" s="454"/>
      <c r="W884" s="454"/>
      <c r="X884" s="454"/>
      <c r="Y884" s="454"/>
      <c r="Z884" s="454"/>
      <c r="AA884" s="454"/>
      <c r="AB884" s="454"/>
    </row>
    <row r="885" spans="1:28">
      <c r="A885" s="331"/>
      <c r="B885" s="332"/>
      <c r="C885" s="454"/>
      <c r="D885" s="334"/>
      <c r="E885" s="333"/>
      <c r="F885" s="334"/>
      <c r="G885" s="336"/>
      <c r="H885" s="454"/>
      <c r="I885" s="455"/>
      <c r="J885" s="456"/>
      <c r="K885" s="456"/>
      <c r="L885" s="454"/>
      <c r="M885" s="454"/>
      <c r="N885" s="454"/>
      <c r="O885" s="454"/>
      <c r="P885" s="454"/>
      <c r="Q885" s="454"/>
      <c r="R885" s="454"/>
      <c r="S885" s="454"/>
      <c r="T885" s="454"/>
      <c r="U885" s="454"/>
      <c r="V885" s="454"/>
      <c r="W885" s="454"/>
      <c r="X885" s="454"/>
      <c r="Y885" s="454"/>
      <c r="Z885" s="454"/>
      <c r="AA885" s="454"/>
      <c r="AB885" s="454"/>
    </row>
    <row r="886" spans="1:28">
      <c r="A886" s="331"/>
      <c r="B886" s="332"/>
      <c r="C886" s="454"/>
      <c r="D886" s="334"/>
      <c r="E886" s="333"/>
      <c r="F886" s="333"/>
      <c r="G886" s="336"/>
      <c r="H886" s="454"/>
      <c r="I886" s="455"/>
      <c r="J886" s="456"/>
      <c r="K886" s="456"/>
      <c r="L886" s="454"/>
      <c r="M886" s="454"/>
      <c r="N886" s="454"/>
      <c r="O886" s="454"/>
      <c r="P886" s="454"/>
      <c r="Q886" s="454"/>
      <c r="R886" s="454"/>
      <c r="S886" s="454"/>
      <c r="T886" s="454"/>
      <c r="U886" s="454"/>
      <c r="V886" s="454"/>
      <c r="W886" s="454"/>
      <c r="X886" s="454"/>
      <c r="Y886" s="454"/>
      <c r="Z886" s="454"/>
      <c r="AA886" s="454"/>
      <c r="AB886" s="454"/>
    </row>
    <row r="887" spans="1:28">
      <c r="A887" s="331"/>
      <c r="B887" s="332"/>
      <c r="C887" s="454"/>
      <c r="D887" s="334"/>
      <c r="E887" s="333"/>
      <c r="F887" s="334"/>
      <c r="G887" s="336"/>
      <c r="H887" s="454"/>
      <c r="I887" s="455"/>
      <c r="J887" s="456"/>
      <c r="K887" s="456"/>
      <c r="L887" s="454"/>
      <c r="M887" s="454"/>
      <c r="N887" s="454"/>
      <c r="O887" s="454"/>
      <c r="P887" s="454"/>
      <c r="Q887" s="454"/>
      <c r="R887" s="454"/>
      <c r="S887" s="454"/>
      <c r="T887" s="454"/>
      <c r="U887" s="454"/>
      <c r="V887" s="454"/>
      <c r="W887" s="454"/>
      <c r="X887" s="454"/>
      <c r="Y887" s="454"/>
      <c r="Z887" s="454"/>
      <c r="AA887" s="454"/>
      <c r="AB887" s="454"/>
    </row>
    <row r="888" spans="1:28">
      <c r="A888" s="331"/>
      <c r="B888" s="332"/>
      <c r="C888" s="454"/>
      <c r="D888" s="334"/>
      <c r="E888" s="333"/>
      <c r="F888" s="334"/>
      <c r="G888" s="336"/>
      <c r="H888" s="454"/>
      <c r="I888" s="455"/>
      <c r="J888" s="456"/>
      <c r="K888" s="456"/>
      <c r="L888" s="454"/>
      <c r="M888" s="454"/>
      <c r="N888" s="454"/>
      <c r="O888" s="454"/>
      <c r="P888" s="454"/>
      <c r="Q888" s="454"/>
      <c r="R888" s="454"/>
      <c r="S888" s="454"/>
      <c r="T888" s="454"/>
      <c r="U888" s="454"/>
      <c r="V888" s="454"/>
      <c r="W888" s="454"/>
      <c r="X888" s="454"/>
      <c r="Y888" s="454"/>
      <c r="Z888" s="454"/>
      <c r="AA888" s="454"/>
      <c r="AB888" s="454"/>
    </row>
    <row r="889" spans="1:28">
      <c r="A889" s="331"/>
      <c r="B889" s="332"/>
      <c r="C889" s="454"/>
      <c r="D889" s="334"/>
      <c r="E889" s="333"/>
      <c r="F889" s="334"/>
      <c r="G889" s="336"/>
      <c r="H889" s="454"/>
      <c r="I889" s="455"/>
      <c r="J889" s="456"/>
      <c r="K889" s="456"/>
      <c r="L889" s="454"/>
      <c r="M889" s="454"/>
      <c r="N889" s="454"/>
      <c r="O889" s="454"/>
      <c r="P889" s="454"/>
      <c r="Q889" s="454"/>
      <c r="R889" s="454"/>
      <c r="S889" s="454"/>
      <c r="T889" s="454"/>
      <c r="U889" s="454"/>
      <c r="V889" s="454"/>
      <c r="W889" s="454"/>
      <c r="X889" s="454"/>
      <c r="Y889" s="454"/>
      <c r="Z889" s="454"/>
      <c r="AA889" s="454"/>
      <c r="AB889" s="454"/>
    </row>
    <row r="890" spans="1:28">
      <c r="A890" s="331"/>
      <c r="B890" s="332"/>
      <c r="C890" s="454"/>
      <c r="D890" s="334"/>
      <c r="E890" s="333"/>
      <c r="F890" s="334"/>
      <c r="G890" s="336"/>
      <c r="H890" s="454"/>
      <c r="I890" s="455"/>
      <c r="J890" s="456"/>
      <c r="K890" s="456"/>
      <c r="L890" s="454"/>
      <c r="M890" s="454"/>
      <c r="N890" s="454"/>
      <c r="O890" s="454"/>
      <c r="P890" s="454"/>
      <c r="Q890" s="454"/>
      <c r="R890" s="454"/>
      <c r="S890" s="454"/>
      <c r="T890" s="454"/>
      <c r="U890" s="454"/>
      <c r="V890" s="454"/>
      <c r="W890" s="454"/>
      <c r="X890" s="454"/>
      <c r="Y890" s="454"/>
      <c r="Z890" s="454"/>
      <c r="AA890" s="454"/>
      <c r="AB890" s="454"/>
    </row>
    <row r="891" spans="1:28">
      <c r="A891" s="331"/>
      <c r="B891" s="332"/>
      <c r="C891" s="454"/>
      <c r="D891" s="334"/>
      <c r="E891" s="333"/>
      <c r="F891" s="334"/>
      <c r="G891" s="336"/>
      <c r="H891" s="454"/>
      <c r="I891" s="455"/>
      <c r="J891" s="456"/>
      <c r="K891" s="456"/>
      <c r="L891" s="454"/>
      <c r="M891" s="454"/>
      <c r="N891" s="454"/>
      <c r="O891" s="454"/>
      <c r="P891" s="454"/>
      <c r="Q891" s="454"/>
      <c r="R891" s="454"/>
      <c r="S891" s="454"/>
      <c r="T891" s="454"/>
      <c r="U891" s="454"/>
      <c r="V891" s="454"/>
      <c r="W891" s="454"/>
      <c r="X891" s="454"/>
      <c r="Y891" s="454"/>
      <c r="Z891" s="454"/>
      <c r="AA891" s="454"/>
      <c r="AB891" s="454"/>
    </row>
    <row r="892" spans="1:28">
      <c r="A892" s="331"/>
      <c r="B892" s="332"/>
      <c r="C892" s="454"/>
      <c r="D892" s="334"/>
      <c r="E892" s="333"/>
      <c r="F892" s="334"/>
      <c r="G892" s="336"/>
      <c r="H892" s="454"/>
      <c r="I892" s="455"/>
      <c r="J892" s="456"/>
      <c r="K892" s="456"/>
      <c r="L892" s="454"/>
      <c r="M892" s="454"/>
      <c r="N892" s="454"/>
      <c r="O892" s="454"/>
      <c r="P892" s="454"/>
      <c r="Q892" s="454"/>
      <c r="R892" s="454"/>
      <c r="S892" s="454"/>
      <c r="T892" s="454"/>
      <c r="U892" s="454"/>
      <c r="V892" s="454"/>
      <c r="W892" s="454"/>
      <c r="X892" s="454"/>
      <c r="Y892" s="454"/>
      <c r="Z892" s="454"/>
      <c r="AA892" s="454"/>
      <c r="AB892" s="454"/>
    </row>
    <row r="893" spans="1:28">
      <c r="A893" s="331"/>
      <c r="B893" s="332"/>
      <c r="C893" s="454"/>
      <c r="D893" s="334"/>
      <c r="E893" s="333"/>
      <c r="F893" s="334"/>
      <c r="G893" s="336"/>
      <c r="H893" s="454"/>
      <c r="I893" s="455"/>
      <c r="J893" s="456"/>
      <c r="K893" s="456"/>
      <c r="L893" s="454"/>
      <c r="M893" s="454"/>
      <c r="N893" s="454"/>
      <c r="O893" s="454"/>
      <c r="P893" s="454"/>
      <c r="Q893" s="454"/>
      <c r="R893" s="454"/>
      <c r="S893" s="454"/>
      <c r="T893" s="454"/>
      <c r="U893" s="454"/>
      <c r="V893" s="454"/>
      <c r="W893" s="454"/>
      <c r="X893" s="454"/>
      <c r="Y893" s="454"/>
      <c r="Z893" s="454"/>
      <c r="AA893" s="454"/>
      <c r="AB893" s="454"/>
    </row>
    <row r="894" spans="1:28">
      <c r="A894" s="331"/>
      <c r="B894" s="332"/>
      <c r="C894" s="454"/>
      <c r="D894" s="334"/>
      <c r="E894" s="333"/>
      <c r="F894" s="334"/>
      <c r="G894" s="336"/>
      <c r="H894" s="454"/>
      <c r="I894" s="455"/>
      <c r="J894" s="456"/>
      <c r="K894" s="456"/>
      <c r="L894" s="454"/>
      <c r="M894" s="454"/>
      <c r="N894" s="454"/>
      <c r="O894" s="454"/>
      <c r="P894" s="454"/>
      <c r="Q894" s="454"/>
      <c r="R894" s="454"/>
      <c r="S894" s="454"/>
      <c r="T894" s="454"/>
      <c r="U894" s="454"/>
      <c r="V894" s="454"/>
      <c r="W894" s="454"/>
      <c r="X894" s="454"/>
      <c r="Y894" s="454"/>
      <c r="Z894" s="454"/>
      <c r="AA894" s="454"/>
      <c r="AB894" s="454"/>
    </row>
    <row r="895" spans="1:28">
      <c r="A895" s="331"/>
      <c r="B895" s="332"/>
      <c r="C895" s="454"/>
      <c r="D895" s="334"/>
      <c r="E895" s="333"/>
      <c r="F895" s="334"/>
      <c r="G895" s="335"/>
      <c r="H895" s="454"/>
      <c r="I895" s="455"/>
      <c r="J895" s="456"/>
      <c r="K895" s="456"/>
      <c r="L895" s="454"/>
      <c r="M895" s="454"/>
      <c r="N895" s="454"/>
      <c r="O895" s="454"/>
      <c r="P895" s="454"/>
      <c r="Q895" s="454"/>
      <c r="R895" s="454"/>
      <c r="S895" s="454"/>
      <c r="T895" s="454"/>
      <c r="U895" s="454"/>
      <c r="V895" s="454"/>
      <c r="W895" s="454"/>
      <c r="X895" s="454"/>
      <c r="Y895" s="454"/>
      <c r="Z895" s="454"/>
      <c r="AA895" s="454"/>
      <c r="AB895" s="454"/>
    </row>
    <row r="896" spans="1:28">
      <c r="A896" s="331"/>
      <c r="B896" s="332"/>
      <c r="C896" s="454"/>
      <c r="D896" s="334"/>
      <c r="E896" s="333"/>
      <c r="F896" s="334"/>
      <c r="G896" s="336"/>
      <c r="H896" s="454"/>
      <c r="I896" s="455"/>
      <c r="J896" s="456"/>
      <c r="K896" s="456"/>
      <c r="L896" s="454"/>
      <c r="M896" s="454"/>
      <c r="N896" s="454"/>
      <c r="O896" s="454"/>
      <c r="P896" s="454"/>
      <c r="Q896" s="454"/>
      <c r="R896" s="454"/>
      <c r="S896" s="454"/>
      <c r="T896" s="454"/>
      <c r="U896" s="454"/>
      <c r="V896" s="454"/>
      <c r="W896" s="454"/>
      <c r="X896" s="454"/>
      <c r="Y896" s="454"/>
      <c r="Z896" s="454"/>
      <c r="AA896" s="454"/>
      <c r="AB896" s="454"/>
    </row>
    <row r="897" spans="1:28">
      <c r="A897" s="331"/>
      <c r="B897" s="332"/>
      <c r="C897" s="454"/>
      <c r="D897" s="334"/>
      <c r="E897" s="333"/>
      <c r="F897" s="334"/>
      <c r="G897" s="334"/>
      <c r="H897" s="454"/>
      <c r="I897" s="455"/>
      <c r="J897" s="456"/>
      <c r="K897" s="456"/>
      <c r="L897" s="454"/>
      <c r="M897" s="454"/>
      <c r="N897" s="454"/>
      <c r="O897" s="454"/>
      <c r="P897" s="454"/>
      <c r="Q897" s="454"/>
      <c r="R897" s="454"/>
      <c r="S897" s="454"/>
      <c r="T897" s="454"/>
      <c r="U897" s="454"/>
      <c r="V897" s="454"/>
      <c r="W897" s="454"/>
      <c r="X897" s="454"/>
      <c r="Y897" s="454"/>
      <c r="Z897" s="454"/>
      <c r="AA897" s="454"/>
      <c r="AB897" s="454"/>
    </row>
    <row r="898" spans="1:28">
      <c r="A898" s="331"/>
      <c r="B898" s="332"/>
      <c r="C898" s="454"/>
      <c r="D898" s="334"/>
      <c r="E898" s="333"/>
      <c r="F898" s="334"/>
      <c r="G898" s="336"/>
      <c r="H898" s="454"/>
      <c r="I898" s="455"/>
      <c r="J898" s="456"/>
      <c r="K898" s="456"/>
      <c r="L898" s="454"/>
      <c r="M898" s="454"/>
      <c r="N898" s="454"/>
      <c r="O898" s="454"/>
      <c r="P898" s="454"/>
      <c r="Q898" s="454"/>
      <c r="R898" s="454"/>
      <c r="S898" s="454"/>
      <c r="T898" s="454"/>
      <c r="U898" s="454"/>
      <c r="V898" s="454"/>
      <c r="W898" s="454"/>
      <c r="X898" s="454"/>
      <c r="Y898" s="454"/>
      <c r="Z898" s="454"/>
      <c r="AA898" s="454"/>
      <c r="AB898" s="454"/>
    </row>
    <row r="899" spans="1:28">
      <c r="A899" s="331"/>
      <c r="B899" s="332"/>
      <c r="C899" s="454"/>
      <c r="D899" s="334"/>
      <c r="E899" s="333"/>
      <c r="F899" s="334"/>
      <c r="G899" s="334"/>
      <c r="H899" s="454"/>
      <c r="I899" s="455"/>
      <c r="J899" s="456"/>
      <c r="K899" s="456"/>
      <c r="L899" s="454"/>
      <c r="M899" s="454"/>
      <c r="N899" s="454"/>
      <c r="O899" s="454"/>
      <c r="P899" s="454"/>
      <c r="Q899" s="454"/>
      <c r="R899" s="454"/>
      <c r="S899" s="454"/>
      <c r="T899" s="454"/>
      <c r="U899" s="454"/>
      <c r="V899" s="454"/>
      <c r="W899" s="454"/>
      <c r="X899" s="454"/>
      <c r="Y899" s="454"/>
      <c r="Z899" s="454"/>
      <c r="AA899" s="454"/>
      <c r="AB899" s="454"/>
    </row>
    <row r="900" spans="1:28">
      <c r="A900" s="331"/>
      <c r="B900" s="332"/>
      <c r="C900" s="454"/>
      <c r="D900" s="334"/>
      <c r="E900" s="333"/>
      <c r="F900" s="334"/>
      <c r="G900" s="334"/>
      <c r="H900" s="454"/>
      <c r="I900" s="455"/>
      <c r="J900" s="456"/>
      <c r="K900" s="456"/>
      <c r="L900" s="454"/>
      <c r="M900" s="454"/>
      <c r="N900" s="454"/>
      <c r="O900" s="454"/>
      <c r="P900" s="454"/>
      <c r="Q900" s="454"/>
      <c r="R900" s="454"/>
      <c r="S900" s="454"/>
      <c r="T900" s="454"/>
      <c r="U900" s="454"/>
      <c r="V900" s="454"/>
      <c r="W900" s="454"/>
      <c r="X900" s="454"/>
      <c r="Y900" s="454"/>
      <c r="Z900" s="454"/>
      <c r="AA900" s="454"/>
      <c r="AB900" s="454"/>
    </row>
    <row r="901" spans="1:28">
      <c r="A901" s="331"/>
      <c r="B901" s="332"/>
      <c r="C901" s="454"/>
      <c r="D901" s="334"/>
      <c r="E901" s="333"/>
      <c r="F901" s="334"/>
      <c r="G901" s="334"/>
      <c r="H901" s="454"/>
      <c r="I901" s="455"/>
      <c r="J901" s="456"/>
      <c r="K901" s="456"/>
      <c r="L901" s="454"/>
      <c r="M901" s="454"/>
      <c r="N901" s="454"/>
      <c r="O901" s="454"/>
      <c r="P901" s="454"/>
      <c r="Q901" s="454"/>
      <c r="R901" s="454"/>
      <c r="S901" s="454"/>
      <c r="T901" s="454"/>
      <c r="U901" s="454"/>
      <c r="V901" s="454"/>
      <c r="W901" s="454"/>
      <c r="X901" s="454"/>
      <c r="Y901" s="454"/>
      <c r="Z901" s="454"/>
      <c r="AA901" s="454"/>
      <c r="AB901" s="454"/>
    </row>
    <row r="902" spans="1:28">
      <c r="A902" s="331"/>
      <c r="B902" s="332"/>
      <c r="C902" s="454"/>
      <c r="D902" s="334"/>
      <c r="E902" s="333"/>
      <c r="F902" s="334"/>
      <c r="G902" s="334"/>
      <c r="H902" s="454"/>
      <c r="I902" s="455"/>
      <c r="J902" s="456"/>
      <c r="K902" s="456"/>
      <c r="L902" s="454"/>
      <c r="M902" s="454"/>
      <c r="N902" s="454"/>
      <c r="O902" s="454"/>
      <c r="P902" s="454"/>
      <c r="Q902" s="454"/>
      <c r="R902" s="454"/>
      <c r="S902" s="454"/>
      <c r="T902" s="454"/>
      <c r="U902" s="454"/>
      <c r="V902" s="454"/>
      <c r="W902" s="454"/>
      <c r="X902" s="454"/>
      <c r="Y902" s="454"/>
      <c r="Z902" s="454"/>
      <c r="AA902" s="454"/>
      <c r="AB902" s="454"/>
    </row>
    <row r="903" spans="1:28">
      <c r="A903" s="331"/>
      <c r="B903" s="332"/>
      <c r="C903" s="454"/>
      <c r="D903" s="334"/>
      <c r="E903" s="333"/>
      <c r="F903" s="334"/>
      <c r="G903" s="334"/>
      <c r="H903" s="454"/>
      <c r="I903" s="455"/>
      <c r="J903" s="456"/>
      <c r="K903" s="456"/>
      <c r="L903" s="454"/>
      <c r="M903" s="454"/>
      <c r="N903" s="454"/>
      <c r="O903" s="454"/>
      <c r="P903" s="454"/>
      <c r="Q903" s="454"/>
      <c r="R903" s="454"/>
      <c r="S903" s="454"/>
      <c r="T903" s="454"/>
      <c r="U903" s="454"/>
      <c r="V903" s="454"/>
      <c r="W903" s="454"/>
      <c r="X903" s="454"/>
      <c r="Y903" s="454"/>
      <c r="Z903" s="454"/>
      <c r="AA903" s="454"/>
      <c r="AB903" s="454"/>
    </row>
    <row r="904" spans="1:28">
      <c r="A904" s="331"/>
      <c r="B904" s="332"/>
      <c r="C904" s="454"/>
      <c r="D904" s="334"/>
      <c r="E904" s="333"/>
      <c r="F904" s="334"/>
      <c r="G904" s="334"/>
      <c r="H904" s="454"/>
      <c r="I904" s="455"/>
      <c r="J904" s="456"/>
      <c r="K904" s="456"/>
      <c r="L904" s="454"/>
      <c r="M904" s="454"/>
      <c r="N904" s="454"/>
      <c r="O904" s="454"/>
      <c r="P904" s="454"/>
      <c r="Q904" s="454"/>
      <c r="R904" s="454"/>
      <c r="S904" s="454"/>
      <c r="T904" s="454"/>
      <c r="U904" s="454"/>
      <c r="V904" s="454"/>
      <c r="W904" s="454"/>
      <c r="X904" s="454"/>
      <c r="Y904" s="454"/>
      <c r="Z904" s="454"/>
      <c r="AA904" s="454"/>
      <c r="AB904" s="454"/>
    </row>
    <row r="905" spans="1:28">
      <c r="A905" s="331"/>
      <c r="B905" s="332"/>
      <c r="C905" s="454"/>
      <c r="D905" s="334"/>
      <c r="E905" s="333"/>
      <c r="F905" s="334"/>
      <c r="G905" s="334"/>
      <c r="H905" s="454"/>
      <c r="I905" s="455"/>
      <c r="J905" s="456"/>
      <c r="K905" s="456"/>
      <c r="L905" s="454"/>
      <c r="M905" s="454"/>
      <c r="N905" s="454"/>
      <c r="O905" s="454"/>
      <c r="P905" s="454"/>
      <c r="Q905" s="454"/>
      <c r="R905" s="454"/>
      <c r="S905" s="454"/>
      <c r="T905" s="454"/>
      <c r="U905" s="454"/>
      <c r="V905" s="454"/>
      <c r="W905" s="454"/>
      <c r="X905" s="454"/>
      <c r="Y905" s="454"/>
      <c r="Z905" s="454"/>
      <c r="AA905" s="454"/>
      <c r="AB905" s="454"/>
    </row>
    <row r="906" spans="1:28">
      <c r="A906" s="331"/>
      <c r="B906" s="332"/>
      <c r="C906" s="454"/>
      <c r="D906" s="334"/>
      <c r="E906" s="333"/>
      <c r="F906" s="334"/>
      <c r="G906" s="334"/>
      <c r="H906" s="454"/>
      <c r="I906" s="455"/>
      <c r="J906" s="456"/>
      <c r="K906" s="456"/>
      <c r="L906" s="454"/>
      <c r="M906" s="454"/>
      <c r="N906" s="454"/>
      <c r="O906" s="454"/>
      <c r="P906" s="454"/>
      <c r="Q906" s="454"/>
      <c r="R906" s="454"/>
      <c r="S906" s="454"/>
      <c r="T906" s="454"/>
      <c r="U906" s="454"/>
      <c r="V906" s="454"/>
      <c r="W906" s="454"/>
      <c r="X906" s="454"/>
      <c r="Y906" s="454"/>
      <c r="Z906" s="454"/>
      <c r="AA906" s="454"/>
      <c r="AB906" s="454"/>
    </row>
    <row r="907" spans="1:28">
      <c r="A907" s="331"/>
      <c r="B907" s="332"/>
      <c r="C907" s="454"/>
      <c r="D907" s="334"/>
      <c r="E907" s="333"/>
      <c r="F907" s="334"/>
      <c r="G907" s="334"/>
      <c r="H907" s="454"/>
      <c r="I907" s="455"/>
      <c r="J907" s="456"/>
      <c r="K907" s="456"/>
      <c r="L907" s="454"/>
      <c r="M907" s="454"/>
      <c r="N907" s="454"/>
      <c r="O907" s="454"/>
      <c r="P907" s="454"/>
      <c r="Q907" s="454"/>
      <c r="R907" s="454"/>
      <c r="S907" s="454"/>
      <c r="T907" s="454"/>
      <c r="U907" s="454"/>
      <c r="V907" s="454"/>
      <c r="W907" s="454"/>
      <c r="X907" s="454"/>
      <c r="Y907" s="454"/>
      <c r="Z907" s="454"/>
      <c r="AA907" s="454"/>
      <c r="AB907" s="454"/>
    </row>
    <row r="908" spans="1:28">
      <c r="A908" s="331"/>
      <c r="B908" s="332"/>
      <c r="C908" s="454"/>
      <c r="D908" s="334"/>
      <c r="E908" s="333"/>
      <c r="F908" s="334"/>
      <c r="G908" s="334"/>
      <c r="H908" s="454"/>
      <c r="I908" s="455"/>
      <c r="J908" s="456"/>
      <c r="K908" s="456"/>
      <c r="L908" s="454"/>
      <c r="M908" s="454"/>
      <c r="N908" s="454"/>
      <c r="O908" s="454"/>
      <c r="P908" s="454"/>
      <c r="Q908" s="454"/>
      <c r="R908" s="454"/>
      <c r="S908" s="454"/>
      <c r="T908" s="454"/>
      <c r="U908" s="454"/>
      <c r="V908" s="454"/>
      <c r="W908" s="454"/>
      <c r="X908" s="454"/>
      <c r="Y908" s="454"/>
      <c r="Z908" s="454"/>
      <c r="AA908" s="454"/>
      <c r="AB908" s="454"/>
    </row>
    <row r="909" spans="1:28">
      <c r="A909" s="331"/>
      <c r="B909" s="332"/>
      <c r="C909" s="454"/>
      <c r="D909" s="334"/>
      <c r="E909" s="333"/>
      <c r="F909" s="334"/>
      <c r="G909" s="334"/>
      <c r="H909" s="454"/>
      <c r="I909" s="455"/>
      <c r="J909" s="456"/>
      <c r="K909" s="456"/>
      <c r="L909" s="454"/>
      <c r="M909" s="454"/>
      <c r="N909" s="454"/>
      <c r="O909" s="454"/>
      <c r="P909" s="454"/>
      <c r="Q909" s="454"/>
      <c r="R909" s="454"/>
      <c r="S909" s="454"/>
      <c r="T909" s="454"/>
      <c r="U909" s="454"/>
      <c r="V909" s="454"/>
      <c r="W909" s="454"/>
      <c r="X909" s="454"/>
      <c r="Y909" s="454"/>
      <c r="Z909" s="454"/>
      <c r="AA909" s="454"/>
      <c r="AB909" s="454"/>
    </row>
    <row r="910" spans="1:28">
      <c r="A910" s="331"/>
      <c r="B910" s="332"/>
      <c r="C910" s="454"/>
      <c r="D910" s="334"/>
      <c r="E910" s="333"/>
      <c r="F910" s="334"/>
      <c r="G910" s="334"/>
      <c r="H910" s="454"/>
      <c r="I910" s="455"/>
      <c r="J910" s="456"/>
      <c r="K910" s="456"/>
      <c r="L910" s="454"/>
      <c r="M910" s="454"/>
      <c r="N910" s="454"/>
      <c r="O910" s="454"/>
      <c r="P910" s="454"/>
      <c r="Q910" s="454"/>
      <c r="R910" s="454"/>
      <c r="S910" s="454"/>
      <c r="T910" s="454"/>
      <c r="U910" s="454"/>
      <c r="V910" s="454"/>
      <c r="W910" s="454"/>
      <c r="X910" s="454"/>
      <c r="Y910" s="454"/>
      <c r="Z910" s="454"/>
      <c r="AA910" s="454"/>
      <c r="AB910" s="454"/>
    </row>
    <row r="911" spans="1:28">
      <c r="A911" s="331"/>
      <c r="B911" s="332"/>
      <c r="C911" s="454"/>
      <c r="D911" s="334"/>
      <c r="E911" s="333"/>
      <c r="F911" s="334"/>
      <c r="G911" s="334"/>
      <c r="H911" s="454"/>
      <c r="I911" s="455"/>
      <c r="J911" s="456"/>
      <c r="K911" s="456"/>
      <c r="L911" s="454"/>
      <c r="M911" s="454"/>
      <c r="N911" s="454"/>
      <c r="O911" s="454"/>
      <c r="P911" s="454"/>
      <c r="Q911" s="454"/>
      <c r="R911" s="454"/>
      <c r="S911" s="454"/>
      <c r="T911" s="454"/>
      <c r="U911" s="454"/>
      <c r="V911" s="454"/>
      <c r="W911" s="454"/>
      <c r="X911" s="454"/>
      <c r="Y911" s="454"/>
      <c r="Z911" s="454"/>
      <c r="AA911" s="454"/>
      <c r="AB911" s="454"/>
    </row>
    <row r="912" spans="1:28">
      <c r="A912" s="331"/>
      <c r="B912" s="332"/>
      <c r="C912" s="454"/>
      <c r="D912" s="334"/>
      <c r="E912" s="333"/>
      <c r="F912" s="334"/>
      <c r="G912" s="334"/>
      <c r="H912" s="454"/>
      <c r="I912" s="455"/>
      <c r="J912" s="456"/>
      <c r="K912" s="456"/>
      <c r="L912" s="454"/>
      <c r="M912" s="454"/>
      <c r="N912" s="454"/>
      <c r="O912" s="454"/>
      <c r="P912" s="454"/>
      <c r="Q912" s="454"/>
      <c r="R912" s="454"/>
      <c r="S912" s="454"/>
      <c r="T912" s="454"/>
      <c r="U912" s="454"/>
      <c r="V912" s="454"/>
      <c r="W912" s="454"/>
      <c r="X912" s="454"/>
      <c r="Y912" s="454"/>
      <c r="Z912" s="454"/>
      <c r="AA912" s="454"/>
      <c r="AB912" s="454"/>
    </row>
    <row r="913" spans="1:28">
      <c r="A913" s="331"/>
      <c r="B913" s="332"/>
      <c r="C913" s="454"/>
      <c r="D913" s="334"/>
      <c r="E913" s="333"/>
      <c r="F913" s="334"/>
      <c r="G913" s="334"/>
      <c r="H913" s="454"/>
      <c r="I913" s="455"/>
      <c r="J913" s="456"/>
      <c r="K913" s="456"/>
      <c r="L913" s="454"/>
      <c r="M913" s="454"/>
      <c r="N913" s="454"/>
      <c r="O913" s="454"/>
      <c r="P913" s="454"/>
      <c r="Q913" s="454"/>
      <c r="R913" s="454"/>
      <c r="S913" s="454"/>
      <c r="T913" s="454"/>
      <c r="U913" s="454"/>
      <c r="V913" s="454"/>
      <c r="W913" s="454"/>
      <c r="X913" s="454"/>
      <c r="Y913" s="454"/>
      <c r="Z913" s="454"/>
      <c r="AA913" s="454"/>
      <c r="AB913" s="454"/>
    </row>
    <row r="914" spans="1:28">
      <c r="A914" s="331"/>
      <c r="B914" s="332"/>
      <c r="C914" s="454"/>
      <c r="D914" s="334"/>
      <c r="E914" s="333"/>
      <c r="F914" s="334"/>
      <c r="G914" s="334"/>
      <c r="H914" s="454"/>
      <c r="I914" s="455"/>
      <c r="J914" s="456"/>
      <c r="K914" s="456"/>
      <c r="L914" s="454"/>
      <c r="M914" s="454"/>
      <c r="N914" s="454"/>
      <c r="O914" s="454"/>
      <c r="P914" s="454"/>
      <c r="Q914" s="454"/>
      <c r="R914" s="454"/>
      <c r="S914" s="454"/>
      <c r="T914" s="454"/>
      <c r="U914" s="454"/>
      <c r="V914" s="454"/>
      <c r="W914" s="454"/>
      <c r="X914" s="454"/>
      <c r="Y914" s="454"/>
      <c r="Z914" s="454"/>
      <c r="AA914" s="454"/>
      <c r="AB914" s="454"/>
    </row>
    <row r="915" spans="1:28">
      <c r="A915" s="331"/>
      <c r="B915" s="332"/>
      <c r="C915" s="454"/>
      <c r="D915" s="334"/>
      <c r="E915" s="333"/>
      <c r="F915" s="334"/>
      <c r="G915" s="334"/>
      <c r="H915" s="454"/>
      <c r="I915" s="455"/>
      <c r="J915" s="456"/>
      <c r="K915" s="456"/>
      <c r="L915" s="454"/>
      <c r="M915" s="454"/>
      <c r="N915" s="454"/>
      <c r="O915" s="454"/>
      <c r="P915" s="454"/>
      <c r="Q915" s="454"/>
      <c r="R915" s="454"/>
      <c r="S915" s="454"/>
      <c r="T915" s="454"/>
      <c r="U915" s="454"/>
      <c r="V915" s="454"/>
      <c r="W915" s="454"/>
      <c r="X915" s="454"/>
      <c r="Y915" s="454"/>
      <c r="Z915" s="454"/>
      <c r="AA915" s="454"/>
      <c r="AB915" s="454"/>
    </row>
    <row r="916" spans="1:28">
      <c r="A916" s="331"/>
      <c r="B916" s="332"/>
      <c r="C916" s="454"/>
      <c r="D916" s="334"/>
      <c r="E916" s="333"/>
      <c r="F916" s="334"/>
      <c r="G916" s="334"/>
      <c r="H916" s="454"/>
      <c r="I916" s="455"/>
      <c r="J916" s="456"/>
      <c r="K916" s="456"/>
      <c r="L916" s="454"/>
      <c r="M916" s="454"/>
      <c r="N916" s="454"/>
      <c r="O916" s="454"/>
      <c r="P916" s="454"/>
      <c r="Q916" s="454"/>
      <c r="R916" s="454"/>
      <c r="S916" s="454"/>
      <c r="T916" s="454"/>
      <c r="U916" s="454"/>
      <c r="V916" s="454"/>
      <c r="W916" s="454"/>
      <c r="X916" s="454"/>
      <c r="Y916" s="454"/>
      <c r="Z916" s="454"/>
      <c r="AA916" s="454"/>
      <c r="AB916" s="454"/>
    </row>
    <row r="917" spans="1:28">
      <c r="A917" s="331"/>
      <c r="B917" s="332"/>
      <c r="C917" s="454"/>
      <c r="D917" s="334"/>
      <c r="E917" s="333"/>
      <c r="F917" s="334"/>
      <c r="G917" s="334"/>
      <c r="H917" s="454"/>
      <c r="I917" s="455"/>
      <c r="J917" s="456"/>
      <c r="K917" s="456"/>
      <c r="L917" s="454"/>
      <c r="M917" s="454"/>
      <c r="N917" s="454"/>
      <c r="O917" s="454"/>
      <c r="P917" s="454"/>
      <c r="Q917" s="454"/>
      <c r="R917" s="454"/>
      <c r="S917" s="454"/>
      <c r="T917" s="454"/>
      <c r="U917" s="454"/>
      <c r="V917" s="454"/>
      <c r="W917" s="454"/>
      <c r="X917" s="454"/>
      <c r="Y917" s="454"/>
      <c r="Z917" s="454"/>
      <c r="AA917" s="454"/>
      <c r="AB917" s="454"/>
    </row>
    <row r="918" spans="1:28">
      <c r="A918" s="331"/>
      <c r="B918" s="332"/>
      <c r="C918" s="454"/>
      <c r="D918" s="334"/>
      <c r="E918" s="333"/>
      <c r="F918" s="334"/>
      <c r="G918" s="334"/>
      <c r="H918" s="454"/>
      <c r="I918" s="455"/>
      <c r="J918" s="456"/>
      <c r="K918" s="456"/>
      <c r="L918" s="454"/>
      <c r="M918" s="454"/>
      <c r="N918" s="454"/>
      <c r="O918" s="454"/>
      <c r="P918" s="454"/>
      <c r="Q918" s="454"/>
      <c r="R918" s="454"/>
      <c r="S918" s="454"/>
      <c r="T918" s="454"/>
      <c r="U918" s="454"/>
      <c r="V918" s="454"/>
      <c r="W918" s="454"/>
      <c r="X918" s="454"/>
      <c r="Y918" s="454"/>
      <c r="Z918" s="454"/>
      <c r="AA918" s="454"/>
      <c r="AB918" s="454"/>
    </row>
    <row r="919" spans="1:28">
      <c r="A919" s="331"/>
      <c r="B919" s="332"/>
      <c r="C919" s="454"/>
      <c r="D919" s="334"/>
      <c r="E919" s="333"/>
      <c r="F919" s="334"/>
      <c r="G919" s="334"/>
      <c r="H919" s="454"/>
      <c r="I919" s="455"/>
      <c r="J919" s="456"/>
      <c r="K919" s="456"/>
      <c r="L919" s="454"/>
      <c r="M919" s="454"/>
      <c r="N919" s="454"/>
      <c r="O919" s="454"/>
      <c r="P919" s="454"/>
      <c r="Q919" s="454"/>
      <c r="R919" s="454"/>
      <c r="S919" s="454"/>
      <c r="T919" s="454"/>
      <c r="U919" s="454"/>
      <c r="V919" s="454"/>
      <c r="W919" s="454"/>
      <c r="X919" s="454"/>
      <c r="Y919" s="454"/>
      <c r="Z919" s="454"/>
      <c r="AA919" s="454"/>
      <c r="AB919" s="454"/>
    </row>
    <row r="920" spans="1:28">
      <c r="A920" s="331"/>
      <c r="B920" s="332"/>
      <c r="C920" s="454"/>
      <c r="D920" s="110"/>
      <c r="E920" s="333"/>
      <c r="F920" s="334"/>
      <c r="G920" s="334"/>
      <c r="H920" s="454"/>
      <c r="I920" s="455"/>
      <c r="J920" s="456"/>
      <c r="K920" s="456"/>
      <c r="L920" s="454"/>
      <c r="M920" s="454"/>
      <c r="N920" s="454"/>
      <c r="O920" s="454"/>
      <c r="P920" s="454"/>
      <c r="Q920" s="454"/>
      <c r="R920" s="454"/>
      <c r="S920" s="454"/>
      <c r="T920" s="454"/>
      <c r="U920" s="454"/>
      <c r="V920" s="454"/>
      <c r="W920" s="454"/>
      <c r="X920" s="454"/>
      <c r="Y920" s="454"/>
      <c r="Z920" s="454"/>
      <c r="AA920" s="454"/>
      <c r="AB920" s="454"/>
    </row>
    <row r="921" spans="1:28">
      <c r="A921" s="331"/>
      <c r="B921" s="332"/>
      <c r="C921" s="454"/>
      <c r="D921" s="334"/>
      <c r="E921" s="333"/>
      <c r="F921" s="334"/>
      <c r="G921" s="334"/>
      <c r="H921" s="454"/>
      <c r="I921" s="455"/>
      <c r="J921" s="456"/>
      <c r="K921" s="456"/>
      <c r="L921" s="454"/>
      <c r="M921" s="454"/>
      <c r="N921" s="454"/>
      <c r="O921" s="454"/>
      <c r="P921" s="454"/>
      <c r="Q921" s="454"/>
      <c r="R921" s="454"/>
      <c r="S921" s="454"/>
      <c r="T921" s="454"/>
      <c r="U921" s="454"/>
      <c r="V921" s="454"/>
      <c r="W921" s="454"/>
      <c r="X921" s="454"/>
      <c r="Y921" s="454"/>
      <c r="Z921" s="454"/>
      <c r="AA921" s="454"/>
      <c r="AB921" s="454"/>
    </row>
    <row r="922" spans="1:28">
      <c r="A922" s="331"/>
      <c r="B922" s="332"/>
      <c r="C922" s="454"/>
      <c r="D922" s="335"/>
      <c r="E922" s="333"/>
      <c r="F922" s="335"/>
      <c r="G922" s="335"/>
      <c r="H922" s="454"/>
      <c r="I922" s="455"/>
      <c r="J922" s="456"/>
      <c r="K922" s="456"/>
      <c r="L922" s="454"/>
      <c r="M922" s="454"/>
      <c r="N922" s="454"/>
      <c r="O922" s="454"/>
      <c r="P922" s="454"/>
      <c r="Q922" s="454"/>
      <c r="R922" s="454"/>
      <c r="S922" s="454"/>
      <c r="T922" s="454"/>
      <c r="U922" s="454"/>
      <c r="V922" s="454"/>
      <c r="W922" s="454"/>
      <c r="X922" s="454"/>
      <c r="Y922" s="454"/>
      <c r="Z922" s="454"/>
      <c r="AA922" s="454"/>
      <c r="AB922" s="454"/>
    </row>
    <row r="923" spans="1:28">
      <c r="A923" s="331"/>
      <c r="B923" s="332"/>
      <c r="C923" s="454"/>
      <c r="D923" s="334"/>
      <c r="E923" s="333"/>
      <c r="F923" s="334"/>
      <c r="G923" s="334"/>
      <c r="H923" s="454"/>
      <c r="I923" s="455"/>
      <c r="J923" s="456"/>
      <c r="K923" s="456"/>
      <c r="L923" s="454"/>
      <c r="M923" s="454"/>
      <c r="N923" s="454"/>
      <c r="O923" s="454"/>
      <c r="P923" s="454"/>
      <c r="Q923" s="454"/>
      <c r="R923" s="454"/>
      <c r="S923" s="454"/>
      <c r="T923" s="454"/>
      <c r="U923" s="454"/>
      <c r="V923" s="454"/>
      <c r="W923" s="454"/>
      <c r="X923" s="454"/>
      <c r="Y923" s="454"/>
      <c r="Z923" s="454"/>
      <c r="AA923" s="454"/>
      <c r="AB923" s="454"/>
    </row>
    <row r="924" spans="1:28">
      <c r="A924" s="331"/>
      <c r="B924" s="332"/>
      <c r="C924" s="454"/>
      <c r="D924" s="334"/>
      <c r="E924" s="333"/>
      <c r="F924" s="334"/>
      <c r="G924" s="334"/>
      <c r="H924" s="454"/>
      <c r="I924" s="455"/>
      <c r="J924" s="456"/>
      <c r="K924" s="456"/>
      <c r="L924" s="454"/>
      <c r="M924" s="454"/>
      <c r="N924" s="454"/>
      <c r="O924" s="454"/>
      <c r="P924" s="454"/>
      <c r="Q924" s="454"/>
      <c r="R924" s="454"/>
      <c r="S924" s="454"/>
      <c r="T924" s="454"/>
      <c r="U924" s="454"/>
      <c r="V924" s="454"/>
      <c r="W924" s="454"/>
      <c r="X924" s="454"/>
      <c r="Y924" s="454"/>
      <c r="Z924" s="454"/>
      <c r="AA924" s="454"/>
      <c r="AB924" s="454"/>
    </row>
    <row r="925" spans="1:28">
      <c r="A925" s="331"/>
      <c r="B925" s="332"/>
      <c r="C925" s="454"/>
      <c r="D925" s="334"/>
      <c r="E925" s="333"/>
      <c r="F925" s="334"/>
      <c r="G925" s="334"/>
      <c r="H925" s="454"/>
      <c r="I925" s="455"/>
      <c r="J925" s="456"/>
      <c r="K925" s="456"/>
      <c r="L925" s="454"/>
      <c r="M925" s="454"/>
      <c r="N925" s="454"/>
      <c r="O925" s="454"/>
      <c r="P925" s="454"/>
      <c r="Q925" s="454"/>
      <c r="R925" s="454"/>
      <c r="S925" s="454"/>
      <c r="T925" s="454"/>
      <c r="U925" s="454"/>
      <c r="V925" s="454"/>
      <c r="W925" s="454"/>
      <c r="X925" s="454"/>
      <c r="Y925" s="454"/>
      <c r="Z925" s="454"/>
      <c r="AA925" s="454"/>
      <c r="AB925" s="454"/>
    </row>
    <row r="926" spans="1:28">
      <c r="A926" s="331"/>
      <c r="B926" s="332"/>
      <c r="C926" s="454"/>
      <c r="D926" s="334"/>
      <c r="E926" s="333"/>
      <c r="F926" s="334"/>
      <c r="G926" s="334"/>
      <c r="H926" s="454"/>
      <c r="I926" s="455"/>
      <c r="J926" s="456"/>
      <c r="K926" s="456"/>
      <c r="L926" s="454"/>
      <c r="M926" s="454"/>
      <c r="N926" s="454"/>
      <c r="O926" s="454"/>
      <c r="P926" s="454"/>
      <c r="Q926" s="454"/>
      <c r="R926" s="454"/>
      <c r="S926" s="454"/>
      <c r="T926" s="454"/>
      <c r="U926" s="454"/>
      <c r="V926" s="454"/>
      <c r="W926" s="454"/>
      <c r="X926" s="454"/>
      <c r="Y926" s="454"/>
      <c r="Z926" s="454"/>
      <c r="AA926" s="454"/>
      <c r="AB926" s="454"/>
    </row>
    <row r="927" spans="1:28">
      <c r="A927" s="331"/>
      <c r="B927" s="332"/>
      <c r="C927" s="454"/>
      <c r="D927" s="334"/>
      <c r="E927" s="333"/>
      <c r="F927" s="334"/>
      <c r="G927" s="334"/>
      <c r="H927" s="454"/>
      <c r="I927" s="455"/>
      <c r="J927" s="456"/>
      <c r="K927" s="456"/>
      <c r="L927" s="454"/>
      <c r="M927" s="454"/>
      <c r="N927" s="454"/>
      <c r="O927" s="454"/>
      <c r="P927" s="454"/>
      <c r="Q927" s="454"/>
      <c r="R927" s="454"/>
      <c r="S927" s="454"/>
      <c r="T927" s="454"/>
      <c r="U927" s="454"/>
      <c r="V927" s="454"/>
      <c r="W927" s="454"/>
      <c r="X927" s="454"/>
      <c r="Y927" s="454"/>
      <c r="Z927" s="454"/>
      <c r="AA927" s="454"/>
      <c r="AB927" s="454"/>
    </row>
    <row r="928" spans="1:28">
      <c r="A928" s="331"/>
      <c r="B928" s="332"/>
      <c r="C928" s="454"/>
      <c r="D928" s="334"/>
      <c r="E928" s="333"/>
      <c r="F928" s="334"/>
      <c r="G928" s="334"/>
      <c r="H928" s="454"/>
      <c r="I928" s="455"/>
      <c r="J928" s="456"/>
      <c r="K928" s="456"/>
      <c r="L928" s="454"/>
      <c r="M928" s="454"/>
      <c r="N928" s="454"/>
      <c r="O928" s="454"/>
      <c r="P928" s="454"/>
      <c r="Q928" s="454"/>
      <c r="R928" s="454"/>
      <c r="S928" s="454"/>
      <c r="T928" s="454"/>
      <c r="U928" s="454"/>
      <c r="V928" s="454"/>
      <c r="W928" s="454"/>
      <c r="X928" s="454"/>
      <c r="Y928" s="454"/>
      <c r="Z928" s="454"/>
      <c r="AA928" s="454"/>
      <c r="AB928" s="454"/>
    </row>
    <row r="929" spans="1:28">
      <c r="A929" s="331"/>
      <c r="B929" s="332"/>
      <c r="C929" s="454"/>
      <c r="D929" s="334"/>
      <c r="E929" s="333"/>
      <c r="F929" s="334"/>
      <c r="G929" s="334"/>
      <c r="H929" s="454"/>
      <c r="I929" s="455"/>
      <c r="J929" s="456"/>
      <c r="K929" s="456"/>
      <c r="L929" s="454"/>
      <c r="M929" s="454"/>
      <c r="N929" s="454"/>
      <c r="O929" s="454"/>
      <c r="P929" s="454"/>
      <c r="Q929" s="454"/>
      <c r="R929" s="454"/>
      <c r="S929" s="454"/>
      <c r="T929" s="454"/>
      <c r="U929" s="454"/>
      <c r="V929" s="454"/>
      <c r="W929" s="454"/>
      <c r="X929" s="454"/>
      <c r="Y929" s="454"/>
      <c r="Z929" s="454"/>
      <c r="AA929" s="454"/>
      <c r="AB929" s="454"/>
    </row>
    <row r="930" spans="1:28">
      <c r="A930" s="331"/>
      <c r="B930" s="332"/>
      <c r="C930" s="454"/>
      <c r="D930" s="334"/>
      <c r="E930" s="333"/>
      <c r="F930" s="334"/>
      <c r="G930" s="334"/>
      <c r="H930" s="454"/>
      <c r="I930" s="455"/>
      <c r="J930" s="456"/>
      <c r="K930" s="456"/>
      <c r="L930" s="454"/>
      <c r="M930" s="454"/>
      <c r="N930" s="454"/>
      <c r="O930" s="454"/>
      <c r="P930" s="454"/>
      <c r="Q930" s="454"/>
      <c r="R930" s="454"/>
      <c r="S930" s="454"/>
      <c r="T930" s="454"/>
      <c r="U930" s="454"/>
      <c r="V930" s="454"/>
      <c r="W930" s="454"/>
      <c r="X930" s="454"/>
      <c r="Y930" s="454"/>
      <c r="Z930" s="454"/>
      <c r="AA930" s="454"/>
      <c r="AB930" s="454"/>
    </row>
    <row r="931" spans="1:28">
      <c r="A931" s="331"/>
      <c r="B931" s="332"/>
      <c r="C931" s="454"/>
      <c r="D931" s="334"/>
      <c r="E931" s="333"/>
      <c r="F931" s="334"/>
      <c r="G931" s="334"/>
      <c r="H931" s="454"/>
      <c r="I931" s="455"/>
      <c r="J931" s="456"/>
      <c r="K931" s="456"/>
      <c r="L931" s="454"/>
      <c r="M931" s="454"/>
      <c r="N931" s="454"/>
      <c r="O931" s="454"/>
      <c r="P931" s="454"/>
      <c r="Q931" s="454"/>
      <c r="R931" s="454"/>
      <c r="S931" s="454"/>
      <c r="T931" s="454"/>
      <c r="U931" s="454"/>
      <c r="V931" s="454"/>
      <c r="W931" s="454"/>
      <c r="X931" s="454"/>
      <c r="Y931" s="454"/>
      <c r="Z931" s="454"/>
      <c r="AA931" s="454"/>
      <c r="AB931" s="454"/>
    </row>
    <row r="932" spans="1:28">
      <c r="A932" s="331"/>
      <c r="B932" s="332"/>
      <c r="C932" s="454"/>
      <c r="D932" s="334"/>
      <c r="E932" s="333"/>
      <c r="F932" s="334"/>
      <c r="G932" s="334"/>
      <c r="H932" s="454"/>
      <c r="I932" s="455"/>
      <c r="J932" s="456"/>
      <c r="K932" s="456"/>
      <c r="L932" s="454"/>
      <c r="M932" s="454"/>
      <c r="N932" s="454"/>
      <c r="O932" s="454"/>
      <c r="P932" s="454"/>
      <c r="Q932" s="454"/>
      <c r="R932" s="454"/>
      <c r="S932" s="454"/>
      <c r="T932" s="454"/>
      <c r="U932" s="454"/>
      <c r="V932" s="454"/>
      <c r="W932" s="454"/>
      <c r="X932" s="454"/>
      <c r="Y932" s="454"/>
      <c r="Z932" s="454"/>
      <c r="AA932" s="454"/>
      <c r="AB932" s="454"/>
    </row>
    <row r="933" spans="1:28">
      <c r="A933" s="331"/>
      <c r="B933" s="332"/>
      <c r="C933" s="454"/>
      <c r="D933" s="334"/>
      <c r="E933" s="333"/>
      <c r="F933" s="334"/>
      <c r="G933" s="334"/>
      <c r="H933" s="454"/>
      <c r="I933" s="455"/>
      <c r="J933" s="456"/>
      <c r="K933" s="456"/>
      <c r="L933" s="454"/>
      <c r="M933" s="454"/>
      <c r="N933" s="454"/>
      <c r="O933" s="454"/>
      <c r="P933" s="454"/>
      <c r="Q933" s="454"/>
      <c r="R933" s="454"/>
      <c r="S933" s="454"/>
      <c r="T933" s="454"/>
      <c r="U933" s="454"/>
      <c r="V933" s="454"/>
      <c r="W933" s="454"/>
      <c r="X933" s="454"/>
      <c r="Y933" s="454"/>
      <c r="Z933" s="454"/>
      <c r="AA933" s="454"/>
      <c r="AB933" s="454"/>
    </row>
    <row r="934" spans="1:28">
      <c r="A934" s="331"/>
      <c r="B934" s="332"/>
      <c r="C934" s="454"/>
      <c r="D934" s="334"/>
      <c r="E934" s="333"/>
      <c r="F934" s="334"/>
      <c r="G934" s="334"/>
      <c r="H934" s="454"/>
      <c r="I934" s="455"/>
      <c r="J934" s="456"/>
      <c r="K934" s="456"/>
      <c r="L934" s="454"/>
      <c r="M934" s="454"/>
      <c r="N934" s="454"/>
      <c r="O934" s="454"/>
      <c r="P934" s="454"/>
      <c r="Q934" s="454"/>
      <c r="R934" s="454"/>
      <c r="S934" s="454"/>
      <c r="T934" s="454"/>
      <c r="U934" s="454"/>
      <c r="V934" s="454"/>
      <c r="W934" s="454"/>
      <c r="X934" s="454"/>
      <c r="Y934" s="454"/>
      <c r="Z934" s="454"/>
      <c r="AA934" s="454"/>
      <c r="AB934" s="454"/>
    </row>
    <row r="935" spans="1:28">
      <c r="A935" s="331"/>
      <c r="B935" s="332"/>
      <c r="C935" s="454"/>
      <c r="D935" s="334"/>
      <c r="E935" s="333"/>
      <c r="F935" s="334"/>
      <c r="G935" s="334"/>
      <c r="H935" s="454"/>
      <c r="I935" s="455"/>
      <c r="J935" s="456"/>
      <c r="K935" s="456"/>
      <c r="L935" s="454"/>
      <c r="M935" s="454"/>
      <c r="N935" s="454"/>
      <c r="O935" s="454"/>
      <c r="P935" s="454"/>
      <c r="Q935" s="454"/>
      <c r="R935" s="454"/>
      <c r="S935" s="454"/>
      <c r="T935" s="454"/>
      <c r="U935" s="454"/>
      <c r="V935" s="454"/>
      <c r="W935" s="454"/>
      <c r="X935" s="454"/>
      <c r="Y935" s="454"/>
      <c r="Z935" s="454"/>
      <c r="AA935" s="454"/>
      <c r="AB935" s="454"/>
    </row>
    <row r="936" spans="1:28">
      <c r="A936" s="331"/>
      <c r="B936" s="332"/>
      <c r="C936" s="454"/>
      <c r="D936" s="334"/>
      <c r="E936" s="333"/>
      <c r="F936" s="334"/>
      <c r="G936" s="334"/>
      <c r="H936" s="454"/>
      <c r="I936" s="455"/>
      <c r="J936" s="456"/>
      <c r="K936" s="456"/>
      <c r="L936" s="454"/>
      <c r="M936" s="454"/>
      <c r="N936" s="454"/>
      <c r="O936" s="454"/>
      <c r="P936" s="454"/>
      <c r="Q936" s="454"/>
      <c r="R936" s="454"/>
      <c r="S936" s="454"/>
      <c r="T936" s="454"/>
      <c r="U936" s="454"/>
      <c r="V936" s="454"/>
      <c r="W936" s="454"/>
      <c r="X936" s="454"/>
      <c r="Y936" s="454"/>
      <c r="Z936" s="454"/>
      <c r="AA936" s="454"/>
      <c r="AB936" s="454"/>
    </row>
    <row r="937" spans="1:28">
      <c r="A937" s="331"/>
      <c r="B937" s="332"/>
      <c r="C937" s="454"/>
      <c r="D937" s="334"/>
      <c r="E937" s="333"/>
      <c r="F937" s="334"/>
      <c r="G937" s="334"/>
      <c r="H937" s="454"/>
      <c r="I937" s="455"/>
      <c r="J937" s="456"/>
      <c r="K937" s="456"/>
      <c r="L937" s="454"/>
      <c r="M937" s="454"/>
      <c r="N937" s="454"/>
      <c r="O937" s="454"/>
      <c r="P937" s="454"/>
      <c r="Q937" s="454"/>
      <c r="R937" s="454"/>
      <c r="S937" s="454"/>
      <c r="T937" s="454"/>
      <c r="U937" s="454"/>
      <c r="V937" s="454"/>
      <c r="W937" s="454"/>
      <c r="X937" s="454"/>
      <c r="Y937" s="454"/>
      <c r="Z937" s="454"/>
      <c r="AA937" s="454"/>
      <c r="AB937" s="454"/>
    </row>
    <row r="938" spans="1:28">
      <c r="A938" s="331"/>
      <c r="B938" s="332"/>
      <c r="C938" s="454"/>
      <c r="D938" s="334"/>
      <c r="E938" s="333"/>
      <c r="F938" s="334"/>
      <c r="G938" s="334"/>
      <c r="H938" s="454"/>
      <c r="I938" s="455"/>
      <c r="J938" s="456"/>
      <c r="K938" s="456"/>
      <c r="L938" s="454"/>
      <c r="M938" s="454"/>
      <c r="N938" s="454"/>
      <c r="O938" s="454"/>
      <c r="P938" s="454"/>
      <c r="Q938" s="454"/>
      <c r="R938" s="454"/>
      <c r="S938" s="454"/>
      <c r="T938" s="454"/>
      <c r="U938" s="454"/>
      <c r="V938" s="454"/>
      <c r="W938" s="454"/>
      <c r="X938" s="454"/>
      <c r="Y938" s="454"/>
      <c r="Z938" s="454"/>
      <c r="AA938" s="454"/>
      <c r="AB938" s="454"/>
    </row>
    <row r="939" spans="1:28">
      <c r="A939" s="331"/>
      <c r="B939" s="332"/>
      <c r="C939" s="454"/>
      <c r="D939" s="334"/>
      <c r="E939" s="333"/>
      <c r="F939" s="334"/>
      <c r="G939" s="334"/>
      <c r="H939" s="454"/>
      <c r="I939" s="455"/>
      <c r="J939" s="456"/>
      <c r="K939" s="456"/>
      <c r="L939" s="454"/>
      <c r="M939" s="454"/>
      <c r="N939" s="454"/>
      <c r="O939" s="454"/>
      <c r="P939" s="454"/>
      <c r="Q939" s="454"/>
      <c r="R939" s="454"/>
      <c r="S939" s="454"/>
      <c r="T939" s="454"/>
      <c r="U939" s="454"/>
      <c r="V939" s="454"/>
      <c r="W939" s="454"/>
      <c r="X939" s="454"/>
      <c r="Y939" s="454"/>
      <c r="Z939" s="454"/>
      <c r="AA939" s="454"/>
      <c r="AB939" s="454"/>
    </row>
    <row r="940" spans="1:28">
      <c r="A940" s="331"/>
      <c r="B940" s="332"/>
      <c r="C940" s="454"/>
      <c r="D940" s="334"/>
      <c r="E940" s="333"/>
      <c r="F940" s="334"/>
      <c r="G940" s="334"/>
      <c r="H940" s="454"/>
      <c r="I940" s="455"/>
      <c r="J940" s="456"/>
      <c r="K940" s="456"/>
      <c r="L940" s="454"/>
      <c r="M940" s="454"/>
      <c r="N940" s="454"/>
      <c r="O940" s="454"/>
      <c r="P940" s="454"/>
      <c r="Q940" s="454"/>
      <c r="R940" s="454"/>
      <c r="S940" s="454"/>
      <c r="T940" s="454"/>
      <c r="U940" s="454"/>
      <c r="V940" s="454"/>
      <c r="W940" s="454"/>
      <c r="X940" s="454"/>
      <c r="Y940" s="454"/>
      <c r="Z940" s="454"/>
      <c r="AA940" s="454"/>
      <c r="AB940" s="454"/>
    </row>
    <row r="941" spans="1:28">
      <c r="A941" s="331"/>
      <c r="B941" s="332"/>
      <c r="C941" s="454"/>
      <c r="D941" s="334"/>
      <c r="E941" s="333"/>
      <c r="F941" s="334"/>
      <c r="G941" s="334"/>
      <c r="H941" s="454"/>
      <c r="I941" s="455"/>
      <c r="J941" s="456"/>
      <c r="K941" s="456"/>
      <c r="L941" s="454"/>
      <c r="M941" s="454"/>
      <c r="N941" s="454"/>
      <c r="O941" s="454"/>
      <c r="P941" s="454"/>
      <c r="Q941" s="454"/>
      <c r="R941" s="454"/>
      <c r="S941" s="454"/>
      <c r="T941" s="454"/>
      <c r="U941" s="454"/>
      <c r="V941" s="454"/>
      <c r="W941" s="454"/>
      <c r="X941" s="454"/>
      <c r="Y941" s="454"/>
      <c r="Z941" s="454"/>
      <c r="AA941" s="454"/>
      <c r="AB941" s="454"/>
    </row>
    <row r="942" spans="1:28">
      <c r="A942" s="331"/>
      <c r="B942" s="332"/>
      <c r="C942" s="454"/>
      <c r="D942" s="334"/>
      <c r="E942" s="333"/>
      <c r="F942" s="334"/>
      <c r="G942" s="336"/>
      <c r="H942" s="454"/>
      <c r="I942" s="455"/>
      <c r="J942" s="456"/>
      <c r="K942" s="456"/>
      <c r="L942" s="454"/>
      <c r="M942" s="454"/>
      <c r="N942" s="454"/>
      <c r="O942" s="454"/>
      <c r="P942" s="454"/>
      <c r="Q942" s="454"/>
      <c r="R942" s="454"/>
      <c r="S942" s="454"/>
      <c r="T942" s="454"/>
      <c r="U942" s="454"/>
      <c r="V942" s="454"/>
      <c r="W942" s="454"/>
      <c r="X942" s="454"/>
      <c r="Y942" s="454"/>
      <c r="Z942" s="454"/>
      <c r="AA942" s="454"/>
      <c r="AB942" s="454"/>
    </row>
    <row r="943" spans="1:28">
      <c r="A943" s="331"/>
      <c r="B943" s="332"/>
      <c r="C943" s="454"/>
      <c r="D943" s="334"/>
      <c r="E943" s="333"/>
      <c r="F943" s="333"/>
      <c r="G943" s="336"/>
      <c r="H943" s="454"/>
      <c r="I943" s="455"/>
      <c r="J943" s="456"/>
      <c r="K943" s="456"/>
      <c r="L943" s="454"/>
      <c r="M943" s="454"/>
      <c r="N943" s="454"/>
      <c r="O943" s="454"/>
      <c r="P943" s="454"/>
      <c r="Q943" s="454"/>
      <c r="R943" s="454"/>
      <c r="S943" s="454"/>
      <c r="T943" s="454"/>
      <c r="U943" s="454"/>
      <c r="V943" s="454"/>
      <c r="W943" s="454"/>
      <c r="X943" s="454"/>
      <c r="Y943" s="454"/>
      <c r="Z943" s="454"/>
      <c r="AA943" s="454"/>
      <c r="AB943" s="454"/>
    </row>
    <row r="944" spans="1:28">
      <c r="A944" s="331"/>
      <c r="B944" s="332"/>
      <c r="C944" s="454"/>
      <c r="D944" s="334"/>
      <c r="E944" s="333"/>
      <c r="F944" s="334"/>
      <c r="G944" s="336"/>
      <c r="H944" s="454"/>
      <c r="I944" s="455"/>
      <c r="J944" s="456"/>
      <c r="K944" s="456"/>
      <c r="L944" s="454"/>
      <c r="M944" s="454"/>
      <c r="N944" s="454"/>
      <c r="O944" s="454"/>
      <c r="P944" s="454"/>
      <c r="Q944" s="454"/>
      <c r="R944" s="454"/>
      <c r="S944" s="454"/>
      <c r="T944" s="454"/>
      <c r="U944" s="454"/>
      <c r="V944" s="454"/>
      <c r="W944" s="454"/>
      <c r="X944" s="454"/>
      <c r="Y944" s="454"/>
      <c r="Z944" s="454"/>
      <c r="AA944" s="454"/>
      <c r="AB944" s="454"/>
    </row>
    <row r="945" spans="1:28">
      <c r="A945" s="331"/>
      <c r="B945" s="332"/>
      <c r="C945" s="454"/>
      <c r="D945" s="334"/>
      <c r="E945" s="333"/>
      <c r="F945" s="334"/>
      <c r="G945" s="336"/>
      <c r="H945" s="454"/>
      <c r="I945" s="455"/>
      <c r="J945" s="456"/>
      <c r="K945" s="456"/>
      <c r="L945" s="454"/>
      <c r="M945" s="454"/>
      <c r="N945" s="454"/>
      <c r="O945" s="454"/>
      <c r="P945" s="454"/>
      <c r="Q945" s="454"/>
      <c r="R945" s="454"/>
      <c r="S945" s="454"/>
      <c r="T945" s="454"/>
      <c r="U945" s="454"/>
      <c r="V945" s="454"/>
      <c r="W945" s="454"/>
      <c r="X945" s="454"/>
      <c r="Y945" s="454"/>
      <c r="Z945" s="454"/>
      <c r="AA945" s="454"/>
      <c r="AB945" s="454"/>
    </row>
    <row r="946" spans="1:28">
      <c r="A946" s="331"/>
      <c r="B946" s="332"/>
      <c r="C946" s="454"/>
      <c r="D946" s="336"/>
      <c r="E946" s="333"/>
      <c r="F946" s="336"/>
      <c r="G946" s="336"/>
      <c r="H946" s="454"/>
      <c r="I946" s="455"/>
      <c r="J946" s="456"/>
      <c r="K946" s="456"/>
      <c r="L946" s="454"/>
      <c r="M946" s="454"/>
      <c r="N946" s="454"/>
      <c r="O946" s="454"/>
      <c r="P946" s="454"/>
      <c r="Q946" s="454"/>
      <c r="R946" s="454"/>
      <c r="S946" s="454"/>
      <c r="T946" s="454"/>
      <c r="U946" s="454"/>
      <c r="V946" s="454"/>
      <c r="W946" s="454"/>
      <c r="X946" s="454"/>
      <c r="Y946" s="454"/>
      <c r="Z946" s="454"/>
      <c r="AA946" s="454"/>
      <c r="AB946" s="454"/>
    </row>
    <row r="947" spans="1:28">
      <c r="A947" s="331"/>
      <c r="B947" s="332"/>
      <c r="C947" s="454"/>
      <c r="D947" s="334"/>
      <c r="E947" s="333"/>
      <c r="F947" s="334"/>
      <c r="G947" s="336"/>
      <c r="H947" s="454"/>
      <c r="I947" s="455"/>
      <c r="J947" s="456"/>
      <c r="K947" s="456"/>
      <c r="L947" s="454"/>
      <c r="M947" s="454"/>
      <c r="N947" s="454"/>
      <c r="O947" s="454"/>
      <c r="P947" s="454"/>
      <c r="Q947" s="454"/>
      <c r="R947" s="454"/>
      <c r="S947" s="454"/>
      <c r="T947" s="454"/>
      <c r="U947" s="454"/>
      <c r="V947" s="454"/>
      <c r="W947" s="454"/>
      <c r="X947" s="454"/>
      <c r="Y947" s="454"/>
      <c r="Z947" s="454"/>
      <c r="AA947" s="454"/>
      <c r="AB947" s="454"/>
    </row>
    <row r="948" spans="1:28">
      <c r="A948" s="331"/>
      <c r="B948" s="332"/>
      <c r="C948" s="454"/>
      <c r="D948" s="334"/>
      <c r="E948" s="333"/>
      <c r="F948" s="334"/>
      <c r="G948" s="334"/>
      <c r="H948" s="454"/>
      <c r="I948" s="455"/>
      <c r="J948" s="456"/>
      <c r="K948" s="456"/>
      <c r="L948" s="454"/>
      <c r="M948" s="454"/>
      <c r="N948" s="454"/>
      <c r="O948" s="454"/>
      <c r="P948" s="454"/>
      <c r="Q948" s="454"/>
      <c r="R948" s="454"/>
      <c r="S948" s="454"/>
      <c r="T948" s="454"/>
      <c r="U948" s="454"/>
      <c r="V948" s="454"/>
      <c r="W948" s="454"/>
      <c r="X948" s="454"/>
      <c r="Y948" s="454"/>
      <c r="Z948" s="454"/>
      <c r="AA948" s="454"/>
      <c r="AB948" s="454"/>
    </row>
    <row r="949" spans="1:28">
      <c r="A949" s="331"/>
      <c r="B949" s="332"/>
      <c r="C949" s="454"/>
      <c r="D949" s="334"/>
      <c r="E949" s="333"/>
      <c r="F949" s="334"/>
      <c r="G949" s="334"/>
      <c r="H949" s="454"/>
      <c r="I949" s="455"/>
      <c r="J949" s="456"/>
      <c r="K949" s="456"/>
      <c r="L949" s="454"/>
      <c r="M949" s="454"/>
      <c r="N949" s="454"/>
      <c r="O949" s="454"/>
      <c r="P949" s="454"/>
      <c r="Q949" s="454"/>
      <c r="R949" s="454"/>
      <c r="S949" s="454"/>
      <c r="T949" s="454"/>
      <c r="U949" s="454"/>
      <c r="V949" s="454"/>
      <c r="W949" s="454"/>
      <c r="X949" s="454"/>
      <c r="Y949" s="454"/>
      <c r="Z949" s="454"/>
      <c r="AA949" s="454"/>
      <c r="AB949" s="454"/>
    </row>
    <row r="950" spans="1:28">
      <c r="A950" s="331"/>
      <c r="B950" s="332"/>
      <c r="C950" s="454"/>
      <c r="D950" s="334"/>
      <c r="E950" s="333"/>
      <c r="F950" s="334"/>
      <c r="G950" s="334"/>
      <c r="H950" s="454"/>
      <c r="I950" s="455"/>
      <c r="J950" s="456"/>
      <c r="K950" s="456"/>
      <c r="L950" s="454"/>
      <c r="M950" s="454"/>
      <c r="N950" s="454"/>
      <c r="O950" s="454"/>
      <c r="P950" s="454"/>
      <c r="Q950" s="454"/>
      <c r="R950" s="454"/>
      <c r="S950" s="454"/>
      <c r="T950" s="454"/>
      <c r="U950" s="454"/>
      <c r="V950" s="454"/>
      <c r="W950" s="454"/>
      <c r="X950" s="454"/>
      <c r="Y950" s="454"/>
      <c r="Z950" s="454"/>
      <c r="AA950" s="454"/>
      <c r="AB950" s="454"/>
    </row>
    <row r="951" spans="1:28">
      <c r="A951" s="331"/>
      <c r="B951" s="332"/>
      <c r="C951" s="454"/>
      <c r="D951" s="334"/>
      <c r="E951" s="333"/>
      <c r="F951" s="334"/>
      <c r="G951" s="334"/>
      <c r="H951" s="454"/>
      <c r="I951" s="455"/>
      <c r="J951" s="456"/>
      <c r="K951" s="456"/>
      <c r="L951" s="454"/>
      <c r="M951" s="454"/>
      <c r="N951" s="454"/>
      <c r="O951" s="454"/>
      <c r="P951" s="454"/>
      <c r="Q951" s="454"/>
      <c r="R951" s="454"/>
      <c r="S951" s="454"/>
      <c r="T951" s="454"/>
      <c r="U951" s="454"/>
      <c r="V951" s="454"/>
      <c r="W951" s="454"/>
      <c r="X951" s="454"/>
      <c r="Y951" s="454"/>
      <c r="Z951" s="454"/>
      <c r="AA951" s="454"/>
      <c r="AB951" s="454"/>
    </row>
    <row r="952" spans="1:28">
      <c r="A952" s="331"/>
      <c r="B952" s="332"/>
      <c r="C952" s="454"/>
      <c r="D952" s="334"/>
      <c r="E952" s="333"/>
      <c r="F952" s="334"/>
      <c r="G952" s="334"/>
      <c r="H952" s="454"/>
      <c r="I952" s="455"/>
      <c r="J952" s="456"/>
      <c r="K952" s="456"/>
      <c r="L952" s="454"/>
      <c r="M952" s="454"/>
      <c r="N952" s="454"/>
      <c r="O952" s="454"/>
      <c r="P952" s="454"/>
      <c r="Q952" s="454"/>
      <c r="R952" s="454"/>
      <c r="S952" s="454"/>
      <c r="T952" s="454"/>
      <c r="U952" s="454"/>
      <c r="V952" s="454"/>
      <c r="W952" s="454"/>
      <c r="X952" s="454"/>
      <c r="Y952" s="454"/>
      <c r="Z952" s="454"/>
      <c r="AA952" s="454"/>
      <c r="AB952" s="454"/>
    </row>
    <row r="953" spans="1:28">
      <c r="A953" s="331"/>
      <c r="B953" s="332"/>
      <c r="C953" s="454"/>
      <c r="D953" s="333"/>
      <c r="E953" s="333"/>
      <c r="F953" s="333"/>
      <c r="G953" s="333"/>
      <c r="H953" s="454"/>
      <c r="I953" s="455"/>
      <c r="J953" s="456"/>
      <c r="K953" s="456"/>
      <c r="L953" s="454"/>
      <c r="M953" s="454"/>
      <c r="N953" s="454"/>
      <c r="O953" s="454"/>
      <c r="P953" s="454"/>
      <c r="Q953" s="454"/>
      <c r="R953" s="454"/>
      <c r="S953" s="454"/>
      <c r="T953" s="454"/>
      <c r="U953" s="454"/>
      <c r="V953" s="454"/>
      <c r="W953" s="454"/>
      <c r="X953" s="454"/>
      <c r="Y953" s="454"/>
      <c r="Z953" s="454"/>
      <c r="AA953" s="454"/>
      <c r="AB953" s="454"/>
    </row>
    <row r="954" spans="1:28">
      <c r="A954" s="331"/>
      <c r="B954" s="332"/>
      <c r="C954" s="454"/>
      <c r="D954" s="333"/>
      <c r="E954" s="333"/>
      <c r="F954" s="333"/>
      <c r="G954" s="333"/>
      <c r="H954" s="454"/>
      <c r="I954" s="455"/>
      <c r="J954" s="456"/>
      <c r="K954" s="456"/>
      <c r="L954" s="454"/>
      <c r="M954" s="454"/>
      <c r="N954" s="454"/>
      <c r="O954" s="454"/>
      <c r="P954" s="454"/>
      <c r="Q954" s="454"/>
      <c r="R954" s="454"/>
      <c r="S954" s="454"/>
      <c r="T954" s="454"/>
      <c r="U954" s="454"/>
      <c r="V954" s="454"/>
      <c r="W954" s="454"/>
      <c r="X954" s="454"/>
      <c r="Y954" s="454"/>
      <c r="Z954" s="454"/>
      <c r="AA954" s="454"/>
      <c r="AB954" s="454"/>
    </row>
    <row r="955" spans="1:28">
      <c r="A955" s="331"/>
      <c r="B955" s="332"/>
      <c r="C955" s="454"/>
      <c r="D955" s="333"/>
      <c r="E955" s="333"/>
      <c r="F955" s="333"/>
      <c r="G955" s="333"/>
      <c r="H955" s="454"/>
      <c r="I955" s="455"/>
      <c r="J955" s="456"/>
      <c r="K955" s="456"/>
      <c r="L955" s="454"/>
      <c r="M955" s="454"/>
      <c r="N955" s="454"/>
      <c r="O955" s="454"/>
      <c r="P955" s="454"/>
      <c r="Q955" s="454"/>
      <c r="R955" s="454"/>
      <c r="S955" s="454"/>
      <c r="T955" s="454"/>
      <c r="U955" s="454"/>
      <c r="V955" s="454"/>
      <c r="W955" s="454"/>
      <c r="X955" s="454"/>
      <c r="Y955" s="454"/>
      <c r="Z955" s="454"/>
      <c r="AA955" s="454"/>
      <c r="AB955" s="454"/>
    </row>
    <row r="956" spans="1:28">
      <c r="A956" s="331"/>
      <c r="B956" s="332"/>
      <c r="C956" s="454"/>
      <c r="D956" s="333"/>
      <c r="E956" s="333"/>
      <c r="F956" s="333"/>
      <c r="G956" s="333"/>
      <c r="H956" s="454"/>
      <c r="I956" s="455"/>
      <c r="J956" s="456"/>
      <c r="K956" s="456"/>
      <c r="L956" s="454"/>
      <c r="M956" s="454"/>
      <c r="N956" s="454"/>
      <c r="O956" s="454"/>
      <c r="P956" s="454"/>
      <c r="Q956" s="454"/>
      <c r="R956" s="454"/>
      <c r="S956" s="454"/>
      <c r="T956" s="454"/>
      <c r="U956" s="454"/>
      <c r="V956" s="454"/>
      <c r="W956" s="454"/>
      <c r="X956" s="454"/>
      <c r="Y956" s="454"/>
      <c r="Z956" s="454"/>
      <c r="AA956" s="454"/>
      <c r="AB956" s="454"/>
    </row>
    <row r="957" spans="1:28">
      <c r="A957" s="331"/>
      <c r="B957" s="332"/>
      <c r="C957" s="454"/>
      <c r="D957" s="333"/>
      <c r="E957" s="333"/>
      <c r="F957" s="333"/>
      <c r="G957" s="333"/>
      <c r="H957" s="454"/>
      <c r="I957" s="455"/>
      <c r="J957" s="456"/>
      <c r="K957" s="456"/>
      <c r="L957" s="454"/>
      <c r="M957" s="454"/>
      <c r="N957" s="454"/>
      <c r="O957" s="454"/>
      <c r="P957" s="454"/>
      <c r="Q957" s="454"/>
      <c r="R957" s="454"/>
      <c r="S957" s="454"/>
      <c r="T957" s="454"/>
      <c r="U957" s="454"/>
      <c r="V957" s="454"/>
      <c r="W957" s="454"/>
      <c r="X957" s="454"/>
      <c r="Y957" s="454"/>
      <c r="Z957" s="454"/>
      <c r="AA957" s="454"/>
      <c r="AB957" s="454"/>
    </row>
    <row r="958" spans="1:28">
      <c r="A958" s="331"/>
      <c r="B958" s="332"/>
      <c r="C958" s="454"/>
      <c r="D958" s="333"/>
      <c r="E958" s="333"/>
      <c r="F958" s="333"/>
      <c r="G958" s="333"/>
      <c r="H958" s="454"/>
      <c r="I958" s="455"/>
      <c r="J958" s="456"/>
      <c r="K958" s="456"/>
      <c r="L958" s="454"/>
      <c r="M958" s="454"/>
      <c r="N958" s="454"/>
      <c r="O958" s="454"/>
      <c r="P958" s="454"/>
      <c r="Q958" s="454"/>
      <c r="R958" s="454"/>
      <c r="S958" s="454"/>
      <c r="T958" s="454"/>
      <c r="U958" s="454"/>
      <c r="V958" s="454"/>
      <c r="W958" s="454"/>
      <c r="X958" s="454"/>
      <c r="Y958" s="454"/>
      <c r="Z958" s="454"/>
      <c r="AA958" s="454"/>
      <c r="AB958" s="454"/>
    </row>
    <row r="959" spans="1:28">
      <c r="A959" s="331"/>
      <c r="B959" s="332"/>
      <c r="C959" s="454"/>
      <c r="D959" s="333"/>
      <c r="E959" s="333"/>
      <c r="F959" s="333"/>
      <c r="G959" s="333"/>
      <c r="H959" s="454"/>
      <c r="I959" s="455"/>
      <c r="J959" s="456"/>
      <c r="K959" s="456"/>
      <c r="L959" s="454"/>
      <c r="M959" s="454"/>
      <c r="N959" s="454"/>
      <c r="O959" s="454"/>
      <c r="P959" s="454"/>
      <c r="Q959" s="454"/>
      <c r="R959" s="454"/>
      <c r="S959" s="454"/>
      <c r="T959" s="454"/>
      <c r="U959" s="454"/>
      <c r="V959" s="454"/>
      <c r="W959" s="454"/>
      <c r="X959" s="454"/>
      <c r="Y959" s="454"/>
      <c r="Z959" s="454"/>
      <c r="AA959" s="454"/>
      <c r="AB959" s="454"/>
    </row>
    <row r="960" spans="1:28">
      <c r="A960" s="331"/>
      <c r="B960" s="332"/>
      <c r="C960" s="454"/>
      <c r="D960" s="333"/>
      <c r="E960" s="333"/>
      <c r="F960" s="333"/>
      <c r="G960" s="333"/>
      <c r="H960" s="454"/>
      <c r="I960" s="455"/>
      <c r="J960" s="456"/>
      <c r="K960" s="456"/>
      <c r="L960" s="454"/>
      <c r="M960" s="454"/>
      <c r="N960" s="454"/>
      <c r="O960" s="454"/>
      <c r="P960" s="454"/>
      <c r="Q960" s="454"/>
      <c r="R960" s="454"/>
      <c r="S960" s="454"/>
      <c r="T960" s="454"/>
      <c r="U960" s="454"/>
      <c r="V960" s="454"/>
      <c r="W960" s="454"/>
      <c r="X960" s="454"/>
      <c r="Y960" s="454"/>
      <c r="Z960" s="454"/>
      <c r="AA960" s="454"/>
      <c r="AB960" s="454"/>
    </row>
    <row r="961" spans="1:28">
      <c r="A961" s="331"/>
      <c r="B961" s="332"/>
      <c r="C961" s="454"/>
      <c r="D961" s="333"/>
      <c r="E961" s="333"/>
      <c r="F961" s="333"/>
      <c r="G961" s="333"/>
      <c r="H961" s="454"/>
      <c r="I961" s="455"/>
      <c r="J961" s="456"/>
      <c r="K961" s="456"/>
      <c r="L961" s="454"/>
      <c r="M961" s="454"/>
      <c r="N961" s="454"/>
      <c r="O961" s="454"/>
      <c r="P961" s="454"/>
      <c r="Q961" s="454"/>
      <c r="R961" s="454"/>
      <c r="S961" s="454"/>
      <c r="T961" s="454"/>
      <c r="U961" s="454"/>
      <c r="V961" s="454"/>
      <c r="W961" s="454"/>
      <c r="X961" s="454"/>
      <c r="Y961" s="454"/>
      <c r="Z961" s="454"/>
      <c r="AA961" s="454"/>
      <c r="AB961" s="454"/>
    </row>
    <row r="962" spans="1:28">
      <c r="A962" s="331"/>
      <c r="B962" s="332"/>
      <c r="C962" s="454"/>
      <c r="D962" s="333"/>
      <c r="E962" s="333"/>
      <c r="F962" s="333"/>
      <c r="G962" s="333"/>
      <c r="H962" s="454"/>
      <c r="I962" s="455"/>
      <c r="J962" s="456"/>
      <c r="K962" s="456"/>
      <c r="L962" s="454"/>
      <c r="M962" s="454"/>
      <c r="N962" s="454"/>
      <c r="O962" s="454"/>
      <c r="P962" s="454"/>
      <c r="Q962" s="454"/>
      <c r="R962" s="454"/>
      <c r="S962" s="454"/>
      <c r="T962" s="454"/>
      <c r="U962" s="454"/>
      <c r="V962" s="454"/>
      <c r="W962" s="454"/>
      <c r="X962" s="454"/>
      <c r="Y962" s="454"/>
      <c r="Z962" s="454"/>
      <c r="AA962" s="454"/>
      <c r="AB962" s="454"/>
    </row>
    <row r="963" spans="1:28">
      <c r="A963" s="331"/>
      <c r="B963" s="332"/>
      <c r="C963" s="454"/>
      <c r="D963" s="334"/>
      <c r="E963" s="333"/>
      <c r="F963" s="334"/>
      <c r="G963" s="334"/>
      <c r="H963" s="454"/>
      <c r="I963" s="455"/>
      <c r="J963" s="456"/>
      <c r="K963" s="456"/>
      <c r="L963" s="454"/>
      <c r="M963" s="454"/>
      <c r="N963" s="454"/>
      <c r="O963" s="454"/>
      <c r="P963" s="454"/>
      <c r="Q963" s="454"/>
      <c r="R963" s="454"/>
      <c r="S963" s="454"/>
      <c r="T963" s="454"/>
      <c r="U963" s="454"/>
      <c r="V963" s="454"/>
      <c r="W963" s="454"/>
      <c r="X963" s="454"/>
      <c r="Y963" s="454"/>
      <c r="Z963" s="454"/>
      <c r="AA963" s="454"/>
      <c r="AB963" s="454"/>
    </row>
    <row r="964" spans="1:28">
      <c r="A964" s="331"/>
      <c r="B964" s="332"/>
      <c r="C964" s="454"/>
      <c r="D964" s="334"/>
      <c r="E964" s="333"/>
      <c r="F964" s="334"/>
      <c r="G964" s="334"/>
      <c r="H964" s="454"/>
      <c r="I964" s="455"/>
      <c r="J964" s="456"/>
      <c r="K964" s="456"/>
      <c r="L964" s="454"/>
      <c r="M964" s="454"/>
      <c r="N964" s="454"/>
      <c r="O964" s="454"/>
      <c r="P964" s="454"/>
      <c r="Q964" s="454"/>
      <c r="R964" s="454"/>
      <c r="S964" s="454"/>
      <c r="T964" s="454"/>
      <c r="U964" s="454"/>
      <c r="V964" s="454"/>
      <c r="W964" s="454"/>
      <c r="X964" s="454"/>
      <c r="Y964" s="454"/>
      <c r="Z964" s="454"/>
      <c r="AA964" s="454"/>
      <c r="AB964" s="454"/>
    </row>
    <row r="965" spans="1:28">
      <c r="A965" s="331"/>
      <c r="B965" s="332"/>
      <c r="C965" s="454"/>
      <c r="D965" s="333"/>
      <c r="E965" s="333"/>
      <c r="F965" s="333"/>
      <c r="G965" s="333"/>
      <c r="H965" s="454"/>
      <c r="I965" s="455"/>
      <c r="J965" s="456"/>
      <c r="K965" s="456"/>
      <c r="L965" s="454"/>
      <c r="M965" s="454"/>
      <c r="N965" s="454"/>
      <c r="O965" s="454"/>
      <c r="P965" s="454"/>
      <c r="Q965" s="454"/>
      <c r="R965" s="454"/>
      <c r="S965" s="454"/>
      <c r="T965" s="454"/>
      <c r="U965" s="454"/>
      <c r="V965" s="454"/>
      <c r="W965" s="454"/>
      <c r="X965" s="454"/>
      <c r="Y965" s="454"/>
      <c r="Z965" s="454"/>
      <c r="AA965" s="454"/>
      <c r="AB965" s="454"/>
    </row>
    <row r="966" spans="1:28">
      <c r="A966" s="331"/>
      <c r="B966" s="332"/>
      <c r="C966" s="454"/>
      <c r="D966" s="333"/>
      <c r="E966" s="333"/>
      <c r="F966" s="333"/>
      <c r="G966" s="333"/>
      <c r="H966" s="454"/>
      <c r="I966" s="455"/>
      <c r="J966" s="456"/>
      <c r="K966" s="456"/>
      <c r="L966" s="454"/>
      <c r="M966" s="454"/>
      <c r="N966" s="454"/>
      <c r="O966" s="454"/>
      <c r="P966" s="454"/>
      <c r="Q966" s="454"/>
      <c r="R966" s="454"/>
      <c r="S966" s="454"/>
      <c r="T966" s="454"/>
      <c r="U966" s="454"/>
      <c r="V966" s="454"/>
      <c r="W966" s="454"/>
      <c r="X966" s="454"/>
      <c r="Y966" s="454"/>
      <c r="Z966" s="454"/>
      <c r="AA966" s="454"/>
      <c r="AB966" s="454"/>
    </row>
    <row r="967" spans="1:28">
      <c r="A967" s="331"/>
      <c r="B967" s="332"/>
      <c r="C967" s="454"/>
      <c r="D967" s="333"/>
      <c r="E967" s="333"/>
      <c r="F967" s="333"/>
      <c r="G967" s="333"/>
      <c r="H967" s="454"/>
      <c r="I967" s="455"/>
      <c r="J967" s="456"/>
      <c r="K967" s="456"/>
      <c r="L967" s="454"/>
      <c r="M967" s="454"/>
      <c r="N967" s="454"/>
      <c r="O967" s="454"/>
      <c r="P967" s="454"/>
      <c r="Q967" s="454"/>
      <c r="R967" s="454"/>
      <c r="S967" s="454"/>
      <c r="T967" s="454"/>
      <c r="U967" s="454"/>
      <c r="V967" s="454"/>
      <c r="W967" s="454"/>
      <c r="X967" s="454"/>
      <c r="Y967" s="454"/>
      <c r="Z967" s="454"/>
      <c r="AA967" s="454"/>
      <c r="AB967" s="454"/>
    </row>
    <row r="968" spans="1:28">
      <c r="A968" s="331"/>
      <c r="B968" s="332"/>
      <c r="C968" s="454"/>
      <c r="D968" s="333"/>
      <c r="E968" s="333"/>
      <c r="F968" s="333"/>
      <c r="G968" s="333"/>
      <c r="H968" s="454"/>
      <c r="I968" s="455"/>
      <c r="J968" s="456"/>
      <c r="K968" s="456"/>
      <c r="L968" s="454"/>
      <c r="M968" s="454"/>
      <c r="N968" s="454"/>
      <c r="O968" s="454"/>
      <c r="P968" s="454"/>
      <c r="Q968" s="454"/>
      <c r="R968" s="454"/>
      <c r="S968" s="454"/>
      <c r="T968" s="454"/>
      <c r="U968" s="454"/>
      <c r="V968" s="454"/>
      <c r="W968" s="454"/>
      <c r="X968" s="454"/>
      <c r="Y968" s="454"/>
      <c r="Z968" s="454"/>
      <c r="AA968" s="454"/>
      <c r="AB968" s="454"/>
    </row>
    <row r="969" spans="1:28">
      <c r="A969" s="331"/>
      <c r="B969" s="332"/>
      <c r="C969" s="454"/>
      <c r="D969" s="337"/>
      <c r="E969" s="333"/>
      <c r="F969" s="337"/>
      <c r="G969" s="337"/>
      <c r="H969" s="454"/>
      <c r="I969" s="455"/>
      <c r="J969" s="456"/>
      <c r="K969" s="456"/>
      <c r="L969" s="454"/>
      <c r="M969" s="454"/>
      <c r="N969" s="454"/>
      <c r="O969" s="454"/>
      <c r="P969" s="454"/>
      <c r="Q969" s="454"/>
      <c r="R969" s="454"/>
      <c r="S969" s="454"/>
      <c r="T969" s="454"/>
      <c r="U969" s="454"/>
      <c r="V969" s="454"/>
      <c r="W969" s="454"/>
      <c r="X969" s="454"/>
      <c r="Y969" s="454"/>
      <c r="Z969" s="454"/>
      <c r="AA969" s="454"/>
      <c r="AB969" s="454"/>
    </row>
    <row r="970" spans="1:28">
      <c r="A970" s="331"/>
      <c r="B970" s="332"/>
      <c r="C970" s="454"/>
      <c r="D970" s="335"/>
      <c r="E970" s="333"/>
      <c r="F970" s="335"/>
      <c r="G970" s="335"/>
      <c r="H970" s="454"/>
      <c r="I970" s="455"/>
      <c r="J970" s="456"/>
      <c r="K970" s="456"/>
      <c r="L970" s="454"/>
      <c r="M970" s="454"/>
      <c r="N970" s="454"/>
      <c r="O970" s="454"/>
      <c r="P970" s="454"/>
      <c r="Q970" s="454"/>
      <c r="R970" s="454"/>
      <c r="S970" s="454"/>
      <c r="T970" s="454"/>
      <c r="U970" s="454"/>
      <c r="V970" s="454"/>
      <c r="W970" s="454"/>
      <c r="X970" s="454"/>
      <c r="Y970" s="454"/>
      <c r="Z970" s="454"/>
      <c r="AA970" s="454"/>
      <c r="AB970" s="454"/>
    </row>
    <row r="971" spans="1:28">
      <c r="A971" s="331"/>
      <c r="B971" s="332"/>
      <c r="C971" s="454"/>
      <c r="D971" s="336"/>
      <c r="E971" s="333"/>
      <c r="F971" s="336"/>
      <c r="G971" s="336"/>
      <c r="H971" s="454"/>
      <c r="I971" s="455"/>
      <c r="J971" s="456"/>
      <c r="K971" s="456"/>
      <c r="L971" s="454"/>
      <c r="M971" s="454"/>
      <c r="N971" s="454"/>
      <c r="O971" s="454"/>
      <c r="P971" s="454"/>
      <c r="Q971" s="454"/>
      <c r="R971" s="454"/>
      <c r="S971" s="454"/>
      <c r="T971" s="454"/>
      <c r="U971" s="454"/>
      <c r="V971" s="454"/>
      <c r="W971" s="454"/>
      <c r="X971" s="454"/>
      <c r="Y971" s="454"/>
      <c r="Z971" s="454"/>
      <c r="AA971" s="454"/>
      <c r="AB971" s="454"/>
    </row>
    <row r="972" spans="1:28">
      <c r="A972" s="331"/>
      <c r="B972" s="332"/>
      <c r="C972" s="454"/>
      <c r="D972" s="336"/>
      <c r="E972" s="333"/>
      <c r="F972" s="336"/>
      <c r="G972" s="336"/>
      <c r="H972" s="454"/>
      <c r="I972" s="455"/>
      <c r="J972" s="456"/>
      <c r="K972" s="456"/>
      <c r="L972" s="454"/>
      <c r="M972" s="454"/>
      <c r="N972" s="454"/>
      <c r="O972" s="454"/>
      <c r="P972" s="454"/>
      <c r="Q972" s="454"/>
      <c r="R972" s="454"/>
      <c r="S972" s="454"/>
      <c r="T972" s="454"/>
      <c r="U972" s="454"/>
      <c r="V972" s="454"/>
      <c r="W972" s="454"/>
      <c r="X972" s="454"/>
      <c r="Y972" s="454"/>
      <c r="Z972" s="454"/>
      <c r="AA972" s="454"/>
      <c r="AB972" s="454"/>
    </row>
    <row r="973" spans="1:28">
      <c r="A973" s="331"/>
      <c r="B973" s="332"/>
      <c r="C973" s="454"/>
      <c r="D973" s="334"/>
      <c r="E973" s="333"/>
      <c r="F973" s="334"/>
      <c r="G973" s="336"/>
      <c r="H973" s="454"/>
      <c r="I973" s="455"/>
      <c r="J973" s="456"/>
      <c r="K973" s="456"/>
      <c r="L973" s="454"/>
      <c r="M973" s="454"/>
      <c r="N973" s="454"/>
      <c r="O973" s="454"/>
      <c r="P973" s="454"/>
      <c r="Q973" s="454"/>
      <c r="R973" s="454"/>
      <c r="S973" s="454"/>
      <c r="T973" s="454"/>
      <c r="U973" s="454"/>
      <c r="V973" s="454"/>
      <c r="W973" s="454"/>
      <c r="X973" s="454"/>
      <c r="Y973" s="454"/>
      <c r="Z973" s="454"/>
      <c r="AA973" s="454"/>
      <c r="AB973" s="454"/>
    </row>
    <row r="974" spans="1:28">
      <c r="A974" s="331"/>
      <c r="B974" s="332"/>
      <c r="C974" s="454"/>
      <c r="D974" s="334"/>
      <c r="E974" s="333"/>
      <c r="F974" s="333"/>
      <c r="G974" s="336"/>
      <c r="H974" s="454"/>
      <c r="I974" s="455"/>
      <c r="J974" s="456"/>
      <c r="K974" s="456"/>
      <c r="L974" s="454"/>
      <c r="M974" s="454"/>
      <c r="N974" s="454"/>
      <c r="O974" s="454"/>
      <c r="P974" s="454"/>
      <c r="Q974" s="454"/>
      <c r="R974" s="454"/>
      <c r="S974" s="454"/>
      <c r="T974" s="454"/>
      <c r="U974" s="454"/>
      <c r="V974" s="454"/>
      <c r="W974" s="454"/>
      <c r="X974" s="454"/>
      <c r="Y974" s="454"/>
      <c r="Z974" s="454"/>
      <c r="AA974" s="454"/>
      <c r="AB974" s="454"/>
    </row>
    <row r="975" spans="1:28">
      <c r="A975" s="331"/>
      <c r="B975" s="332"/>
      <c r="C975" s="454"/>
      <c r="D975" s="334"/>
      <c r="E975" s="333"/>
      <c r="F975" s="334"/>
      <c r="G975" s="336"/>
      <c r="H975" s="454"/>
      <c r="I975" s="455"/>
      <c r="J975" s="456"/>
      <c r="K975" s="456"/>
      <c r="L975" s="454"/>
      <c r="M975" s="454"/>
      <c r="N975" s="454"/>
      <c r="O975" s="454"/>
      <c r="P975" s="454"/>
      <c r="Q975" s="454"/>
      <c r="R975" s="454"/>
      <c r="S975" s="454"/>
      <c r="T975" s="454"/>
      <c r="U975" s="454"/>
      <c r="V975" s="454"/>
      <c r="W975" s="454"/>
      <c r="X975" s="454"/>
      <c r="Y975" s="454"/>
      <c r="Z975" s="454"/>
      <c r="AA975" s="454"/>
      <c r="AB975" s="454"/>
    </row>
    <row r="976" spans="1:28">
      <c r="A976" s="331"/>
      <c r="B976" s="332"/>
      <c r="C976" s="454"/>
      <c r="D976" s="334"/>
      <c r="E976" s="333"/>
      <c r="F976" s="334"/>
      <c r="G976" s="336"/>
      <c r="H976" s="454"/>
      <c r="I976" s="455"/>
      <c r="J976" s="456"/>
      <c r="K976" s="456"/>
      <c r="L976" s="454"/>
      <c r="M976" s="454"/>
      <c r="N976" s="454"/>
      <c r="O976" s="454"/>
      <c r="P976" s="454"/>
      <c r="Q976" s="454"/>
      <c r="R976" s="454"/>
      <c r="S976" s="454"/>
      <c r="T976" s="454"/>
      <c r="U976" s="454"/>
      <c r="V976" s="454"/>
      <c r="W976" s="454"/>
      <c r="X976" s="454"/>
      <c r="Y976" s="454"/>
      <c r="Z976" s="454"/>
      <c r="AA976" s="454"/>
      <c r="AB976" s="454"/>
    </row>
    <row r="977" spans="1:28">
      <c r="A977" s="331"/>
      <c r="B977" s="332"/>
      <c r="C977" s="454"/>
      <c r="D977" s="334"/>
      <c r="E977" s="333"/>
      <c r="F977" s="334"/>
      <c r="G977" s="336"/>
      <c r="H977" s="454"/>
      <c r="I977" s="455"/>
      <c r="J977" s="456"/>
      <c r="K977" s="456"/>
      <c r="L977" s="454"/>
      <c r="M977" s="454"/>
      <c r="N977" s="454"/>
      <c r="O977" s="454"/>
      <c r="P977" s="454"/>
      <c r="Q977" s="454"/>
      <c r="R977" s="454"/>
      <c r="S977" s="454"/>
      <c r="T977" s="454"/>
      <c r="U977" s="454"/>
      <c r="V977" s="454"/>
      <c r="W977" s="454"/>
      <c r="X977" s="454"/>
      <c r="Y977" s="454"/>
      <c r="Z977" s="454"/>
      <c r="AA977" s="454"/>
      <c r="AB977" s="454"/>
    </row>
    <row r="978" spans="1:28">
      <c r="A978" s="331"/>
      <c r="B978" s="332"/>
      <c r="C978" s="454"/>
      <c r="D978" s="334"/>
      <c r="E978" s="333"/>
      <c r="F978" s="334"/>
      <c r="G978" s="336"/>
      <c r="H978" s="454"/>
      <c r="I978" s="455"/>
      <c r="J978" s="456"/>
      <c r="K978" s="456"/>
      <c r="L978" s="454"/>
      <c r="M978" s="454"/>
      <c r="N978" s="454"/>
      <c r="O978" s="454"/>
      <c r="P978" s="454"/>
      <c r="Q978" s="454"/>
      <c r="R978" s="454"/>
      <c r="S978" s="454"/>
      <c r="T978" s="454"/>
      <c r="U978" s="454"/>
      <c r="V978" s="454"/>
      <c r="W978" s="454"/>
      <c r="X978" s="454"/>
      <c r="Y978" s="454"/>
      <c r="Z978" s="454"/>
      <c r="AA978" s="454"/>
      <c r="AB978" s="454"/>
    </row>
    <row r="979" spans="1:28">
      <c r="A979" s="331"/>
      <c r="B979" s="332"/>
      <c r="C979" s="454"/>
      <c r="D979" s="334"/>
      <c r="E979" s="333"/>
      <c r="F979" s="334"/>
      <c r="G979" s="336"/>
      <c r="H979" s="454"/>
      <c r="I979" s="455"/>
      <c r="J979" s="456"/>
      <c r="K979" s="456"/>
      <c r="L979" s="454"/>
      <c r="M979" s="454"/>
      <c r="N979" s="454"/>
      <c r="O979" s="454"/>
      <c r="P979" s="454"/>
      <c r="Q979" s="454"/>
      <c r="R979" s="454"/>
      <c r="S979" s="454"/>
      <c r="T979" s="454"/>
      <c r="U979" s="454"/>
      <c r="V979" s="454"/>
      <c r="W979" s="454"/>
      <c r="X979" s="454"/>
      <c r="Y979" s="454"/>
      <c r="Z979" s="454"/>
      <c r="AA979" s="454"/>
      <c r="AB979" s="454"/>
    </row>
    <row r="980" spans="1:28">
      <c r="A980" s="331"/>
      <c r="B980" s="332"/>
      <c r="C980" s="454"/>
      <c r="D980" s="334"/>
      <c r="E980" s="333"/>
      <c r="F980" s="334"/>
      <c r="G980" s="336"/>
      <c r="H980" s="454"/>
      <c r="I980" s="455"/>
      <c r="J980" s="456"/>
      <c r="K980" s="456"/>
      <c r="L980" s="454"/>
      <c r="M980" s="454"/>
      <c r="N980" s="454"/>
      <c r="O980" s="454"/>
      <c r="P980" s="454"/>
      <c r="Q980" s="454"/>
      <c r="R980" s="454"/>
      <c r="S980" s="454"/>
      <c r="T980" s="454"/>
      <c r="U980" s="454"/>
      <c r="V980" s="454"/>
      <c r="W980" s="454"/>
      <c r="X980" s="454"/>
      <c r="Y980" s="454"/>
      <c r="Z980" s="454"/>
      <c r="AA980" s="454"/>
      <c r="AB980" s="454"/>
    </row>
    <row r="981" spans="1:28">
      <c r="A981" s="331"/>
      <c r="B981" s="332"/>
      <c r="C981" s="454"/>
      <c r="D981" s="334"/>
      <c r="E981" s="333"/>
      <c r="F981" s="334"/>
      <c r="G981" s="336"/>
      <c r="H981" s="454"/>
      <c r="I981" s="455"/>
      <c r="J981" s="456"/>
      <c r="K981" s="456"/>
      <c r="L981" s="454"/>
      <c r="M981" s="454"/>
      <c r="N981" s="454"/>
      <c r="O981" s="454"/>
      <c r="P981" s="454"/>
      <c r="Q981" s="454"/>
      <c r="R981" s="454"/>
      <c r="S981" s="454"/>
      <c r="T981" s="454"/>
      <c r="U981" s="454"/>
      <c r="V981" s="454"/>
      <c r="W981" s="454"/>
      <c r="X981" s="454"/>
      <c r="Y981" s="454"/>
      <c r="Z981" s="454"/>
      <c r="AA981" s="454"/>
      <c r="AB981" s="454"/>
    </row>
    <row r="982" spans="1:28">
      <c r="A982" s="331"/>
      <c r="B982" s="332"/>
      <c r="C982" s="454"/>
      <c r="D982" s="334"/>
      <c r="E982" s="333"/>
      <c r="F982" s="334"/>
      <c r="G982" s="336"/>
      <c r="H982" s="454"/>
      <c r="I982" s="455"/>
      <c r="J982" s="456"/>
      <c r="K982" s="456"/>
      <c r="L982" s="454"/>
      <c r="M982" s="454"/>
      <c r="N982" s="454"/>
      <c r="O982" s="454"/>
      <c r="P982" s="454"/>
      <c r="Q982" s="454"/>
      <c r="R982" s="454"/>
      <c r="S982" s="454"/>
      <c r="T982" s="454"/>
      <c r="U982" s="454"/>
      <c r="V982" s="454"/>
      <c r="W982" s="454"/>
      <c r="X982" s="454"/>
      <c r="Y982" s="454"/>
      <c r="Z982" s="454"/>
      <c r="AA982" s="454"/>
      <c r="AB982" s="454"/>
    </row>
    <row r="983" spans="1:28">
      <c r="A983" s="331"/>
      <c r="B983" s="332"/>
      <c r="C983" s="454"/>
      <c r="D983" s="334"/>
      <c r="E983" s="333"/>
      <c r="F983" s="334"/>
      <c r="G983" s="335"/>
      <c r="H983" s="454"/>
      <c r="I983" s="455"/>
      <c r="J983" s="456"/>
      <c r="K983" s="456"/>
      <c r="L983" s="454"/>
      <c r="M983" s="454"/>
      <c r="N983" s="454"/>
      <c r="O983" s="454"/>
      <c r="P983" s="454"/>
      <c r="Q983" s="454"/>
      <c r="R983" s="454"/>
      <c r="S983" s="454"/>
      <c r="T983" s="454"/>
      <c r="U983" s="454"/>
      <c r="V983" s="454"/>
      <c r="W983" s="454"/>
      <c r="X983" s="454"/>
      <c r="Y983" s="454"/>
      <c r="Z983" s="454"/>
      <c r="AA983" s="454"/>
      <c r="AB983" s="454"/>
    </row>
    <row r="984" spans="1:28">
      <c r="A984" s="331"/>
      <c r="B984" s="332"/>
      <c r="C984" s="454"/>
      <c r="D984" s="334"/>
      <c r="E984" s="333"/>
      <c r="F984" s="334"/>
      <c r="G984" s="336"/>
      <c r="H984" s="454"/>
      <c r="I984" s="455"/>
      <c r="J984" s="456"/>
      <c r="K984" s="456"/>
      <c r="L984" s="454"/>
      <c r="M984" s="454"/>
      <c r="N984" s="454"/>
      <c r="O984" s="454"/>
      <c r="P984" s="454"/>
      <c r="Q984" s="454"/>
      <c r="R984" s="454"/>
      <c r="S984" s="454"/>
      <c r="T984" s="454"/>
      <c r="U984" s="454"/>
      <c r="V984" s="454"/>
      <c r="W984" s="454"/>
      <c r="X984" s="454"/>
      <c r="Y984" s="454"/>
      <c r="Z984" s="454"/>
      <c r="AA984" s="454"/>
      <c r="AB984" s="454"/>
    </row>
    <row r="985" spans="1:28">
      <c r="A985" s="331"/>
      <c r="B985" s="332"/>
      <c r="C985" s="454"/>
      <c r="D985" s="334"/>
      <c r="E985" s="333"/>
      <c r="F985" s="334"/>
      <c r="G985" s="334"/>
      <c r="H985" s="454"/>
      <c r="I985" s="455"/>
      <c r="J985" s="456"/>
      <c r="K985" s="456"/>
      <c r="L985" s="454"/>
      <c r="M985" s="454"/>
      <c r="N985" s="454"/>
      <c r="O985" s="454"/>
      <c r="P985" s="454"/>
      <c r="Q985" s="454"/>
      <c r="R985" s="454"/>
      <c r="S985" s="454"/>
      <c r="T985" s="454"/>
      <c r="U985" s="454"/>
      <c r="V985" s="454"/>
      <c r="W985" s="454"/>
      <c r="X985" s="454"/>
      <c r="Y985" s="454"/>
      <c r="Z985" s="454"/>
      <c r="AA985" s="454"/>
      <c r="AB985" s="454"/>
    </row>
    <row r="986" spans="1:28">
      <c r="A986" s="331"/>
      <c r="B986" s="332"/>
      <c r="C986" s="454"/>
      <c r="D986" s="334"/>
      <c r="E986" s="333"/>
      <c r="F986" s="334"/>
      <c r="G986" s="336"/>
      <c r="H986" s="454"/>
      <c r="I986" s="455"/>
      <c r="J986" s="456"/>
      <c r="K986" s="456"/>
      <c r="L986" s="454"/>
      <c r="M986" s="454"/>
      <c r="N986" s="454"/>
      <c r="O986" s="454"/>
      <c r="P986" s="454"/>
      <c r="Q986" s="454"/>
      <c r="R986" s="454"/>
      <c r="S986" s="454"/>
      <c r="T986" s="454"/>
      <c r="U986" s="454"/>
      <c r="V986" s="454"/>
      <c r="W986" s="454"/>
      <c r="X986" s="454"/>
      <c r="Y986" s="454"/>
      <c r="Z986" s="454"/>
      <c r="AA986" s="454"/>
      <c r="AB986" s="454"/>
    </row>
    <row r="987" spans="1:28">
      <c r="A987" s="331"/>
      <c r="B987" s="332"/>
      <c r="C987" s="454"/>
      <c r="D987" s="334"/>
      <c r="E987" s="333"/>
      <c r="F987" s="334"/>
      <c r="G987" s="334"/>
      <c r="H987" s="454"/>
      <c r="I987" s="455"/>
      <c r="J987" s="456"/>
      <c r="K987" s="456"/>
      <c r="L987" s="454"/>
      <c r="M987" s="454"/>
      <c r="N987" s="454"/>
      <c r="O987" s="454"/>
      <c r="P987" s="454"/>
      <c r="Q987" s="454"/>
      <c r="R987" s="454"/>
      <c r="S987" s="454"/>
      <c r="T987" s="454"/>
      <c r="U987" s="454"/>
      <c r="V987" s="454"/>
      <c r="W987" s="454"/>
      <c r="X987" s="454"/>
      <c r="Y987" s="454"/>
      <c r="Z987" s="454"/>
      <c r="AA987" s="454"/>
      <c r="AB987" s="454"/>
    </row>
    <row r="988" spans="1:28">
      <c r="A988" s="331"/>
      <c r="B988" s="332"/>
      <c r="C988" s="454"/>
      <c r="D988" s="334"/>
      <c r="E988" s="333"/>
      <c r="F988" s="334"/>
      <c r="G988" s="334"/>
      <c r="H988" s="454"/>
      <c r="I988" s="455"/>
      <c r="J988" s="456"/>
      <c r="K988" s="456"/>
      <c r="L988" s="454"/>
      <c r="M988" s="454"/>
      <c r="N988" s="454"/>
      <c r="O988" s="454"/>
      <c r="P988" s="454"/>
      <c r="Q988" s="454"/>
      <c r="R988" s="454"/>
      <c r="S988" s="454"/>
      <c r="T988" s="454"/>
      <c r="U988" s="454"/>
      <c r="V988" s="454"/>
      <c r="W988" s="454"/>
      <c r="X988" s="454"/>
      <c r="Y988" s="454"/>
      <c r="Z988" s="454"/>
      <c r="AA988" s="454"/>
      <c r="AB988" s="454"/>
    </row>
    <row r="989" spans="1:28">
      <c r="A989" s="331"/>
      <c r="B989" s="332"/>
      <c r="C989" s="454"/>
      <c r="D989" s="334"/>
      <c r="E989" s="333"/>
      <c r="F989" s="334"/>
      <c r="G989" s="334"/>
      <c r="H989" s="454"/>
      <c r="I989" s="455"/>
      <c r="J989" s="456"/>
      <c r="K989" s="456"/>
      <c r="L989" s="454"/>
      <c r="M989" s="454"/>
      <c r="N989" s="454"/>
      <c r="O989" s="454"/>
      <c r="P989" s="454"/>
      <c r="Q989" s="454"/>
      <c r="R989" s="454"/>
      <c r="S989" s="454"/>
      <c r="T989" s="454"/>
      <c r="U989" s="454"/>
      <c r="V989" s="454"/>
      <c r="W989" s="454"/>
      <c r="X989" s="454"/>
      <c r="Y989" s="454"/>
      <c r="Z989" s="454"/>
      <c r="AA989" s="454"/>
      <c r="AB989" s="454"/>
    </row>
    <row r="990" spans="1:28">
      <c r="A990" s="331"/>
      <c r="B990" s="332"/>
      <c r="C990" s="454"/>
      <c r="D990" s="334"/>
      <c r="E990" s="333"/>
      <c r="F990" s="334"/>
      <c r="G990" s="334"/>
      <c r="H990" s="454"/>
      <c r="I990" s="455"/>
      <c r="J990" s="456"/>
      <c r="K990" s="456"/>
      <c r="L990" s="454"/>
      <c r="M990" s="454"/>
      <c r="N990" s="454"/>
      <c r="O990" s="454"/>
      <c r="P990" s="454"/>
      <c r="Q990" s="454"/>
      <c r="R990" s="454"/>
      <c r="S990" s="454"/>
      <c r="T990" s="454"/>
      <c r="U990" s="454"/>
      <c r="V990" s="454"/>
      <c r="W990" s="454"/>
      <c r="X990" s="454"/>
      <c r="Y990" s="454"/>
      <c r="Z990" s="454"/>
      <c r="AA990" s="454"/>
      <c r="AB990" s="454"/>
    </row>
    <row r="991" spans="1:28">
      <c r="A991" s="331"/>
      <c r="B991" s="332"/>
      <c r="C991" s="454"/>
      <c r="D991" s="334"/>
      <c r="E991" s="333"/>
      <c r="F991" s="334"/>
      <c r="G991" s="334"/>
      <c r="H991" s="454"/>
      <c r="I991" s="455"/>
      <c r="J991" s="456"/>
      <c r="K991" s="456"/>
      <c r="L991" s="454"/>
      <c r="M991" s="454"/>
      <c r="N991" s="454"/>
      <c r="O991" s="454"/>
      <c r="P991" s="454"/>
      <c r="Q991" s="454"/>
      <c r="R991" s="454"/>
      <c r="S991" s="454"/>
      <c r="T991" s="454"/>
      <c r="U991" s="454"/>
      <c r="V991" s="454"/>
      <c r="W991" s="454"/>
      <c r="X991" s="454"/>
      <c r="Y991" s="454"/>
      <c r="Z991" s="454"/>
      <c r="AA991" s="454"/>
      <c r="AB991" s="454"/>
    </row>
    <row r="992" spans="1:28">
      <c r="A992" s="331"/>
      <c r="B992" s="332"/>
      <c r="C992" s="454"/>
      <c r="D992" s="334"/>
      <c r="E992" s="333"/>
      <c r="F992" s="334"/>
      <c r="G992" s="334"/>
      <c r="H992" s="454"/>
      <c r="I992" s="455"/>
      <c r="J992" s="456"/>
      <c r="K992" s="456"/>
      <c r="L992" s="454"/>
      <c r="M992" s="454"/>
      <c r="N992" s="454"/>
      <c r="O992" s="454"/>
      <c r="P992" s="454"/>
      <c r="Q992" s="454"/>
      <c r="R992" s="454"/>
      <c r="S992" s="454"/>
      <c r="T992" s="454"/>
      <c r="U992" s="454"/>
      <c r="V992" s="454"/>
      <c r="W992" s="454"/>
      <c r="X992" s="454"/>
      <c r="Y992" s="454"/>
      <c r="Z992" s="454"/>
      <c r="AA992" s="454"/>
      <c r="AB992" s="454"/>
    </row>
    <row r="993" spans="1:28">
      <c r="A993" s="331"/>
      <c r="B993" s="332"/>
      <c r="C993" s="454"/>
      <c r="D993" s="334"/>
      <c r="E993" s="333"/>
      <c r="F993" s="334"/>
      <c r="G993" s="334"/>
      <c r="H993" s="454"/>
      <c r="I993" s="455"/>
      <c r="J993" s="456"/>
      <c r="K993" s="456"/>
      <c r="L993" s="454"/>
      <c r="M993" s="454"/>
      <c r="N993" s="454"/>
      <c r="O993" s="454"/>
      <c r="P993" s="454"/>
      <c r="Q993" s="454"/>
      <c r="R993" s="454"/>
      <c r="S993" s="454"/>
      <c r="T993" s="454"/>
      <c r="U993" s="454"/>
      <c r="V993" s="454"/>
      <c r="W993" s="454"/>
      <c r="X993" s="454"/>
      <c r="Y993" s="454"/>
      <c r="Z993" s="454"/>
      <c r="AA993" s="454"/>
      <c r="AB993" s="454"/>
    </row>
    <row r="994" spans="1:28">
      <c r="A994" s="331"/>
      <c r="B994" s="332"/>
      <c r="C994" s="454"/>
      <c r="D994" s="334"/>
      <c r="E994" s="333"/>
      <c r="F994" s="334"/>
      <c r="G994" s="334"/>
      <c r="H994" s="454"/>
      <c r="I994" s="455"/>
      <c r="J994" s="456"/>
      <c r="K994" s="456"/>
      <c r="L994" s="454"/>
      <c r="M994" s="454"/>
      <c r="N994" s="454"/>
      <c r="O994" s="454"/>
      <c r="P994" s="454"/>
      <c r="Q994" s="454"/>
      <c r="R994" s="454"/>
      <c r="S994" s="454"/>
      <c r="T994" s="454"/>
      <c r="U994" s="454"/>
      <c r="V994" s="454"/>
      <c r="W994" s="454"/>
      <c r="X994" s="454"/>
      <c r="Y994" s="454"/>
      <c r="Z994" s="454"/>
      <c r="AA994" s="454"/>
      <c r="AB994" s="454"/>
    </row>
    <row r="995" spans="1:28">
      <c r="A995" s="331"/>
      <c r="B995" s="332"/>
      <c r="C995" s="454"/>
      <c r="D995" s="334"/>
      <c r="E995" s="333"/>
      <c r="F995" s="334"/>
      <c r="G995" s="334"/>
      <c r="H995" s="454"/>
      <c r="I995" s="455"/>
      <c r="J995" s="456"/>
      <c r="K995" s="456"/>
      <c r="L995" s="454"/>
      <c r="M995" s="454"/>
      <c r="N995" s="454"/>
      <c r="O995" s="454"/>
      <c r="P995" s="454"/>
      <c r="Q995" s="454"/>
      <c r="R995" s="454"/>
      <c r="S995" s="454"/>
      <c r="T995" s="454"/>
      <c r="U995" s="454"/>
      <c r="V995" s="454"/>
      <c r="W995" s="454"/>
      <c r="X995" s="454"/>
      <c r="Y995" s="454"/>
      <c r="Z995" s="454"/>
      <c r="AA995" s="454"/>
      <c r="AB995" s="454"/>
    </row>
    <row r="996" spans="1:28">
      <c r="A996" s="331"/>
      <c r="B996" s="332"/>
      <c r="C996" s="454"/>
      <c r="D996" s="334"/>
      <c r="E996" s="333"/>
      <c r="F996" s="334"/>
      <c r="G996" s="334"/>
      <c r="H996" s="454"/>
      <c r="I996" s="455"/>
      <c r="J996" s="456"/>
      <c r="K996" s="456"/>
      <c r="L996" s="454"/>
      <c r="M996" s="454"/>
      <c r="N996" s="454"/>
      <c r="O996" s="454"/>
      <c r="P996" s="454"/>
      <c r="Q996" s="454"/>
      <c r="R996" s="454"/>
      <c r="S996" s="454"/>
      <c r="T996" s="454"/>
      <c r="U996" s="454"/>
      <c r="V996" s="454"/>
      <c r="W996" s="454"/>
      <c r="X996" s="454"/>
      <c r="Y996" s="454"/>
      <c r="Z996" s="454"/>
      <c r="AA996" s="454"/>
      <c r="AB996" s="454"/>
    </row>
    <row r="997" spans="1:28">
      <c r="A997" s="331"/>
      <c r="B997" s="332"/>
      <c r="C997" s="454"/>
      <c r="D997" s="334"/>
      <c r="E997" s="333"/>
      <c r="F997" s="334"/>
      <c r="G997" s="334"/>
      <c r="H997" s="454"/>
      <c r="I997" s="455"/>
      <c r="J997" s="456"/>
      <c r="K997" s="456"/>
      <c r="L997" s="454"/>
      <c r="M997" s="454"/>
      <c r="N997" s="454"/>
      <c r="O997" s="454"/>
      <c r="P997" s="454"/>
      <c r="Q997" s="454"/>
      <c r="R997" s="454"/>
      <c r="S997" s="454"/>
      <c r="T997" s="454"/>
      <c r="U997" s="454"/>
      <c r="V997" s="454"/>
      <c r="W997" s="454"/>
      <c r="X997" s="454"/>
      <c r="Y997" s="454"/>
      <c r="Z997" s="454"/>
      <c r="AA997" s="454"/>
      <c r="AB997" s="454"/>
    </row>
    <row r="998" spans="1:28">
      <c r="A998" s="331"/>
      <c r="B998" s="332"/>
      <c r="C998" s="454"/>
      <c r="D998" s="334"/>
      <c r="E998" s="333"/>
      <c r="F998" s="334"/>
      <c r="G998" s="334"/>
      <c r="H998" s="454"/>
      <c r="I998" s="455"/>
      <c r="J998" s="456"/>
      <c r="K998" s="456"/>
      <c r="L998" s="454"/>
      <c r="M998" s="454"/>
      <c r="N998" s="454"/>
      <c r="O998" s="454"/>
      <c r="P998" s="454"/>
      <c r="Q998" s="454"/>
      <c r="R998" s="454"/>
      <c r="S998" s="454"/>
      <c r="T998" s="454"/>
      <c r="U998" s="454"/>
      <c r="V998" s="454"/>
      <c r="W998" s="454"/>
      <c r="X998" s="454"/>
      <c r="Y998" s="454"/>
      <c r="Z998" s="454"/>
      <c r="AA998" s="454"/>
      <c r="AB998" s="454"/>
    </row>
    <row r="999" spans="1:28">
      <c r="A999" s="331"/>
      <c r="B999" s="332"/>
      <c r="C999" s="454"/>
      <c r="D999" s="334"/>
      <c r="E999" s="333"/>
      <c r="F999" s="334"/>
      <c r="G999" s="334"/>
      <c r="H999" s="454"/>
      <c r="I999" s="455"/>
      <c r="J999" s="456"/>
      <c r="K999" s="456"/>
      <c r="L999" s="454"/>
      <c r="M999" s="454"/>
      <c r="N999" s="454"/>
      <c r="O999" s="454"/>
      <c r="P999" s="454"/>
      <c r="Q999" s="454"/>
      <c r="R999" s="454"/>
      <c r="S999" s="454"/>
      <c r="T999" s="454"/>
      <c r="U999" s="454"/>
      <c r="V999" s="454"/>
      <c r="W999" s="454"/>
      <c r="X999" s="454"/>
      <c r="Y999" s="454"/>
      <c r="Z999" s="454"/>
      <c r="AA999" s="454"/>
      <c r="AB999" s="454"/>
    </row>
    <row r="1000" spans="1:28">
      <c r="A1000" s="331"/>
      <c r="B1000" s="332"/>
      <c r="C1000" s="454"/>
      <c r="D1000" s="334"/>
      <c r="E1000" s="333"/>
      <c r="F1000" s="334"/>
      <c r="G1000" s="334"/>
      <c r="H1000" s="454"/>
      <c r="I1000" s="455"/>
      <c r="J1000" s="456"/>
      <c r="K1000" s="456"/>
      <c r="L1000" s="454"/>
      <c r="M1000" s="454"/>
      <c r="N1000" s="454"/>
      <c r="O1000" s="454"/>
      <c r="P1000" s="454"/>
      <c r="Q1000" s="454"/>
      <c r="R1000" s="454"/>
      <c r="S1000" s="454"/>
      <c r="T1000" s="454"/>
      <c r="U1000" s="454"/>
      <c r="V1000" s="454"/>
      <c r="W1000" s="454"/>
      <c r="X1000" s="454"/>
      <c r="Y1000" s="454"/>
      <c r="Z1000" s="454"/>
      <c r="AA1000" s="454"/>
      <c r="AB1000" s="454"/>
    </row>
    <row r="1001" spans="1:28">
      <c r="A1001" s="331"/>
      <c r="B1001" s="332"/>
      <c r="C1001" s="454"/>
      <c r="D1001" s="334"/>
      <c r="E1001" s="333"/>
      <c r="F1001" s="334"/>
      <c r="G1001" s="334"/>
      <c r="H1001" s="454"/>
      <c r="I1001" s="455"/>
      <c r="J1001" s="456"/>
      <c r="K1001" s="456"/>
      <c r="L1001" s="454"/>
      <c r="M1001" s="454"/>
      <c r="N1001" s="454"/>
      <c r="O1001" s="454"/>
      <c r="P1001" s="454"/>
      <c r="Q1001" s="454"/>
      <c r="R1001" s="454"/>
      <c r="S1001" s="454"/>
      <c r="T1001" s="454"/>
      <c r="U1001" s="454"/>
      <c r="V1001" s="454"/>
      <c r="W1001" s="454"/>
      <c r="X1001" s="454"/>
      <c r="Y1001" s="454"/>
      <c r="Z1001" s="454"/>
      <c r="AA1001" s="454"/>
      <c r="AB1001" s="454"/>
    </row>
    <row r="1002" spans="1:28">
      <c r="A1002" s="331"/>
      <c r="B1002" s="332"/>
      <c r="C1002" s="454"/>
      <c r="D1002" s="334"/>
      <c r="E1002" s="333"/>
      <c r="F1002" s="334"/>
      <c r="G1002" s="334"/>
      <c r="H1002" s="454"/>
      <c r="I1002" s="455"/>
      <c r="J1002" s="456"/>
      <c r="K1002" s="456"/>
      <c r="L1002" s="454"/>
      <c r="M1002" s="454"/>
      <c r="N1002" s="454"/>
      <c r="O1002" s="454"/>
      <c r="P1002" s="454"/>
      <c r="Q1002" s="454"/>
      <c r="R1002" s="454"/>
      <c r="S1002" s="454"/>
      <c r="T1002" s="454"/>
      <c r="U1002" s="454"/>
      <c r="V1002" s="454"/>
      <c r="W1002" s="454"/>
      <c r="X1002" s="454"/>
      <c r="Y1002" s="454"/>
      <c r="Z1002" s="454"/>
      <c r="AA1002" s="454"/>
      <c r="AB1002" s="454"/>
    </row>
    <row r="1003" spans="1:28">
      <c r="A1003" s="331"/>
      <c r="B1003" s="332"/>
      <c r="C1003" s="454"/>
      <c r="D1003" s="334"/>
      <c r="E1003" s="333"/>
      <c r="F1003" s="334"/>
      <c r="G1003" s="334"/>
      <c r="H1003" s="454"/>
      <c r="I1003" s="455"/>
      <c r="J1003" s="456"/>
      <c r="K1003" s="456"/>
      <c r="L1003" s="454"/>
      <c r="M1003" s="454"/>
      <c r="N1003" s="454"/>
      <c r="O1003" s="454"/>
      <c r="P1003" s="454"/>
      <c r="Q1003" s="454"/>
      <c r="R1003" s="454"/>
      <c r="S1003" s="454"/>
      <c r="T1003" s="454"/>
      <c r="U1003" s="454"/>
      <c r="V1003" s="454"/>
      <c r="W1003" s="454"/>
      <c r="X1003" s="454"/>
      <c r="Y1003" s="454"/>
      <c r="Z1003" s="454"/>
      <c r="AA1003" s="454"/>
      <c r="AB1003" s="454"/>
    </row>
    <row r="1004" spans="1:28">
      <c r="A1004" s="331"/>
      <c r="B1004" s="332"/>
      <c r="C1004" s="454"/>
      <c r="D1004" s="334"/>
      <c r="E1004" s="333"/>
      <c r="F1004" s="334"/>
      <c r="G1004" s="334"/>
      <c r="H1004" s="454"/>
      <c r="I1004" s="455"/>
      <c r="J1004" s="456"/>
      <c r="K1004" s="456"/>
      <c r="L1004" s="454"/>
      <c r="M1004" s="454"/>
      <c r="N1004" s="454"/>
      <c r="O1004" s="454"/>
      <c r="P1004" s="454"/>
      <c r="Q1004" s="454"/>
      <c r="R1004" s="454"/>
      <c r="S1004" s="454"/>
      <c r="T1004" s="454"/>
      <c r="U1004" s="454"/>
      <c r="V1004" s="454"/>
      <c r="W1004" s="454"/>
      <c r="X1004" s="454"/>
      <c r="Y1004" s="454"/>
      <c r="Z1004" s="454"/>
      <c r="AA1004" s="454"/>
      <c r="AB1004" s="454"/>
    </row>
    <row r="1005" spans="1:28">
      <c r="A1005" s="331"/>
      <c r="B1005" s="332"/>
      <c r="C1005" s="454"/>
      <c r="D1005" s="334"/>
      <c r="E1005" s="333"/>
      <c r="F1005" s="334"/>
      <c r="G1005" s="334"/>
      <c r="H1005" s="454"/>
      <c r="I1005" s="455"/>
      <c r="J1005" s="456"/>
      <c r="K1005" s="456"/>
      <c r="L1005" s="454"/>
      <c r="M1005" s="454"/>
      <c r="N1005" s="454"/>
      <c r="O1005" s="454"/>
      <c r="P1005" s="454"/>
      <c r="Q1005" s="454"/>
      <c r="R1005" s="454"/>
      <c r="S1005" s="454"/>
      <c r="T1005" s="454"/>
      <c r="U1005" s="454"/>
      <c r="V1005" s="454"/>
      <c r="W1005" s="454"/>
      <c r="X1005" s="454"/>
      <c r="Y1005" s="454"/>
      <c r="Z1005" s="454"/>
      <c r="AA1005" s="454"/>
      <c r="AB1005" s="454"/>
    </row>
    <row r="1006" spans="1:28">
      <c r="A1006" s="331"/>
      <c r="B1006" s="332"/>
      <c r="C1006" s="454"/>
      <c r="D1006" s="334"/>
      <c r="E1006" s="333"/>
      <c r="F1006" s="334"/>
      <c r="G1006" s="334"/>
      <c r="H1006" s="454"/>
      <c r="I1006" s="455"/>
      <c r="J1006" s="456"/>
      <c r="K1006" s="456"/>
      <c r="L1006" s="454"/>
      <c r="M1006" s="454"/>
      <c r="N1006" s="454"/>
      <c r="O1006" s="454"/>
      <c r="P1006" s="454"/>
      <c r="Q1006" s="454"/>
      <c r="R1006" s="454"/>
      <c r="S1006" s="454"/>
      <c r="T1006" s="454"/>
      <c r="U1006" s="454"/>
      <c r="V1006" s="454"/>
      <c r="W1006" s="454"/>
      <c r="X1006" s="454"/>
      <c r="Y1006" s="454"/>
      <c r="Z1006" s="454"/>
      <c r="AA1006" s="454"/>
      <c r="AB1006" s="454"/>
    </row>
    <row r="1007" spans="1:28">
      <c r="A1007" s="331"/>
      <c r="B1007" s="332"/>
      <c r="C1007" s="454"/>
      <c r="D1007" s="334"/>
      <c r="E1007" s="333"/>
      <c r="F1007" s="334"/>
      <c r="G1007" s="334"/>
      <c r="H1007" s="454"/>
      <c r="I1007" s="455"/>
      <c r="J1007" s="456"/>
      <c r="K1007" s="456"/>
      <c r="L1007" s="454"/>
      <c r="M1007" s="454"/>
      <c r="N1007" s="454"/>
      <c r="O1007" s="454"/>
      <c r="P1007" s="454"/>
      <c r="Q1007" s="454"/>
      <c r="R1007" s="454"/>
      <c r="S1007" s="454"/>
      <c r="T1007" s="454"/>
      <c r="U1007" s="454"/>
      <c r="V1007" s="454"/>
      <c r="W1007" s="454"/>
      <c r="X1007" s="454"/>
      <c r="Y1007" s="454"/>
      <c r="Z1007" s="454"/>
      <c r="AA1007" s="454"/>
      <c r="AB1007" s="454"/>
    </row>
    <row r="1008" spans="1:28">
      <c r="A1008" s="331"/>
      <c r="B1008" s="332"/>
      <c r="C1008" s="454"/>
      <c r="D1008" s="110"/>
      <c r="E1008" s="333"/>
      <c r="F1008" s="334"/>
      <c r="G1008" s="334"/>
      <c r="H1008" s="454"/>
      <c r="I1008" s="455"/>
      <c r="J1008" s="456"/>
      <c r="K1008" s="456"/>
      <c r="L1008" s="454"/>
      <c r="M1008" s="454"/>
      <c r="N1008" s="454"/>
      <c r="O1008" s="454"/>
      <c r="P1008" s="454"/>
      <c r="Q1008" s="454"/>
      <c r="R1008" s="454"/>
      <c r="S1008" s="454"/>
      <c r="T1008" s="454"/>
      <c r="U1008" s="454"/>
      <c r="V1008" s="454"/>
      <c r="W1008" s="454"/>
      <c r="X1008" s="454"/>
      <c r="Y1008" s="454"/>
      <c r="Z1008" s="454"/>
      <c r="AA1008" s="454"/>
      <c r="AB1008" s="454"/>
    </row>
    <row r="1009" spans="1:28">
      <c r="A1009" s="331"/>
      <c r="B1009" s="332"/>
      <c r="C1009" s="454"/>
      <c r="D1009" s="334"/>
      <c r="E1009" s="333"/>
      <c r="F1009" s="334"/>
      <c r="G1009" s="334"/>
      <c r="H1009" s="454"/>
      <c r="I1009" s="455"/>
      <c r="J1009" s="456"/>
      <c r="K1009" s="456"/>
      <c r="L1009" s="454"/>
      <c r="M1009" s="454"/>
      <c r="N1009" s="454"/>
      <c r="O1009" s="454"/>
      <c r="P1009" s="454"/>
      <c r="Q1009" s="454"/>
      <c r="R1009" s="454"/>
      <c r="S1009" s="454"/>
      <c r="T1009" s="454"/>
      <c r="U1009" s="454"/>
      <c r="V1009" s="454"/>
      <c r="W1009" s="454"/>
      <c r="X1009" s="454"/>
      <c r="Y1009" s="454"/>
      <c r="Z1009" s="454"/>
      <c r="AA1009" s="454"/>
      <c r="AB1009" s="454"/>
    </row>
    <row r="1010" spans="1:28">
      <c r="A1010" s="331"/>
      <c r="B1010" s="332"/>
      <c r="C1010" s="454"/>
      <c r="D1010" s="335"/>
      <c r="E1010" s="333"/>
      <c r="F1010" s="335"/>
      <c r="G1010" s="335"/>
      <c r="H1010" s="454"/>
      <c r="I1010" s="455"/>
      <c r="J1010" s="456"/>
      <c r="K1010" s="456"/>
      <c r="L1010" s="454"/>
      <c r="M1010" s="454"/>
      <c r="N1010" s="454"/>
      <c r="O1010" s="454"/>
      <c r="P1010" s="454"/>
      <c r="Q1010" s="454"/>
      <c r="R1010" s="454"/>
      <c r="S1010" s="454"/>
      <c r="T1010" s="454"/>
      <c r="U1010" s="454"/>
      <c r="V1010" s="454"/>
      <c r="W1010" s="454"/>
      <c r="X1010" s="454"/>
      <c r="Y1010" s="454"/>
      <c r="Z1010" s="454"/>
      <c r="AA1010" s="454"/>
      <c r="AB1010" s="454"/>
    </row>
    <row r="1011" spans="1:28">
      <c r="A1011" s="331"/>
      <c r="B1011" s="332"/>
      <c r="C1011" s="454"/>
      <c r="D1011" s="334"/>
      <c r="E1011" s="333"/>
      <c r="F1011" s="334"/>
      <c r="G1011" s="334"/>
      <c r="H1011" s="454"/>
      <c r="I1011" s="455"/>
      <c r="J1011" s="456"/>
      <c r="K1011" s="456"/>
      <c r="L1011" s="454"/>
      <c r="M1011" s="454"/>
      <c r="N1011" s="454"/>
      <c r="O1011" s="454"/>
      <c r="P1011" s="454"/>
      <c r="Q1011" s="454"/>
      <c r="R1011" s="454"/>
      <c r="S1011" s="454"/>
      <c r="T1011" s="454"/>
      <c r="U1011" s="454"/>
      <c r="V1011" s="454"/>
      <c r="W1011" s="454"/>
      <c r="X1011" s="454"/>
      <c r="Y1011" s="454"/>
      <c r="Z1011" s="454"/>
      <c r="AA1011" s="454"/>
      <c r="AB1011" s="454"/>
    </row>
    <row r="1012" spans="1:28">
      <c r="A1012" s="331"/>
      <c r="B1012" s="332"/>
      <c r="C1012" s="454"/>
      <c r="D1012" s="334"/>
      <c r="E1012" s="333"/>
      <c r="F1012" s="334"/>
      <c r="G1012" s="334"/>
      <c r="H1012" s="454"/>
      <c r="I1012" s="455"/>
      <c r="J1012" s="456"/>
      <c r="K1012" s="456"/>
      <c r="L1012" s="454"/>
      <c r="M1012" s="454"/>
      <c r="N1012" s="454"/>
      <c r="O1012" s="454"/>
      <c r="P1012" s="454"/>
      <c r="Q1012" s="454"/>
      <c r="R1012" s="454"/>
      <c r="S1012" s="454"/>
      <c r="T1012" s="454"/>
      <c r="U1012" s="454"/>
      <c r="V1012" s="454"/>
      <c r="W1012" s="454"/>
      <c r="X1012" s="454"/>
      <c r="Y1012" s="454"/>
      <c r="Z1012" s="454"/>
      <c r="AA1012" s="454"/>
      <c r="AB1012" s="454"/>
    </row>
    <row r="1013" spans="1:28">
      <c r="A1013" s="331"/>
      <c r="B1013" s="332"/>
      <c r="C1013" s="454"/>
      <c r="D1013" s="334"/>
      <c r="E1013" s="333"/>
      <c r="F1013" s="334"/>
      <c r="G1013" s="334"/>
      <c r="H1013" s="454"/>
      <c r="I1013" s="455"/>
      <c r="J1013" s="456"/>
      <c r="K1013" s="456"/>
      <c r="L1013" s="454"/>
      <c r="M1013" s="454"/>
      <c r="N1013" s="454"/>
      <c r="O1013" s="454"/>
      <c r="P1013" s="454"/>
      <c r="Q1013" s="454"/>
      <c r="R1013" s="454"/>
      <c r="S1013" s="454"/>
      <c r="T1013" s="454"/>
      <c r="U1013" s="454"/>
      <c r="V1013" s="454"/>
      <c r="W1013" s="454"/>
      <c r="X1013" s="454"/>
      <c r="Y1013" s="454"/>
      <c r="Z1013" s="454"/>
      <c r="AA1013" s="454"/>
      <c r="AB1013" s="454"/>
    </row>
    <row r="1014" spans="1:28">
      <c r="A1014" s="331"/>
      <c r="B1014" s="332"/>
      <c r="C1014" s="454"/>
      <c r="D1014" s="334"/>
      <c r="E1014" s="333"/>
      <c r="F1014" s="334"/>
      <c r="G1014" s="334"/>
      <c r="H1014" s="454"/>
      <c r="I1014" s="455"/>
      <c r="J1014" s="456"/>
      <c r="K1014" s="456"/>
      <c r="L1014" s="454"/>
      <c r="M1014" s="454"/>
      <c r="N1014" s="454"/>
      <c r="O1014" s="454"/>
      <c r="P1014" s="454"/>
      <c r="Q1014" s="454"/>
      <c r="R1014" s="454"/>
      <c r="S1014" s="454"/>
      <c r="T1014" s="454"/>
      <c r="U1014" s="454"/>
      <c r="V1014" s="454"/>
      <c r="W1014" s="454"/>
      <c r="X1014" s="454"/>
      <c r="Y1014" s="454"/>
      <c r="Z1014" s="454"/>
      <c r="AA1014" s="454"/>
      <c r="AB1014" s="454"/>
    </row>
    <row r="1015" spans="1:28">
      <c r="A1015" s="331"/>
      <c r="B1015" s="332"/>
      <c r="C1015" s="454"/>
      <c r="D1015" s="334"/>
      <c r="E1015" s="333"/>
      <c r="F1015" s="334"/>
      <c r="G1015" s="334"/>
      <c r="H1015" s="454"/>
      <c r="I1015" s="455"/>
      <c r="J1015" s="456"/>
      <c r="K1015" s="456"/>
      <c r="L1015" s="454"/>
      <c r="M1015" s="454"/>
      <c r="N1015" s="454"/>
      <c r="O1015" s="454"/>
      <c r="P1015" s="454"/>
      <c r="Q1015" s="454"/>
      <c r="R1015" s="454"/>
      <c r="S1015" s="454"/>
      <c r="T1015" s="454"/>
      <c r="U1015" s="454"/>
      <c r="V1015" s="454"/>
      <c r="W1015" s="454"/>
      <c r="X1015" s="454"/>
      <c r="Y1015" s="454"/>
      <c r="Z1015" s="454"/>
      <c r="AA1015" s="454"/>
      <c r="AB1015" s="454"/>
    </row>
    <row r="1016" spans="1:28">
      <c r="A1016" s="331"/>
      <c r="B1016" s="332"/>
      <c r="C1016" s="454"/>
      <c r="D1016" s="334"/>
      <c r="E1016" s="333"/>
      <c r="F1016" s="334"/>
      <c r="G1016" s="334"/>
      <c r="H1016" s="454"/>
      <c r="I1016" s="455"/>
      <c r="J1016" s="456"/>
      <c r="K1016" s="456"/>
      <c r="L1016" s="454"/>
      <c r="M1016" s="454"/>
      <c r="N1016" s="454"/>
      <c r="O1016" s="454"/>
      <c r="P1016" s="454"/>
      <c r="Q1016" s="454"/>
      <c r="R1016" s="454"/>
      <c r="S1016" s="454"/>
      <c r="T1016" s="454"/>
      <c r="U1016" s="454"/>
      <c r="V1016" s="454"/>
      <c r="W1016" s="454"/>
      <c r="X1016" s="454"/>
      <c r="Y1016" s="454"/>
      <c r="Z1016" s="454"/>
      <c r="AA1016" s="454"/>
      <c r="AB1016" s="454"/>
    </row>
    <row r="1017" spans="1:28">
      <c r="A1017" s="331"/>
      <c r="B1017" s="332"/>
      <c r="C1017" s="454"/>
      <c r="D1017" s="334"/>
      <c r="E1017" s="333"/>
      <c r="F1017" s="334"/>
      <c r="G1017" s="334"/>
      <c r="H1017" s="454"/>
      <c r="I1017" s="455"/>
      <c r="J1017" s="456"/>
      <c r="K1017" s="456"/>
      <c r="L1017" s="454"/>
      <c r="M1017" s="454"/>
      <c r="N1017" s="454"/>
      <c r="O1017" s="454"/>
      <c r="P1017" s="454"/>
      <c r="Q1017" s="454"/>
      <c r="R1017" s="454"/>
      <c r="S1017" s="454"/>
      <c r="T1017" s="454"/>
      <c r="U1017" s="454"/>
      <c r="V1017" s="454"/>
      <c r="W1017" s="454"/>
      <c r="X1017" s="454"/>
      <c r="Y1017" s="454"/>
      <c r="Z1017" s="454"/>
      <c r="AA1017" s="454"/>
      <c r="AB1017" s="454"/>
    </row>
    <row r="1018" spans="1:28">
      <c r="A1018" s="331"/>
      <c r="B1018" s="332"/>
      <c r="C1018" s="454"/>
      <c r="D1018" s="334"/>
      <c r="E1018" s="333"/>
      <c r="F1018" s="334"/>
      <c r="G1018" s="334"/>
      <c r="H1018" s="454"/>
      <c r="I1018" s="455"/>
      <c r="J1018" s="456"/>
      <c r="K1018" s="456"/>
      <c r="L1018" s="454"/>
      <c r="M1018" s="454"/>
      <c r="N1018" s="454"/>
      <c r="O1018" s="454"/>
      <c r="P1018" s="454"/>
      <c r="Q1018" s="454"/>
      <c r="R1018" s="454"/>
      <c r="S1018" s="454"/>
      <c r="T1018" s="454"/>
      <c r="U1018" s="454"/>
      <c r="V1018" s="454"/>
      <c r="W1018" s="454"/>
      <c r="X1018" s="454"/>
      <c r="Y1018" s="454"/>
      <c r="Z1018" s="454"/>
      <c r="AA1018" s="454"/>
      <c r="AB1018" s="454"/>
    </row>
    <row r="1019" spans="1:28">
      <c r="A1019" s="331"/>
      <c r="B1019" s="332"/>
      <c r="C1019" s="454"/>
      <c r="D1019" s="334"/>
      <c r="E1019" s="333"/>
      <c r="F1019" s="334"/>
      <c r="G1019" s="334"/>
      <c r="H1019" s="454"/>
      <c r="I1019" s="455"/>
      <c r="J1019" s="456"/>
      <c r="K1019" s="456"/>
      <c r="L1019" s="454"/>
      <c r="M1019" s="454"/>
      <c r="N1019" s="454"/>
      <c r="O1019" s="454"/>
      <c r="P1019" s="454"/>
      <c r="Q1019" s="454"/>
      <c r="R1019" s="454"/>
      <c r="S1019" s="454"/>
      <c r="T1019" s="454"/>
      <c r="U1019" s="454"/>
      <c r="V1019" s="454"/>
      <c r="W1019" s="454"/>
      <c r="X1019" s="454"/>
      <c r="Y1019" s="454"/>
      <c r="Z1019" s="454"/>
      <c r="AA1019" s="454"/>
      <c r="AB1019" s="454"/>
    </row>
    <row r="1020" spans="1:28">
      <c r="A1020" s="331"/>
      <c r="B1020" s="332"/>
      <c r="C1020" s="454"/>
      <c r="D1020" s="334"/>
      <c r="E1020" s="333"/>
      <c r="F1020" s="334"/>
      <c r="G1020" s="334"/>
      <c r="H1020" s="454"/>
      <c r="I1020" s="455"/>
      <c r="J1020" s="456"/>
      <c r="K1020" s="456"/>
      <c r="L1020" s="454"/>
      <c r="M1020" s="454"/>
      <c r="N1020" s="454"/>
      <c r="O1020" s="454"/>
      <c r="P1020" s="454"/>
      <c r="Q1020" s="454"/>
      <c r="R1020" s="454"/>
      <c r="S1020" s="454"/>
      <c r="T1020" s="454"/>
      <c r="U1020" s="454"/>
      <c r="V1020" s="454"/>
      <c r="W1020" s="454"/>
      <c r="X1020" s="454"/>
      <c r="Y1020" s="454"/>
      <c r="Z1020" s="454"/>
      <c r="AA1020" s="454"/>
      <c r="AB1020" s="454"/>
    </row>
    <row r="1021" spans="1:28">
      <c r="A1021" s="331"/>
      <c r="B1021" s="332"/>
      <c r="C1021" s="454"/>
      <c r="D1021" s="334"/>
      <c r="E1021" s="333"/>
      <c r="F1021" s="334"/>
      <c r="G1021" s="334"/>
      <c r="H1021" s="454"/>
      <c r="I1021" s="455"/>
      <c r="J1021" s="456"/>
      <c r="K1021" s="456"/>
      <c r="L1021" s="454"/>
      <c r="M1021" s="454"/>
      <c r="N1021" s="454"/>
      <c r="O1021" s="454"/>
      <c r="P1021" s="454"/>
      <c r="Q1021" s="454"/>
      <c r="R1021" s="454"/>
      <c r="S1021" s="454"/>
      <c r="T1021" s="454"/>
      <c r="U1021" s="454"/>
      <c r="V1021" s="454"/>
      <c r="W1021" s="454"/>
      <c r="X1021" s="454"/>
      <c r="Y1021" s="454"/>
      <c r="Z1021" s="454"/>
      <c r="AA1021" s="454"/>
      <c r="AB1021" s="454"/>
    </row>
    <row r="1022" spans="1:28">
      <c r="A1022" s="331"/>
      <c r="B1022" s="332"/>
      <c r="C1022" s="454"/>
      <c r="D1022" s="334"/>
      <c r="E1022" s="333"/>
      <c r="F1022" s="334"/>
      <c r="G1022" s="334"/>
      <c r="H1022" s="454"/>
      <c r="I1022" s="455"/>
      <c r="J1022" s="456"/>
      <c r="K1022" s="456"/>
      <c r="L1022" s="454"/>
      <c r="M1022" s="454"/>
      <c r="N1022" s="454"/>
      <c r="O1022" s="454"/>
      <c r="P1022" s="454"/>
      <c r="Q1022" s="454"/>
      <c r="R1022" s="454"/>
      <c r="S1022" s="454"/>
      <c r="T1022" s="454"/>
      <c r="U1022" s="454"/>
      <c r="V1022" s="454"/>
      <c r="W1022" s="454"/>
      <c r="X1022" s="454"/>
      <c r="Y1022" s="454"/>
      <c r="Z1022" s="454"/>
      <c r="AA1022" s="454"/>
      <c r="AB1022" s="454"/>
    </row>
    <row r="1023" spans="1:28">
      <c r="A1023" s="331"/>
      <c r="B1023" s="332"/>
      <c r="C1023" s="454"/>
      <c r="D1023" s="334"/>
      <c r="E1023" s="333"/>
      <c r="F1023" s="334"/>
      <c r="G1023" s="334"/>
      <c r="H1023" s="454"/>
      <c r="I1023" s="455"/>
      <c r="J1023" s="456"/>
      <c r="K1023" s="456"/>
      <c r="L1023" s="454"/>
      <c r="M1023" s="454"/>
      <c r="N1023" s="454"/>
      <c r="O1023" s="454"/>
      <c r="P1023" s="454"/>
      <c r="Q1023" s="454"/>
      <c r="R1023" s="454"/>
      <c r="S1023" s="454"/>
      <c r="T1023" s="454"/>
      <c r="U1023" s="454"/>
      <c r="V1023" s="454"/>
      <c r="W1023" s="454"/>
      <c r="X1023" s="454"/>
      <c r="Y1023" s="454"/>
      <c r="Z1023" s="454"/>
      <c r="AA1023" s="454"/>
      <c r="AB1023" s="454"/>
    </row>
    <row r="1024" spans="1:28">
      <c r="A1024" s="331"/>
      <c r="B1024" s="332"/>
      <c r="C1024" s="454"/>
      <c r="D1024" s="334"/>
      <c r="E1024" s="333"/>
      <c r="F1024" s="334"/>
      <c r="G1024" s="334"/>
      <c r="H1024" s="454"/>
      <c r="I1024" s="455"/>
      <c r="J1024" s="456"/>
      <c r="K1024" s="456"/>
      <c r="L1024" s="454"/>
      <c r="M1024" s="454"/>
      <c r="N1024" s="454"/>
      <c r="O1024" s="454"/>
      <c r="P1024" s="454"/>
      <c r="Q1024" s="454"/>
      <c r="R1024" s="454"/>
      <c r="S1024" s="454"/>
      <c r="T1024" s="454"/>
      <c r="U1024" s="454"/>
      <c r="V1024" s="454"/>
      <c r="W1024" s="454"/>
      <c r="X1024" s="454"/>
      <c r="Y1024" s="454"/>
      <c r="Z1024" s="454"/>
      <c r="AA1024" s="454"/>
      <c r="AB1024" s="454"/>
    </row>
    <row r="1025" spans="1:28">
      <c r="A1025" s="331"/>
      <c r="B1025" s="332"/>
      <c r="C1025" s="454"/>
      <c r="D1025" s="334"/>
      <c r="E1025" s="333"/>
      <c r="F1025" s="334"/>
      <c r="G1025" s="334"/>
      <c r="H1025" s="454"/>
      <c r="I1025" s="455"/>
      <c r="J1025" s="456"/>
      <c r="K1025" s="456"/>
      <c r="L1025" s="454"/>
      <c r="M1025" s="454"/>
      <c r="N1025" s="454"/>
      <c r="O1025" s="454"/>
      <c r="P1025" s="454"/>
      <c r="Q1025" s="454"/>
      <c r="R1025" s="454"/>
      <c r="S1025" s="454"/>
      <c r="T1025" s="454"/>
      <c r="U1025" s="454"/>
      <c r="V1025" s="454"/>
      <c r="W1025" s="454"/>
      <c r="X1025" s="454"/>
      <c r="Y1025" s="454"/>
      <c r="Z1025" s="454"/>
      <c r="AA1025" s="454"/>
      <c r="AB1025" s="454"/>
    </row>
    <row r="1026" spans="1:28">
      <c r="A1026" s="331"/>
      <c r="B1026" s="332"/>
      <c r="C1026" s="454"/>
      <c r="D1026" s="334"/>
      <c r="E1026" s="333"/>
      <c r="F1026" s="334"/>
      <c r="G1026" s="334"/>
      <c r="H1026" s="454"/>
      <c r="I1026" s="455"/>
      <c r="J1026" s="456"/>
      <c r="K1026" s="456"/>
      <c r="L1026" s="454"/>
      <c r="M1026" s="454"/>
      <c r="N1026" s="454"/>
      <c r="O1026" s="454"/>
      <c r="P1026" s="454"/>
      <c r="Q1026" s="454"/>
      <c r="R1026" s="454"/>
      <c r="S1026" s="454"/>
      <c r="T1026" s="454"/>
      <c r="U1026" s="454"/>
      <c r="V1026" s="454"/>
      <c r="W1026" s="454"/>
      <c r="X1026" s="454"/>
      <c r="Y1026" s="454"/>
      <c r="Z1026" s="454"/>
      <c r="AA1026" s="454"/>
      <c r="AB1026" s="454"/>
    </row>
    <row r="1027" spans="1:28">
      <c r="A1027" s="331"/>
      <c r="B1027" s="332"/>
      <c r="C1027" s="454"/>
      <c r="D1027" s="334"/>
      <c r="E1027" s="333"/>
      <c r="F1027" s="334"/>
      <c r="G1027" s="334"/>
      <c r="H1027" s="454"/>
      <c r="I1027" s="455"/>
      <c r="J1027" s="456"/>
      <c r="K1027" s="456"/>
      <c r="L1027" s="454"/>
      <c r="M1027" s="454"/>
      <c r="N1027" s="454"/>
      <c r="O1027" s="454"/>
      <c r="P1027" s="454"/>
      <c r="Q1027" s="454"/>
      <c r="R1027" s="454"/>
      <c r="S1027" s="454"/>
      <c r="T1027" s="454"/>
      <c r="U1027" s="454"/>
      <c r="V1027" s="454"/>
      <c r="W1027" s="454"/>
      <c r="X1027" s="454"/>
      <c r="Y1027" s="454"/>
      <c r="Z1027" s="454"/>
      <c r="AA1027" s="454"/>
      <c r="AB1027" s="454"/>
    </row>
    <row r="1028" spans="1:28">
      <c r="A1028" s="331"/>
      <c r="B1028" s="332"/>
      <c r="C1028" s="454"/>
      <c r="D1028" s="334"/>
      <c r="E1028" s="333"/>
      <c r="F1028" s="334"/>
      <c r="G1028" s="334"/>
      <c r="H1028" s="454"/>
      <c r="I1028" s="455"/>
      <c r="J1028" s="456"/>
      <c r="K1028" s="456"/>
      <c r="L1028" s="454"/>
      <c r="M1028" s="454"/>
      <c r="N1028" s="454"/>
      <c r="O1028" s="454"/>
      <c r="P1028" s="454"/>
      <c r="Q1028" s="454"/>
      <c r="R1028" s="454"/>
      <c r="S1028" s="454"/>
      <c r="T1028" s="454"/>
      <c r="U1028" s="454"/>
      <c r="V1028" s="454"/>
      <c r="W1028" s="454"/>
      <c r="X1028" s="454"/>
      <c r="Y1028" s="454"/>
      <c r="Z1028" s="454"/>
      <c r="AA1028" s="454"/>
      <c r="AB1028" s="454"/>
    </row>
    <row r="1029" spans="1:28">
      <c r="A1029" s="331"/>
      <c r="B1029" s="332"/>
      <c r="C1029" s="454"/>
      <c r="D1029" s="334"/>
      <c r="E1029" s="333"/>
      <c r="F1029" s="334"/>
      <c r="G1029" s="334"/>
      <c r="H1029" s="454"/>
      <c r="I1029" s="455"/>
      <c r="J1029" s="456"/>
      <c r="K1029" s="456"/>
      <c r="L1029" s="454"/>
      <c r="M1029" s="454"/>
      <c r="N1029" s="454"/>
      <c r="O1029" s="454"/>
      <c r="P1029" s="454"/>
      <c r="Q1029" s="454"/>
      <c r="R1029" s="454"/>
      <c r="S1029" s="454"/>
      <c r="T1029" s="454"/>
      <c r="U1029" s="454"/>
      <c r="V1029" s="454"/>
      <c r="W1029" s="454"/>
      <c r="X1029" s="454"/>
      <c r="Y1029" s="454"/>
      <c r="Z1029" s="454"/>
      <c r="AA1029" s="454"/>
      <c r="AB1029" s="454"/>
    </row>
    <row r="1030" spans="1:28">
      <c r="A1030" s="331"/>
      <c r="B1030" s="332"/>
      <c r="C1030" s="454"/>
      <c r="D1030" s="334"/>
      <c r="E1030" s="333"/>
      <c r="F1030" s="334"/>
      <c r="G1030" s="336"/>
      <c r="H1030" s="454"/>
      <c r="I1030" s="455"/>
      <c r="J1030" s="456"/>
      <c r="K1030" s="456"/>
      <c r="L1030" s="454"/>
      <c r="M1030" s="454"/>
      <c r="N1030" s="454"/>
      <c r="O1030" s="454"/>
      <c r="P1030" s="454"/>
      <c r="Q1030" s="454"/>
      <c r="R1030" s="454"/>
      <c r="S1030" s="454"/>
      <c r="T1030" s="454"/>
      <c r="U1030" s="454"/>
      <c r="V1030" s="454"/>
      <c r="W1030" s="454"/>
      <c r="X1030" s="454"/>
      <c r="Y1030" s="454"/>
      <c r="Z1030" s="454"/>
      <c r="AA1030" s="454"/>
      <c r="AB1030" s="454"/>
    </row>
    <row r="1031" spans="1:28">
      <c r="A1031" s="331"/>
      <c r="B1031" s="332"/>
      <c r="C1031" s="454"/>
      <c r="D1031" s="334"/>
      <c r="E1031" s="333"/>
      <c r="F1031" s="333"/>
      <c r="G1031" s="336"/>
      <c r="H1031" s="454"/>
      <c r="I1031" s="455"/>
      <c r="J1031" s="456"/>
      <c r="K1031" s="456"/>
      <c r="L1031" s="454"/>
      <c r="M1031" s="454"/>
      <c r="N1031" s="454"/>
      <c r="O1031" s="454"/>
      <c r="P1031" s="454"/>
      <c r="Q1031" s="454"/>
      <c r="R1031" s="454"/>
      <c r="S1031" s="454"/>
      <c r="T1031" s="454"/>
      <c r="U1031" s="454"/>
      <c r="V1031" s="454"/>
      <c r="W1031" s="454"/>
      <c r="X1031" s="454"/>
      <c r="Y1031" s="454"/>
      <c r="Z1031" s="454"/>
      <c r="AA1031" s="454"/>
      <c r="AB1031" s="454"/>
    </row>
    <row r="1032" spans="1:28">
      <c r="A1032" s="331"/>
      <c r="B1032" s="332"/>
      <c r="C1032" s="454"/>
      <c r="D1032" s="334"/>
      <c r="E1032" s="333"/>
      <c r="F1032" s="334"/>
      <c r="G1032" s="336"/>
      <c r="H1032" s="454"/>
      <c r="I1032" s="455"/>
      <c r="J1032" s="456"/>
      <c r="K1032" s="456"/>
      <c r="L1032" s="454"/>
      <c r="M1032" s="454"/>
      <c r="N1032" s="454"/>
      <c r="O1032" s="454"/>
      <c r="P1032" s="454"/>
      <c r="Q1032" s="454"/>
      <c r="R1032" s="454"/>
      <c r="S1032" s="454"/>
      <c r="T1032" s="454"/>
      <c r="U1032" s="454"/>
      <c r="V1032" s="454"/>
      <c r="W1032" s="454"/>
      <c r="X1032" s="454"/>
      <c r="Y1032" s="454"/>
      <c r="Z1032" s="454"/>
      <c r="AA1032" s="454"/>
      <c r="AB1032" s="454"/>
    </row>
    <row r="1033" spans="1:28">
      <c r="A1033" s="331"/>
      <c r="B1033" s="332"/>
      <c r="C1033" s="454"/>
      <c r="D1033" s="334"/>
      <c r="E1033" s="333"/>
      <c r="F1033" s="334"/>
      <c r="G1033" s="336"/>
      <c r="H1033" s="454"/>
      <c r="I1033" s="455"/>
      <c r="J1033" s="456"/>
      <c r="K1033" s="456"/>
      <c r="L1033" s="454"/>
      <c r="M1033" s="454"/>
      <c r="N1033" s="454"/>
      <c r="O1033" s="454"/>
      <c r="P1033" s="454"/>
      <c r="Q1033" s="454"/>
      <c r="R1033" s="454"/>
      <c r="S1033" s="454"/>
      <c r="T1033" s="454"/>
      <c r="U1033" s="454"/>
      <c r="V1033" s="454"/>
      <c r="W1033" s="454"/>
      <c r="X1033" s="454"/>
      <c r="Y1033" s="454"/>
      <c r="Z1033" s="454"/>
      <c r="AA1033" s="454"/>
      <c r="AB1033" s="454"/>
    </row>
    <row r="1034" spans="1:28">
      <c r="A1034" s="331"/>
      <c r="B1034" s="332"/>
      <c r="C1034" s="454"/>
      <c r="D1034" s="336"/>
      <c r="E1034" s="333"/>
      <c r="F1034" s="336"/>
      <c r="G1034" s="336"/>
      <c r="H1034" s="454"/>
      <c r="I1034" s="455"/>
      <c r="J1034" s="456"/>
      <c r="K1034" s="456"/>
      <c r="L1034" s="454"/>
      <c r="M1034" s="454"/>
      <c r="N1034" s="454"/>
      <c r="O1034" s="454"/>
      <c r="P1034" s="454"/>
      <c r="Q1034" s="454"/>
      <c r="R1034" s="454"/>
      <c r="S1034" s="454"/>
      <c r="T1034" s="454"/>
      <c r="U1034" s="454"/>
      <c r="V1034" s="454"/>
      <c r="W1034" s="454"/>
      <c r="X1034" s="454"/>
      <c r="Y1034" s="454"/>
      <c r="Z1034" s="454"/>
      <c r="AA1034" s="454"/>
      <c r="AB1034" s="454"/>
    </row>
    <row r="1035" spans="1:28">
      <c r="A1035" s="331"/>
      <c r="B1035" s="332"/>
      <c r="C1035" s="454"/>
      <c r="D1035" s="334"/>
      <c r="E1035" s="333"/>
      <c r="F1035" s="334"/>
      <c r="G1035" s="336"/>
      <c r="H1035" s="454"/>
      <c r="I1035" s="455"/>
      <c r="J1035" s="456"/>
      <c r="K1035" s="456"/>
      <c r="L1035" s="454"/>
      <c r="M1035" s="454"/>
      <c r="N1035" s="454"/>
      <c r="O1035" s="454"/>
      <c r="P1035" s="454"/>
      <c r="Q1035" s="454"/>
      <c r="R1035" s="454"/>
      <c r="S1035" s="454"/>
      <c r="T1035" s="454"/>
      <c r="U1035" s="454"/>
      <c r="V1035" s="454"/>
      <c r="W1035" s="454"/>
      <c r="X1035" s="454"/>
      <c r="Y1035" s="454"/>
      <c r="Z1035" s="454"/>
      <c r="AA1035" s="454"/>
      <c r="AB1035" s="454"/>
    </row>
    <row r="1036" spans="1:28">
      <c r="A1036" s="331"/>
      <c r="B1036" s="332"/>
      <c r="C1036" s="454"/>
      <c r="D1036" s="334"/>
      <c r="E1036" s="333"/>
      <c r="F1036" s="334"/>
      <c r="G1036" s="334"/>
      <c r="H1036" s="454"/>
      <c r="I1036" s="455"/>
      <c r="J1036" s="456"/>
      <c r="K1036" s="456"/>
      <c r="L1036" s="454"/>
      <c r="M1036" s="454"/>
      <c r="N1036" s="454"/>
      <c r="O1036" s="454"/>
      <c r="P1036" s="454"/>
      <c r="Q1036" s="454"/>
      <c r="R1036" s="454"/>
      <c r="S1036" s="454"/>
      <c r="T1036" s="454"/>
      <c r="U1036" s="454"/>
      <c r="V1036" s="454"/>
      <c r="W1036" s="454"/>
      <c r="X1036" s="454"/>
      <c r="Y1036" s="454"/>
      <c r="Z1036" s="454"/>
      <c r="AA1036" s="454"/>
      <c r="AB1036" s="454"/>
    </row>
    <row r="1037" spans="1:28">
      <c r="A1037" s="331"/>
      <c r="B1037" s="332"/>
      <c r="C1037" s="454"/>
      <c r="D1037" s="334"/>
      <c r="E1037" s="333"/>
      <c r="F1037" s="334"/>
      <c r="G1037" s="334"/>
      <c r="H1037" s="454"/>
      <c r="I1037" s="455"/>
      <c r="J1037" s="456"/>
      <c r="K1037" s="456"/>
      <c r="L1037" s="454"/>
      <c r="M1037" s="454"/>
      <c r="N1037" s="454"/>
      <c r="O1037" s="454"/>
      <c r="P1037" s="454"/>
      <c r="Q1037" s="454"/>
      <c r="R1037" s="454"/>
      <c r="S1037" s="454"/>
      <c r="T1037" s="454"/>
      <c r="U1037" s="454"/>
      <c r="V1037" s="454"/>
      <c r="W1037" s="454"/>
      <c r="X1037" s="454"/>
      <c r="Y1037" s="454"/>
      <c r="Z1037" s="454"/>
      <c r="AA1037" s="454"/>
      <c r="AB1037" s="454"/>
    </row>
    <row r="1038" spans="1:28">
      <c r="A1038" s="331"/>
      <c r="B1038" s="332"/>
      <c r="C1038" s="454"/>
      <c r="D1038" s="334"/>
      <c r="E1038" s="333"/>
      <c r="F1038" s="334"/>
      <c r="G1038" s="334"/>
      <c r="H1038" s="454"/>
      <c r="I1038" s="455"/>
      <c r="J1038" s="456"/>
      <c r="K1038" s="456"/>
      <c r="L1038" s="454"/>
      <c r="M1038" s="454"/>
      <c r="N1038" s="454"/>
      <c r="O1038" s="454"/>
      <c r="P1038" s="454"/>
      <c r="Q1038" s="454"/>
      <c r="R1038" s="454"/>
      <c r="S1038" s="454"/>
      <c r="T1038" s="454"/>
      <c r="U1038" s="454"/>
      <c r="V1038" s="454"/>
      <c r="W1038" s="454"/>
      <c r="X1038" s="454"/>
      <c r="Y1038" s="454"/>
      <c r="Z1038" s="454"/>
      <c r="AA1038" s="454"/>
      <c r="AB1038" s="454"/>
    </row>
    <row r="1039" spans="1:28">
      <c r="A1039" s="331"/>
      <c r="B1039" s="332"/>
      <c r="C1039" s="454"/>
      <c r="D1039" s="334"/>
      <c r="E1039" s="333"/>
      <c r="F1039" s="334"/>
      <c r="G1039" s="334"/>
      <c r="H1039" s="454"/>
      <c r="I1039" s="455"/>
      <c r="J1039" s="456"/>
      <c r="K1039" s="456"/>
      <c r="L1039" s="454"/>
      <c r="M1039" s="454"/>
      <c r="N1039" s="454"/>
      <c r="O1039" s="454"/>
      <c r="P1039" s="454"/>
      <c r="Q1039" s="454"/>
      <c r="R1039" s="454"/>
      <c r="S1039" s="454"/>
      <c r="T1039" s="454"/>
      <c r="U1039" s="454"/>
      <c r="V1039" s="454"/>
      <c r="W1039" s="454"/>
      <c r="X1039" s="454"/>
      <c r="Y1039" s="454"/>
      <c r="Z1039" s="454"/>
      <c r="AA1039" s="454"/>
      <c r="AB1039" s="454"/>
    </row>
    <row r="1040" spans="1:28">
      <c r="A1040" s="331"/>
      <c r="B1040" s="332"/>
      <c r="C1040" s="454"/>
      <c r="D1040" s="334"/>
      <c r="E1040" s="333"/>
      <c r="F1040" s="334"/>
      <c r="G1040" s="334"/>
      <c r="H1040" s="454"/>
      <c r="I1040" s="455"/>
      <c r="J1040" s="456"/>
      <c r="K1040" s="456"/>
      <c r="L1040" s="454"/>
      <c r="M1040" s="454"/>
      <c r="N1040" s="454"/>
      <c r="O1040" s="454"/>
      <c r="P1040" s="454"/>
      <c r="Q1040" s="454"/>
      <c r="R1040" s="454"/>
      <c r="S1040" s="454"/>
      <c r="T1040" s="454"/>
      <c r="U1040" s="454"/>
      <c r="V1040" s="454"/>
      <c r="W1040" s="454"/>
      <c r="X1040" s="454"/>
      <c r="Y1040" s="454"/>
      <c r="Z1040" s="454"/>
      <c r="AA1040" s="454"/>
      <c r="AB1040" s="454"/>
    </row>
    <row r="1041" spans="1:28">
      <c r="A1041" s="331"/>
      <c r="B1041" s="332"/>
      <c r="C1041" s="454"/>
      <c r="D1041" s="333"/>
      <c r="E1041" s="333"/>
      <c r="F1041" s="333"/>
      <c r="G1041" s="333"/>
      <c r="H1041" s="454"/>
      <c r="I1041" s="455"/>
      <c r="J1041" s="456"/>
      <c r="K1041" s="456"/>
      <c r="L1041" s="454"/>
      <c r="M1041" s="454"/>
      <c r="N1041" s="454"/>
      <c r="O1041" s="454"/>
      <c r="P1041" s="454"/>
      <c r="Q1041" s="454"/>
      <c r="R1041" s="454"/>
      <c r="S1041" s="454"/>
      <c r="T1041" s="454"/>
      <c r="U1041" s="454"/>
      <c r="V1041" s="454"/>
      <c r="W1041" s="454"/>
      <c r="X1041" s="454"/>
      <c r="Y1041" s="454"/>
      <c r="Z1041" s="454"/>
      <c r="AA1041" s="454"/>
      <c r="AB1041" s="454"/>
    </row>
    <row r="1042" spans="1:28">
      <c r="A1042" s="331"/>
      <c r="B1042" s="332"/>
      <c r="C1042" s="454"/>
      <c r="D1042" s="333"/>
      <c r="E1042" s="333"/>
      <c r="F1042" s="333"/>
      <c r="G1042" s="333"/>
      <c r="H1042" s="454"/>
      <c r="I1042" s="455"/>
      <c r="J1042" s="456"/>
      <c r="K1042" s="456"/>
      <c r="L1042" s="454"/>
      <c r="M1042" s="454"/>
      <c r="N1042" s="454"/>
      <c r="O1042" s="454"/>
      <c r="P1042" s="454"/>
      <c r="Q1042" s="454"/>
      <c r="R1042" s="454"/>
      <c r="S1042" s="454"/>
      <c r="T1042" s="454"/>
      <c r="U1042" s="454"/>
      <c r="V1042" s="454"/>
      <c r="W1042" s="454"/>
      <c r="X1042" s="454"/>
      <c r="Y1042" s="454"/>
      <c r="Z1042" s="454"/>
      <c r="AA1042" s="454"/>
      <c r="AB1042" s="454"/>
    </row>
    <row r="1043" spans="1:28">
      <c r="A1043" s="331"/>
      <c r="B1043" s="332"/>
      <c r="C1043" s="454"/>
      <c r="D1043" s="333"/>
      <c r="E1043" s="333"/>
      <c r="F1043" s="333"/>
      <c r="G1043" s="333"/>
      <c r="H1043" s="454"/>
      <c r="I1043" s="455"/>
      <c r="J1043" s="456"/>
      <c r="K1043" s="456"/>
      <c r="L1043" s="454"/>
      <c r="M1043" s="454"/>
      <c r="N1043" s="454"/>
      <c r="O1043" s="454"/>
      <c r="P1043" s="454"/>
      <c r="Q1043" s="454"/>
      <c r="R1043" s="454"/>
      <c r="S1043" s="454"/>
      <c r="T1043" s="454"/>
      <c r="U1043" s="454"/>
      <c r="V1043" s="454"/>
      <c r="W1043" s="454"/>
      <c r="X1043" s="454"/>
      <c r="Y1043" s="454"/>
      <c r="Z1043" s="454"/>
      <c r="AA1043" s="454"/>
      <c r="AB1043" s="454"/>
    </row>
    <row r="1044" spans="1:28">
      <c r="A1044" s="331"/>
      <c r="B1044" s="332"/>
      <c r="C1044" s="454"/>
      <c r="D1044" s="333"/>
      <c r="E1044" s="333"/>
      <c r="F1044" s="333"/>
      <c r="G1044" s="333"/>
      <c r="H1044" s="454"/>
      <c r="I1044" s="455"/>
      <c r="J1044" s="456"/>
      <c r="K1044" s="456"/>
      <c r="L1044" s="454"/>
      <c r="M1044" s="454"/>
      <c r="N1044" s="454"/>
      <c r="O1044" s="454"/>
      <c r="P1044" s="454"/>
      <c r="Q1044" s="454"/>
      <c r="R1044" s="454"/>
      <c r="S1044" s="454"/>
      <c r="T1044" s="454"/>
      <c r="U1044" s="454"/>
      <c r="V1044" s="454"/>
      <c r="W1044" s="454"/>
      <c r="X1044" s="454"/>
      <c r="Y1044" s="454"/>
      <c r="Z1044" s="454"/>
      <c r="AA1044" s="454"/>
      <c r="AB1044" s="454"/>
    </row>
    <row r="1045" spans="1:28">
      <c r="A1045" s="331"/>
      <c r="B1045" s="332"/>
      <c r="C1045" s="454"/>
      <c r="D1045" s="333"/>
      <c r="E1045" s="333"/>
      <c r="F1045" s="333"/>
      <c r="G1045" s="333"/>
      <c r="H1045" s="454"/>
      <c r="I1045" s="455"/>
      <c r="J1045" s="456"/>
      <c r="K1045" s="456"/>
      <c r="L1045" s="454"/>
      <c r="M1045" s="454"/>
      <c r="N1045" s="454"/>
      <c r="O1045" s="454"/>
      <c r="P1045" s="454"/>
      <c r="Q1045" s="454"/>
      <c r="R1045" s="454"/>
      <c r="S1045" s="454"/>
      <c r="T1045" s="454"/>
      <c r="U1045" s="454"/>
      <c r="V1045" s="454"/>
      <c r="W1045" s="454"/>
      <c r="X1045" s="454"/>
      <c r="Y1045" s="454"/>
      <c r="Z1045" s="454"/>
      <c r="AA1045" s="454"/>
      <c r="AB1045" s="454"/>
    </row>
    <row r="1046" spans="1:28">
      <c r="A1046" s="331"/>
      <c r="B1046" s="332"/>
      <c r="C1046" s="454"/>
      <c r="D1046" s="333"/>
      <c r="E1046" s="333"/>
      <c r="F1046" s="333"/>
      <c r="G1046" s="333"/>
      <c r="H1046" s="454"/>
      <c r="I1046" s="455"/>
      <c r="J1046" s="456"/>
      <c r="K1046" s="456"/>
      <c r="L1046" s="454"/>
      <c r="M1046" s="454"/>
      <c r="N1046" s="454"/>
      <c r="O1046" s="454"/>
      <c r="P1046" s="454"/>
      <c r="Q1046" s="454"/>
      <c r="R1046" s="454"/>
      <c r="S1046" s="454"/>
      <c r="T1046" s="454"/>
      <c r="U1046" s="454"/>
      <c r="V1046" s="454"/>
      <c r="W1046" s="454"/>
      <c r="X1046" s="454"/>
      <c r="Y1046" s="454"/>
      <c r="Z1046" s="454"/>
      <c r="AA1046" s="454"/>
      <c r="AB1046" s="454"/>
    </row>
    <row r="1047" spans="1:28">
      <c r="A1047" s="331"/>
      <c r="B1047" s="332"/>
      <c r="C1047" s="454"/>
      <c r="D1047" s="333"/>
      <c r="E1047" s="333"/>
      <c r="F1047" s="333"/>
      <c r="G1047" s="333"/>
      <c r="H1047" s="454"/>
      <c r="I1047" s="455"/>
      <c r="J1047" s="456"/>
      <c r="K1047" s="456"/>
      <c r="L1047" s="454"/>
      <c r="M1047" s="454"/>
      <c r="N1047" s="454"/>
      <c r="O1047" s="454"/>
      <c r="P1047" s="454"/>
      <c r="Q1047" s="454"/>
      <c r="R1047" s="454"/>
      <c r="S1047" s="454"/>
      <c r="T1047" s="454"/>
      <c r="U1047" s="454"/>
      <c r="V1047" s="454"/>
      <c r="W1047" s="454"/>
      <c r="X1047" s="454"/>
      <c r="Y1047" s="454"/>
      <c r="Z1047" s="454"/>
      <c r="AA1047" s="454"/>
      <c r="AB1047" s="454"/>
    </row>
    <row r="1048" spans="1:28">
      <c r="A1048" s="331"/>
      <c r="B1048" s="332"/>
      <c r="C1048" s="454"/>
      <c r="D1048" s="333"/>
      <c r="E1048" s="333"/>
      <c r="F1048" s="333"/>
      <c r="G1048" s="333"/>
      <c r="H1048" s="454"/>
      <c r="I1048" s="455"/>
      <c r="J1048" s="456"/>
      <c r="K1048" s="456"/>
      <c r="L1048" s="454"/>
      <c r="M1048" s="454"/>
      <c r="N1048" s="454"/>
      <c r="O1048" s="454"/>
      <c r="P1048" s="454"/>
      <c r="Q1048" s="454"/>
      <c r="R1048" s="454"/>
      <c r="S1048" s="454"/>
      <c r="T1048" s="454"/>
      <c r="U1048" s="454"/>
      <c r="V1048" s="454"/>
      <c r="W1048" s="454"/>
      <c r="X1048" s="454"/>
      <c r="Y1048" s="454"/>
      <c r="Z1048" s="454"/>
      <c r="AA1048" s="454"/>
      <c r="AB1048" s="454"/>
    </row>
    <row r="1049" spans="1:28">
      <c r="A1049" s="331"/>
      <c r="B1049" s="332"/>
      <c r="C1049" s="454"/>
      <c r="D1049" s="333"/>
      <c r="E1049" s="333"/>
      <c r="F1049" s="333"/>
      <c r="G1049" s="333"/>
      <c r="H1049" s="454"/>
      <c r="I1049" s="455"/>
      <c r="J1049" s="456"/>
      <c r="K1049" s="456"/>
      <c r="L1049" s="454"/>
      <c r="M1049" s="454"/>
      <c r="N1049" s="454"/>
      <c r="O1049" s="454"/>
      <c r="P1049" s="454"/>
      <c r="Q1049" s="454"/>
      <c r="R1049" s="454"/>
      <c r="S1049" s="454"/>
      <c r="T1049" s="454"/>
      <c r="U1049" s="454"/>
      <c r="V1049" s="454"/>
      <c r="W1049" s="454"/>
      <c r="X1049" s="454"/>
      <c r="Y1049" s="454"/>
      <c r="Z1049" s="454"/>
      <c r="AA1049" s="454"/>
      <c r="AB1049" s="454"/>
    </row>
    <row r="1050" spans="1:28">
      <c r="A1050" s="331"/>
      <c r="B1050" s="332"/>
      <c r="C1050" s="454"/>
      <c r="D1050" s="333"/>
      <c r="E1050" s="333"/>
      <c r="F1050" s="333"/>
      <c r="G1050" s="333"/>
      <c r="H1050" s="454"/>
      <c r="I1050" s="455"/>
      <c r="J1050" s="456"/>
      <c r="K1050" s="456"/>
      <c r="L1050" s="454"/>
      <c r="M1050" s="454"/>
      <c r="N1050" s="454"/>
      <c r="O1050" s="454"/>
      <c r="P1050" s="454"/>
      <c r="Q1050" s="454"/>
      <c r="R1050" s="454"/>
      <c r="S1050" s="454"/>
      <c r="T1050" s="454"/>
      <c r="U1050" s="454"/>
      <c r="V1050" s="454"/>
      <c r="W1050" s="454"/>
      <c r="X1050" s="454"/>
      <c r="Y1050" s="454"/>
      <c r="Z1050" s="454"/>
      <c r="AA1050" s="454"/>
      <c r="AB1050" s="454"/>
    </row>
    <row r="1051" spans="1:28">
      <c r="A1051" s="331"/>
      <c r="B1051" s="332"/>
      <c r="C1051" s="454"/>
      <c r="D1051" s="334"/>
      <c r="E1051" s="333"/>
      <c r="F1051" s="334"/>
      <c r="G1051" s="334"/>
      <c r="H1051" s="454"/>
      <c r="I1051" s="455"/>
      <c r="J1051" s="456"/>
      <c r="K1051" s="456"/>
      <c r="L1051" s="454"/>
      <c r="M1051" s="454"/>
      <c r="N1051" s="454"/>
      <c r="O1051" s="454"/>
      <c r="P1051" s="454"/>
      <c r="Q1051" s="454"/>
      <c r="R1051" s="454"/>
      <c r="S1051" s="454"/>
      <c r="T1051" s="454"/>
      <c r="U1051" s="454"/>
      <c r="V1051" s="454"/>
      <c r="W1051" s="454"/>
      <c r="X1051" s="454"/>
      <c r="Y1051" s="454"/>
      <c r="Z1051" s="454"/>
      <c r="AA1051" s="454"/>
      <c r="AB1051" s="454"/>
    </row>
    <row r="1052" spans="1:28">
      <c r="A1052" s="331"/>
      <c r="B1052" s="332"/>
      <c r="C1052" s="454"/>
      <c r="D1052" s="334"/>
      <c r="E1052" s="333"/>
      <c r="F1052" s="334"/>
      <c r="G1052" s="334"/>
      <c r="H1052" s="454"/>
      <c r="I1052" s="455"/>
      <c r="J1052" s="456"/>
      <c r="K1052" s="456"/>
      <c r="L1052" s="454"/>
      <c r="M1052" s="454"/>
      <c r="N1052" s="454"/>
      <c r="O1052" s="454"/>
      <c r="P1052" s="454"/>
      <c r="Q1052" s="454"/>
      <c r="R1052" s="454"/>
      <c r="S1052" s="454"/>
      <c r="T1052" s="454"/>
      <c r="U1052" s="454"/>
      <c r="V1052" s="454"/>
      <c r="W1052" s="454"/>
      <c r="X1052" s="454"/>
      <c r="Y1052" s="454"/>
      <c r="Z1052" s="454"/>
      <c r="AA1052" s="454"/>
      <c r="AB1052" s="454"/>
    </row>
    <row r="1053" spans="1:28">
      <c r="A1053" s="331"/>
      <c r="B1053" s="332"/>
      <c r="C1053" s="454"/>
      <c r="D1053" s="333"/>
      <c r="E1053" s="333"/>
      <c r="F1053" s="333"/>
      <c r="G1053" s="333"/>
      <c r="H1053" s="454"/>
      <c r="I1053" s="455"/>
      <c r="J1053" s="456"/>
      <c r="K1053" s="456"/>
      <c r="L1053" s="454"/>
      <c r="M1053" s="454"/>
      <c r="N1053" s="454"/>
      <c r="O1053" s="454"/>
      <c r="P1053" s="454"/>
      <c r="Q1053" s="454"/>
      <c r="R1053" s="454"/>
      <c r="S1053" s="454"/>
      <c r="T1053" s="454"/>
      <c r="U1053" s="454"/>
      <c r="V1053" s="454"/>
      <c r="W1053" s="454"/>
      <c r="X1053" s="454"/>
      <c r="Y1053" s="454"/>
      <c r="Z1053" s="454"/>
      <c r="AA1053" s="454"/>
      <c r="AB1053" s="454"/>
    </row>
    <row r="1054" spans="1:28">
      <c r="A1054" s="331"/>
      <c r="B1054" s="332"/>
      <c r="C1054" s="454"/>
      <c r="D1054" s="333"/>
      <c r="E1054" s="333"/>
      <c r="F1054" s="333"/>
      <c r="G1054" s="333"/>
      <c r="H1054" s="454"/>
      <c r="I1054" s="455"/>
      <c r="J1054" s="456"/>
      <c r="K1054" s="456"/>
      <c r="L1054" s="454"/>
      <c r="M1054" s="454"/>
      <c r="N1054" s="454"/>
      <c r="O1054" s="454"/>
      <c r="P1054" s="454"/>
      <c r="Q1054" s="454"/>
      <c r="R1054" s="454"/>
      <c r="S1054" s="454"/>
      <c r="T1054" s="454"/>
      <c r="U1054" s="454"/>
      <c r="V1054" s="454"/>
      <c r="W1054" s="454"/>
      <c r="X1054" s="454"/>
      <c r="Y1054" s="454"/>
      <c r="Z1054" s="454"/>
      <c r="AA1054" s="454"/>
      <c r="AB1054" s="454"/>
    </row>
    <row r="1055" spans="1:28">
      <c r="A1055" s="331"/>
      <c r="B1055" s="332"/>
      <c r="C1055" s="454"/>
      <c r="D1055" s="333"/>
      <c r="E1055" s="333"/>
      <c r="F1055" s="333"/>
      <c r="G1055" s="333"/>
      <c r="H1055" s="454"/>
      <c r="I1055" s="455"/>
      <c r="J1055" s="456"/>
      <c r="K1055" s="456"/>
      <c r="L1055" s="454"/>
      <c r="M1055" s="454"/>
      <c r="N1055" s="454"/>
      <c r="O1055" s="454"/>
      <c r="P1055" s="454"/>
      <c r="Q1055" s="454"/>
      <c r="R1055" s="454"/>
      <c r="S1055" s="454"/>
      <c r="T1055" s="454"/>
      <c r="U1055" s="454"/>
      <c r="V1055" s="454"/>
      <c r="W1055" s="454"/>
      <c r="X1055" s="454"/>
      <c r="Y1055" s="454"/>
      <c r="Z1055" s="454"/>
      <c r="AA1055" s="454"/>
      <c r="AB1055" s="454"/>
    </row>
    <row r="1056" spans="1:28">
      <c r="A1056" s="331"/>
      <c r="B1056" s="332"/>
      <c r="C1056" s="454"/>
      <c r="D1056" s="333"/>
      <c r="E1056" s="333"/>
      <c r="F1056" s="333"/>
      <c r="G1056" s="333"/>
      <c r="H1056" s="454"/>
      <c r="I1056" s="455"/>
      <c r="J1056" s="456"/>
      <c r="K1056" s="456"/>
      <c r="L1056" s="454"/>
      <c r="M1056" s="454"/>
      <c r="N1056" s="454"/>
      <c r="O1056" s="454"/>
      <c r="P1056" s="454"/>
      <c r="Q1056" s="454"/>
      <c r="R1056" s="454"/>
      <c r="S1056" s="454"/>
      <c r="T1056" s="454"/>
      <c r="U1056" s="454"/>
      <c r="V1056" s="454"/>
      <c r="W1056" s="454"/>
      <c r="X1056" s="454"/>
      <c r="Y1056" s="454"/>
      <c r="Z1056" s="454"/>
      <c r="AA1056" s="454"/>
      <c r="AB1056" s="454"/>
    </row>
    <row r="1057" spans="1:28">
      <c r="A1057" s="331"/>
      <c r="B1057" s="332"/>
      <c r="C1057" s="454"/>
      <c r="D1057" s="454"/>
      <c r="E1057" s="333"/>
      <c r="F1057" s="454"/>
      <c r="G1057" s="457"/>
      <c r="H1057" s="454"/>
      <c r="I1057" s="455"/>
      <c r="J1057" s="456"/>
      <c r="K1057" s="456"/>
      <c r="L1057" s="454"/>
      <c r="M1057" s="454"/>
      <c r="N1057" s="454"/>
      <c r="O1057" s="454"/>
      <c r="P1057" s="454"/>
      <c r="Q1057" s="454"/>
      <c r="R1057" s="454"/>
      <c r="S1057" s="454"/>
      <c r="T1057" s="454"/>
      <c r="U1057" s="454"/>
      <c r="V1057" s="454"/>
      <c r="W1057" s="454"/>
      <c r="X1057" s="454"/>
      <c r="Y1057" s="454"/>
      <c r="Z1057" s="454"/>
      <c r="AA1057" s="454"/>
      <c r="AB1057" s="454"/>
    </row>
    <row r="1058" spans="1:28">
      <c r="A1058" s="331"/>
      <c r="B1058" s="332"/>
      <c r="C1058" s="454"/>
      <c r="D1058" s="454"/>
      <c r="E1058" s="333"/>
      <c r="F1058" s="454"/>
      <c r="G1058" s="457"/>
      <c r="H1058" s="454"/>
      <c r="I1058" s="455"/>
      <c r="J1058" s="456"/>
      <c r="K1058" s="456"/>
      <c r="L1058" s="454"/>
      <c r="M1058" s="454"/>
      <c r="N1058" s="454"/>
      <c r="O1058" s="454"/>
      <c r="P1058" s="454"/>
      <c r="Q1058" s="454"/>
      <c r="R1058" s="454"/>
      <c r="S1058" s="454"/>
      <c r="T1058" s="454"/>
      <c r="U1058" s="454"/>
      <c r="V1058" s="454"/>
      <c r="W1058" s="454"/>
      <c r="X1058" s="454"/>
      <c r="Y1058" s="454"/>
      <c r="Z1058" s="454"/>
      <c r="AA1058" s="454"/>
      <c r="AB1058" s="454"/>
    </row>
    <row r="1059" spans="1:28">
      <c r="A1059" s="331"/>
      <c r="B1059" s="332"/>
      <c r="C1059" s="454"/>
      <c r="D1059" s="454"/>
      <c r="E1059" s="333"/>
      <c r="F1059" s="454"/>
      <c r="G1059" s="457"/>
      <c r="H1059" s="454"/>
      <c r="I1059" s="455"/>
      <c r="J1059" s="456"/>
      <c r="K1059" s="456"/>
      <c r="L1059" s="454"/>
      <c r="M1059" s="454"/>
      <c r="N1059" s="454"/>
      <c r="O1059" s="454"/>
      <c r="P1059" s="454"/>
      <c r="Q1059" s="454"/>
      <c r="R1059" s="454"/>
      <c r="S1059" s="454"/>
      <c r="T1059" s="454"/>
      <c r="U1059" s="454"/>
      <c r="V1059" s="454"/>
      <c r="W1059" s="454"/>
      <c r="X1059" s="454"/>
      <c r="Y1059" s="454"/>
      <c r="Z1059" s="454"/>
      <c r="AA1059" s="454"/>
      <c r="AB1059" s="454"/>
    </row>
    <row r="1060" spans="1:28">
      <c r="A1060" s="331"/>
      <c r="B1060" s="332"/>
      <c r="C1060" s="454"/>
      <c r="D1060" s="454"/>
      <c r="E1060" s="333"/>
      <c r="F1060" s="454"/>
      <c r="G1060" s="457"/>
      <c r="H1060" s="454"/>
      <c r="I1060" s="455"/>
      <c r="J1060" s="456"/>
      <c r="K1060" s="456"/>
      <c r="L1060" s="454"/>
      <c r="M1060" s="454"/>
      <c r="N1060" s="454"/>
      <c r="O1060" s="454"/>
      <c r="P1060" s="454"/>
      <c r="Q1060" s="454"/>
      <c r="R1060" s="454"/>
      <c r="S1060" s="454"/>
      <c r="T1060" s="454"/>
      <c r="U1060" s="454"/>
      <c r="V1060" s="454"/>
      <c r="W1060" s="454"/>
      <c r="X1060" s="454"/>
      <c r="Y1060" s="454"/>
      <c r="Z1060" s="454"/>
      <c r="AA1060" s="454"/>
      <c r="AB1060" s="454"/>
    </row>
    <row r="1061" spans="1:28">
      <c r="A1061" s="331"/>
      <c r="B1061" s="332"/>
      <c r="C1061" s="454"/>
      <c r="D1061" s="454"/>
      <c r="E1061" s="333"/>
      <c r="F1061" s="454"/>
      <c r="G1061" s="457"/>
      <c r="H1061" s="454"/>
      <c r="I1061" s="455"/>
      <c r="J1061" s="456"/>
      <c r="K1061" s="456"/>
      <c r="L1061" s="454"/>
      <c r="M1061" s="454"/>
      <c r="N1061" s="454"/>
      <c r="O1061" s="454"/>
      <c r="P1061" s="454"/>
      <c r="Q1061" s="454"/>
      <c r="R1061" s="454"/>
      <c r="S1061" s="454"/>
      <c r="T1061" s="454"/>
      <c r="U1061" s="454"/>
      <c r="V1061" s="454"/>
      <c r="W1061" s="454"/>
      <c r="X1061" s="454"/>
      <c r="Y1061" s="454"/>
      <c r="Z1061" s="454"/>
      <c r="AA1061" s="454"/>
      <c r="AB1061" s="454"/>
    </row>
    <row r="1062" spans="1:28">
      <c r="A1062" s="331"/>
      <c r="B1062" s="332"/>
      <c r="C1062" s="454"/>
      <c r="D1062" s="454"/>
      <c r="E1062" s="333"/>
      <c r="F1062" s="454"/>
      <c r="G1062" s="457"/>
      <c r="H1062" s="454"/>
      <c r="I1062" s="455"/>
      <c r="J1062" s="456"/>
      <c r="K1062" s="456"/>
      <c r="L1062" s="454"/>
      <c r="M1062" s="454"/>
      <c r="N1062" s="454"/>
      <c r="O1062" s="454"/>
      <c r="P1062" s="454"/>
      <c r="Q1062" s="454"/>
      <c r="R1062" s="454"/>
      <c r="S1062" s="454"/>
      <c r="T1062" s="454"/>
      <c r="U1062" s="454"/>
      <c r="V1062" s="454"/>
      <c r="W1062" s="454"/>
      <c r="X1062" s="454"/>
      <c r="Y1062" s="454"/>
      <c r="Z1062" s="454"/>
      <c r="AA1062" s="454"/>
      <c r="AB1062" s="454"/>
    </row>
    <row r="1063" spans="1:28">
      <c r="A1063" s="331"/>
      <c r="B1063" s="332"/>
      <c r="C1063" s="454"/>
      <c r="D1063" s="454"/>
      <c r="E1063" s="333"/>
      <c r="F1063" s="454"/>
      <c r="G1063" s="457"/>
      <c r="H1063" s="454"/>
      <c r="I1063" s="455"/>
      <c r="J1063" s="456"/>
      <c r="K1063" s="456"/>
      <c r="L1063" s="454"/>
      <c r="M1063" s="454"/>
      <c r="N1063" s="454"/>
      <c r="O1063" s="454"/>
      <c r="P1063" s="454"/>
      <c r="Q1063" s="454"/>
      <c r="R1063" s="454"/>
      <c r="S1063" s="454"/>
      <c r="T1063" s="454"/>
      <c r="U1063" s="454"/>
      <c r="V1063" s="454"/>
      <c r="W1063" s="454"/>
      <c r="X1063" s="454"/>
      <c r="Y1063" s="454"/>
      <c r="Z1063" s="454"/>
      <c r="AA1063" s="454"/>
      <c r="AB1063" s="454"/>
    </row>
    <row r="1064" spans="1:28">
      <c r="A1064" s="331"/>
      <c r="B1064" s="332"/>
      <c r="C1064" s="454"/>
      <c r="D1064" s="454"/>
      <c r="E1064" s="333"/>
      <c r="F1064" s="454"/>
      <c r="G1064" s="457"/>
      <c r="H1064" s="454"/>
      <c r="I1064" s="455"/>
      <c r="J1064" s="456"/>
      <c r="K1064" s="456"/>
      <c r="L1064" s="454"/>
      <c r="M1064" s="454"/>
      <c r="N1064" s="454"/>
      <c r="O1064" s="454"/>
      <c r="P1064" s="454"/>
      <c r="Q1064" s="454"/>
      <c r="R1064" s="454"/>
      <c r="S1064" s="454"/>
      <c r="T1064" s="454"/>
      <c r="U1064" s="454"/>
      <c r="V1064" s="454"/>
      <c r="W1064" s="454"/>
      <c r="X1064" s="454"/>
      <c r="Y1064" s="454"/>
      <c r="Z1064" s="454"/>
      <c r="AA1064" s="454"/>
      <c r="AB1064" s="454"/>
    </row>
    <row r="1065" spans="1:28">
      <c r="A1065" s="331"/>
      <c r="B1065" s="332"/>
      <c r="C1065" s="454"/>
      <c r="D1065" s="454"/>
      <c r="E1065" s="333"/>
      <c r="F1065" s="454"/>
      <c r="G1065" s="457"/>
      <c r="H1065" s="454"/>
      <c r="I1065" s="455"/>
      <c r="J1065" s="456"/>
      <c r="K1065" s="456"/>
      <c r="L1065" s="454"/>
      <c r="M1065" s="454"/>
      <c r="N1065" s="454"/>
      <c r="O1065" s="454"/>
      <c r="P1065" s="454"/>
      <c r="Q1065" s="454"/>
      <c r="R1065" s="454"/>
      <c r="S1065" s="454"/>
      <c r="T1065" s="454"/>
      <c r="U1065" s="454"/>
      <c r="V1065" s="454"/>
      <c r="W1065" s="454"/>
      <c r="X1065" s="454"/>
      <c r="Y1065" s="454"/>
      <c r="Z1065" s="454"/>
      <c r="AA1065" s="454"/>
      <c r="AB1065" s="454"/>
    </row>
    <row r="1066" spans="1:28">
      <c r="A1066" s="331"/>
      <c r="B1066" s="332"/>
      <c r="C1066" s="454"/>
      <c r="D1066" s="454"/>
      <c r="E1066" s="333"/>
      <c r="F1066" s="454"/>
      <c r="G1066" s="457"/>
      <c r="H1066" s="454"/>
      <c r="I1066" s="455"/>
      <c r="J1066" s="456"/>
      <c r="K1066" s="456"/>
      <c r="L1066" s="454"/>
      <c r="M1066" s="454"/>
      <c r="N1066" s="454"/>
      <c r="O1066" s="454"/>
      <c r="P1066" s="454"/>
      <c r="Q1066" s="454"/>
      <c r="R1066" s="454"/>
      <c r="S1066" s="454"/>
      <c r="T1066" s="454"/>
      <c r="U1066" s="454"/>
      <c r="V1066" s="454"/>
      <c r="W1066" s="454"/>
      <c r="X1066" s="454"/>
      <c r="Y1066" s="454"/>
      <c r="Z1066" s="454"/>
      <c r="AA1066" s="454"/>
      <c r="AB1066" s="454"/>
    </row>
  </sheetData>
  <conditionalFormatting sqref="E1:E1066">
    <cfRule type="notContainsBlanks" dxfId="0" priority="1">
      <formula>LEN(TRIM(E1))&gt;0</formula>
    </cfRule>
  </conditionalFormatting>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944"/>
  <sheetViews>
    <sheetView workbookViewId="0">
      <pane xSplit="6" ySplit="1" topLeftCell="G2" activePane="bottomRight" state="frozen"/>
      <selection pane="bottomRight" activeCell="G2" sqref="G2"/>
      <selection pane="bottomLeft" activeCell="A2" sqref="A2"/>
      <selection pane="topRight" activeCell="G1" sqref="G1"/>
    </sheetView>
  </sheetViews>
  <sheetFormatPr defaultColWidth="12.5703125" defaultRowHeight="15" customHeight="1"/>
  <cols>
    <col min="1" max="1" width="21.42578125" customWidth="1"/>
    <col min="2" max="2" width="18.28515625" customWidth="1"/>
    <col min="3" max="3" width="19.5703125" hidden="1" customWidth="1"/>
    <col min="4" max="4" width="19.28515625" customWidth="1"/>
    <col min="5" max="5" width="33.28515625" customWidth="1"/>
    <col min="6" max="6" width="16.42578125" customWidth="1"/>
    <col min="7" max="7" width="18.42578125" customWidth="1"/>
    <col min="8" max="8" width="16.7109375" customWidth="1"/>
    <col min="9" max="9" width="16.42578125" customWidth="1"/>
    <col min="10" max="10" width="19" customWidth="1"/>
    <col min="11" max="11" width="23" customWidth="1"/>
    <col min="12" max="12" width="12.7109375" customWidth="1"/>
    <col min="13" max="22" width="33" customWidth="1"/>
  </cols>
  <sheetData>
    <row r="1" spans="1:22" ht="121.5" customHeight="1">
      <c r="A1" s="338"/>
      <c r="B1" s="338" t="s">
        <v>1007</v>
      </c>
      <c r="C1" s="339" t="s">
        <v>1008</v>
      </c>
      <c r="D1" s="338" t="s">
        <v>1009</v>
      </c>
      <c r="E1" s="338" t="s">
        <v>1010</v>
      </c>
      <c r="F1" s="338" t="s">
        <v>1011</v>
      </c>
      <c r="G1" s="340" t="s">
        <v>1012</v>
      </c>
      <c r="H1" s="338" t="s">
        <v>1013</v>
      </c>
      <c r="I1" s="338" t="s">
        <v>1014</v>
      </c>
      <c r="J1" s="341" t="s">
        <v>1015</v>
      </c>
      <c r="K1" s="342" t="s">
        <v>1016</v>
      </c>
      <c r="L1" s="338" t="s">
        <v>1017</v>
      </c>
      <c r="M1" s="338" t="s">
        <v>1018</v>
      </c>
      <c r="N1" s="343"/>
      <c r="O1" s="343"/>
      <c r="P1" s="343"/>
      <c r="Q1" s="343"/>
      <c r="R1" s="343"/>
      <c r="S1" s="343"/>
      <c r="T1" s="343"/>
      <c r="U1" s="343"/>
      <c r="V1" s="343"/>
    </row>
    <row r="2" spans="1:22">
      <c r="A2" s="344" t="s">
        <v>40</v>
      </c>
      <c r="B2" s="344">
        <v>10413870</v>
      </c>
      <c r="C2" s="345" t="s">
        <v>974</v>
      </c>
      <c r="D2" s="346" t="s">
        <v>1019</v>
      </c>
      <c r="E2" s="347" t="s">
        <v>721</v>
      </c>
      <c r="F2" s="344">
        <v>31999822227</v>
      </c>
      <c r="G2" s="347" t="s">
        <v>1020</v>
      </c>
      <c r="H2" s="348" t="s">
        <v>73</v>
      </c>
      <c r="I2" s="344" t="s">
        <v>1021</v>
      </c>
      <c r="J2" s="344" t="s">
        <v>1022</v>
      </c>
      <c r="K2" s="349"/>
      <c r="L2" s="348" t="s">
        <v>1023</v>
      </c>
      <c r="M2" s="350" t="s">
        <v>1024</v>
      </c>
      <c r="N2" s="351"/>
      <c r="O2" s="351"/>
      <c r="P2" s="351"/>
      <c r="Q2" s="351"/>
      <c r="R2" s="351"/>
      <c r="S2" s="351"/>
      <c r="T2" s="351"/>
      <c r="U2" s="351"/>
      <c r="V2" s="351"/>
    </row>
    <row r="3" spans="1:22">
      <c r="A3" s="344" t="s">
        <v>104</v>
      </c>
      <c r="B3" s="346">
        <v>11864469</v>
      </c>
      <c r="C3" s="352" t="s">
        <v>757</v>
      </c>
      <c r="D3" s="346" t="s">
        <v>1025</v>
      </c>
      <c r="E3" s="353" t="s">
        <v>1026</v>
      </c>
      <c r="F3" s="346">
        <v>31991417960</v>
      </c>
      <c r="G3" s="200" t="s">
        <v>1020</v>
      </c>
      <c r="H3" s="344" t="s">
        <v>73</v>
      </c>
      <c r="I3" s="344" t="s">
        <v>1027</v>
      </c>
      <c r="J3" s="346" t="s">
        <v>1028</v>
      </c>
      <c r="K3" s="354"/>
      <c r="L3" s="348" t="s">
        <v>1023</v>
      </c>
      <c r="M3" s="350" t="s">
        <v>1029</v>
      </c>
      <c r="N3" s="351"/>
      <c r="O3" s="351"/>
      <c r="P3" s="351"/>
      <c r="Q3" s="351"/>
      <c r="R3" s="351"/>
      <c r="S3" s="351"/>
      <c r="T3" s="351"/>
      <c r="U3" s="351"/>
      <c r="V3" s="351"/>
    </row>
    <row r="4" spans="1:22">
      <c r="A4" s="344" t="s">
        <v>104</v>
      </c>
      <c r="B4" s="346">
        <v>12968525</v>
      </c>
      <c r="C4" s="352" t="s">
        <v>959</v>
      </c>
      <c r="D4" s="346" t="s">
        <v>1030</v>
      </c>
      <c r="E4" s="353" t="s">
        <v>1031</v>
      </c>
      <c r="F4" s="346">
        <v>31999074385</v>
      </c>
      <c r="G4" s="200" t="s">
        <v>1020</v>
      </c>
      <c r="H4" s="346" t="s">
        <v>1032</v>
      </c>
      <c r="I4" s="346" t="s">
        <v>198</v>
      </c>
      <c r="J4" s="346" t="s">
        <v>1033</v>
      </c>
      <c r="K4" s="354"/>
      <c r="L4" s="346" t="s">
        <v>1034</v>
      </c>
      <c r="M4" s="350" t="s">
        <v>1035</v>
      </c>
      <c r="N4" s="351"/>
      <c r="O4" s="351"/>
      <c r="P4" s="351"/>
      <c r="Q4" s="351"/>
      <c r="R4" s="351"/>
      <c r="S4" s="351"/>
      <c r="T4" s="351"/>
      <c r="U4" s="351"/>
      <c r="V4" s="351"/>
    </row>
    <row r="5" spans="1:22">
      <c r="A5" s="344" t="s">
        <v>104</v>
      </c>
      <c r="B5" s="346">
        <v>13704077</v>
      </c>
      <c r="C5" s="352" t="s">
        <v>986</v>
      </c>
      <c r="D5" s="346" t="s">
        <v>1036</v>
      </c>
      <c r="E5" s="353" t="s">
        <v>1037</v>
      </c>
      <c r="F5" s="346">
        <v>991958606</v>
      </c>
      <c r="G5" s="200" t="s">
        <v>1020</v>
      </c>
      <c r="H5" s="344" t="s">
        <v>73</v>
      </c>
      <c r="I5" s="344" t="s">
        <v>1038</v>
      </c>
      <c r="J5" s="346" t="s">
        <v>1039</v>
      </c>
      <c r="K5" s="354"/>
      <c r="L5" s="346" t="s">
        <v>1034</v>
      </c>
      <c r="M5" s="350" t="s">
        <v>1040</v>
      </c>
      <c r="N5" s="351"/>
      <c r="O5" s="351"/>
      <c r="P5" s="351"/>
      <c r="Q5" s="351"/>
      <c r="R5" s="351"/>
      <c r="S5" s="351"/>
      <c r="T5" s="351"/>
      <c r="U5" s="351"/>
      <c r="V5" s="351"/>
    </row>
    <row r="6" spans="1:22">
      <c r="A6" s="344" t="s">
        <v>104</v>
      </c>
      <c r="B6" s="346">
        <v>10422285</v>
      </c>
      <c r="C6" s="352" t="s">
        <v>1041</v>
      </c>
      <c r="D6" s="346" t="s">
        <v>1042</v>
      </c>
      <c r="E6" s="353" t="s">
        <v>1043</v>
      </c>
      <c r="F6" s="346" t="s">
        <v>1044</v>
      </c>
      <c r="G6" s="200" t="s">
        <v>1020</v>
      </c>
      <c r="H6" s="344" t="s">
        <v>73</v>
      </c>
      <c r="I6" s="344" t="s">
        <v>1045</v>
      </c>
      <c r="J6" s="346" t="s">
        <v>1046</v>
      </c>
      <c r="K6" s="354"/>
      <c r="L6" s="346" t="s">
        <v>1034</v>
      </c>
      <c r="M6" s="350" t="s">
        <v>1047</v>
      </c>
      <c r="N6" s="351"/>
      <c r="O6" s="351"/>
      <c r="P6" s="351"/>
      <c r="Q6" s="351"/>
      <c r="R6" s="351"/>
      <c r="S6" s="351"/>
      <c r="T6" s="351"/>
      <c r="U6" s="351"/>
      <c r="V6" s="351"/>
    </row>
    <row r="7" spans="1:22">
      <c r="A7" s="344" t="s">
        <v>104</v>
      </c>
      <c r="B7" s="346">
        <v>13106174</v>
      </c>
      <c r="C7" s="352" t="s">
        <v>1048</v>
      </c>
      <c r="D7" s="346" t="s">
        <v>1049</v>
      </c>
      <c r="E7" s="353" t="s">
        <v>1050</v>
      </c>
      <c r="F7" s="346">
        <v>31998749434</v>
      </c>
      <c r="G7" s="200" t="s">
        <v>1020</v>
      </c>
      <c r="H7" s="344" t="s">
        <v>73</v>
      </c>
      <c r="I7" s="346" t="s">
        <v>1051</v>
      </c>
      <c r="J7" s="346" t="s">
        <v>1052</v>
      </c>
      <c r="K7" s="354"/>
      <c r="L7" s="346" t="s">
        <v>1053</v>
      </c>
      <c r="M7" s="350" t="s">
        <v>1054</v>
      </c>
      <c r="N7" s="351"/>
      <c r="O7" s="351"/>
      <c r="P7" s="351"/>
      <c r="Q7" s="351"/>
      <c r="R7" s="351"/>
      <c r="S7" s="351"/>
      <c r="T7" s="351"/>
      <c r="U7" s="351"/>
      <c r="V7" s="351"/>
    </row>
    <row r="8" spans="1:22">
      <c r="A8" s="344" t="s">
        <v>104</v>
      </c>
      <c r="B8" s="346">
        <v>16346454</v>
      </c>
      <c r="C8" s="352" t="s">
        <v>1055</v>
      </c>
      <c r="D8" s="346" t="s">
        <v>1056</v>
      </c>
      <c r="E8" s="353" t="s">
        <v>1057</v>
      </c>
      <c r="F8" s="346" t="s">
        <v>1058</v>
      </c>
      <c r="G8" s="200" t="s">
        <v>1020</v>
      </c>
      <c r="H8" s="346" t="s">
        <v>1059</v>
      </c>
      <c r="I8" s="344" t="s">
        <v>1060</v>
      </c>
      <c r="J8" s="346" t="s">
        <v>1061</v>
      </c>
      <c r="K8" s="354"/>
      <c r="L8" s="346" t="s">
        <v>1034</v>
      </c>
      <c r="M8" s="350" t="s">
        <v>1062</v>
      </c>
      <c r="N8" s="351"/>
      <c r="O8" s="351"/>
      <c r="P8" s="351"/>
      <c r="Q8" s="351"/>
      <c r="R8" s="351"/>
      <c r="S8" s="351"/>
      <c r="T8" s="351"/>
      <c r="U8" s="351"/>
      <c r="V8" s="351"/>
    </row>
    <row r="9" spans="1:22">
      <c r="A9" s="355" t="s">
        <v>40</v>
      </c>
      <c r="B9" s="344"/>
      <c r="C9" s="356" t="s">
        <v>1063</v>
      </c>
      <c r="D9" s="346" t="s">
        <v>1064</v>
      </c>
      <c r="E9" s="357" t="s">
        <v>1065</v>
      </c>
      <c r="F9" s="344"/>
      <c r="G9" s="358"/>
      <c r="H9" s="344"/>
      <c r="I9" s="344"/>
      <c r="J9" s="346"/>
      <c r="K9" s="354"/>
      <c r="L9" s="346"/>
      <c r="M9" s="359"/>
      <c r="N9" s="351"/>
      <c r="O9" s="351"/>
      <c r="P9" s="351"/>
      <c r="Q9" s="351"/>
      <c r="R9" s="351"/>
      <c r="S9" s="351"/>
      <c r="T9" s="351"/>
      <c r="U9" s="351"/>
      <c r="V9" s="351"/>
    </row>
    <row r="10" spans="1:22">
      <c r="A10" s="344" t="s">
        <v>40</v>
      </c>
      <c r="B10" s="346">
        <v>10727436</v>
      </c>
      <c r="C10" s="352" t="s">
        <v>1066</v>
      </c>
      <c r="D10" s="346" t="s">
        <v>1067</v>
      </c>
      <c r="E10" s="353" t="s">
        <v>1068</v>
      </c>
      <c r="F10" s="344">
        <v>31988738428</v>
      </c>
      <c r="G10" s="200" t="s">
        <v>1020</v>
      </c>
      <c r="H10" s="344" t="s">
        <v>1069</v>
      </c>
      <c r="I10" s="344" t="s">
        <v>1060</v>
      </c>
      <c r="J10" s="346" t="s">
        <v>1070</v>
      </c>
      <c r="K10" s="354"/>
      <c r="L10" s="346" t="s">
        <v>1034</v>
      </c>
      <c r="M10" s="350" t="s">
        <v>1071</v>
      </c>
      <c r="N10" s="351"/>
      <c r="O10" s="351"/>
      <c r="P10" s="351"/>
      <c r="Q10" s="351"/>
      <c r="R10" s="351"/>
      <c r="S10" s="351"/>
      <c r="T10" s="351"/>
      <c r="U10" s="351"/>
      <c r="V10" s="351"/>
    </row>
    <row r="11" spans="1:22">
      <c r="A11" s="344" t="s">
        <v>104</v>
      </c>
      <c r="B11" s="346">
        <v>12156915</v>
      </c>
      <c r="C11" s="352" t="s">
        <v>1072</v>
      </c>
      <c r="D11" s="346" t="s">
        <v>1073</v>
      </c>
      <c r="E11" s="353" t="s">
        <v>1074</v>
      </c>
      <c r="F11" s="346">
        <v>31988065563</v>
      </c>
      <c r="G11" s="200" t="s">
        <v>1020</v>
      </c>
      <c r="H11" s="346" t="s">
        <v>1075</v>
      </c>
      <c r="I11" s="344"/>
      <c r="J11" s="346" t="s">
        <v>1076</v>
      </c>
      <c r="K11" s="354"/>
      <c r="L11" s="346" t="s">
        <v>1077</v>
      </c>
      <c r="M11" s="350" t="s">
        <v>1078</v>
      </c>
      <c r="N11" s="351"/>
      <c r="O11" s="351"/>
      <c r="P11" s="351"/>
      <c r="Q11" s="351"/>
      <c r="R11" s="351"/>
      <c r="S11" s="351"/>
      <c r="T11" s="351"/>
      <c r="U11" s="351"/>
      <c r="V11" s="351"/>
    </row>
    <row r="12" spans="1:22">
      <c r="A12" s="344" t="s">
        <v>104</v>
      </c>
      <c r="B12" s="346">
        <v>11063732</v>
      </c>
      <c r="C12" s="352" t="s">
        <v>1079</v>
      </c>
      <c r="D12" s="346" t="s">
        <v>1080</v>
      </c>
      <c r="E12" s="353" t="s">
        <v>1081</v>
      </c>
      <c r="F12" s="346">
        <v>31988199995</v>
      </c>
      <c r="G12" s="200" t="s">
        <v>1020</v>
      </c>
      <c r="H12" s="346" t="s">
        <v>1082</v>
      </c>
      <c r="I12" s="346" t="s">
        <v>1083</v>
      </c>
      <c r="J12" s="346" t="s">
        <v>1084</v>
      </c>
      <c r="K12" s="354"/>
      <c r="L12" s="346" t="s">
        <v>1034</v>
      </c>
      <c r="M12" s="350" t="s">
        <v>1085</v>
      </c>
      <c r="N12" s="351"/>
      <c r="O12" s="351"/>
      <c r="P12" s="351"/>
      <c r="Q12" s="351"/>
      <c r="R12" s="351"/>
      <c r="S12" s="351"/>
      <c r="T12" s="351"/>
      <c r="U12" s="351"/>
      <c r="V12" s="351"/>
    </row>
    <row r="13" spans="1:22">
      <c r="A13" s="344" t="s">
        <v>104</v>
      </c>
      <c r="B13" s="346">
        <v>11606100</v>
      </c>
      <c r="C13" s="352" t="s">
        <v>1086</v>
      </c>
      <c r="D13" s="346" t="s">
        <v>1087</v>
      </c>
      <c r="E13" s="353" t="s">
        <v>236</v>
      </c>
      <c r="F13" s="346" t="s">
        <v>1088</v>
      </c>
      <c r="G13" s="200" t="s">
        <v>1020</v>
      </c>
      <c r="H13" s="344" t="s">
        <v>73</v>
      </c>
      <c r="I13" s="346" t="s">
        <v>1089</v>
      </c>
      <c r="J13" s="346" t="s">
        <v>1090</v>
      </c>
      <c r="K13" s="354"/>
      <c r="L13" s="346" t="s">
        <v>1091</v>
      </c>
      <c r="M13" s="350" t="s">
        <v>1092</v>
      </c>
      <c r="N13" s="351"/>
      <c r="O13" s="351"/>
      <c r="P13" s="351"/>
      <c r="Q13" s="351"/>
      <c r="R13" s="351"/>
      <c r="S13" s="351"/>
      <c r="T13" s="351"/>
      <c r="U13" s="351"/>
      <c r="V13" s="351"/>
    </row>
    <row r="14" spans="1:22">
      <c r="A14" s="344" t="s">
        <v>40</v>
      </c>
      <c r="B14" s="346">
        <v>13045133</v>
      </c>
      <c r="C14" s="352" t="s">
        <v>1093</v>
      </c>
      <c r="D14" s="346" t="s">
        <v>1094</v>
      </c>
      <c r="E14" s="353" t="s">
        <v>1095</v>
      </c>
      <c r="F14" s="346" t="s">
        <v>1096</v>
      </c>
      <c r="G14" s="200" t="s">
        <v>1020</v>
      </c>
      <c r="H14" s="344" t="s">
        <v>73</v>
      </c>
      <c r="I14" s="346" t="s">
        <v>1097</v>
      </c>
      <c r="J14" s="346" t="s">
        <v>1098</v>
      </c>
      <c r="K14" s="354"/>
      <c r="L14" s="346" t="s">
        <v>1023</v>
      </c>
      <c r="M14" s="359"/>
      <c r="N14" s="351"/>
      <c r="O14" s="351"/>
      <c r="P14" s="351"/>
      <c r="Q14" s="351"/>
      <c r="R14" s="351"/>
      <c r="S14" s="351"/>
      <c r="T14" s="351"/>
      <c r="U14" s="351"/>
      <c r="V14" s="351"/>
    </row>
    <row r="15" spans="1:22">
      <c r="A15" s="344" t="s">
        <v>104</v>
      </c>
      <c r="B15" s="346">
        <v>15275316</v>
      </c>
      <c r="C15" s="352"/>
      <c r="D15" s="346" t="s">
        <v>1099</v>
      </c>
      <c r="E15" s="353" t="s">
        <v>1100</v>
      </c>
      <c r="F15" s="346" t="s">
        <v>1101</v>
      </c>
      <c r="G15" s="200" t="s">
        <v>1020</v>
      </c>
      <c r="H15" s="346" t="s">
        <v>1102</v>
      </c>
      <c r="I15" s="344" t="s">
        <v>1103</v>
      </c>
      <c r="J15" s="346" t="s">
        <v>1104</v>
      </c>
      <c r="K15" s="354"/>
      <c r="L15" s="346" t="s">
        <v>1023</v>
      </c>
      <c r="M15" s="350" t="s">
        <v>1105</v>
      </c>
      <c r="N15" s="351"/>
      <c r="O15" s="351"/>
      <c r="P15" s="351"/>
      <c r="Q15" s="351"/>
      <c r="R15" s="351"/>
      <c r="S15" s="351"/>
      <c r="T15" s="351"/>
      <c r="U15" s="351"/>
      <c r="V15" s="351"/>
    </row>
    <row r="16" spans="1:22">
      <c r="A16" s="346" t="s">
        <v>104</v>
      </c>
      <c r="B16" s="346">
        <v>13131439</v>
      </c>
      <c r="C16" s="360"/>
      <c r="D16" s="346" t="s">
        <v>1106</v>
      </c>
      <c r="E16" s="353" t="s">
        <v>1107</v>
      </c>
      <c r="F16" s="346">
        <v>31996262303</v>
      </c>
      <c r="G16" s="200" t="s">
        <v>1020</v>
      </c>
      <c r="H16" s="346" t="s">
        <v>1108</v>
      </c>
      <c r="I16" s="346" t="s">
        <v>1109</v>
      </c>
      <c r="J16" s="346" t="s">
        <v>1110</v>
      </c>
      <c r="K16" s="354"/>
      <c r="L16" s="346" t="s">
        <v>1034</v>
      </c>
      <c r="M16" s="350" t="s">
        <v>1111</v>
      </c>
      <c r="N16" s="458"/>
      <c r="O16" s="458"/>
      <c r="P16" s="458"/>
      <c r="Q16" s="458"/>
      <c r="R16" s="458"/>
      <c r="S16" s="458"/>
      <c r="T16" s="458"/>
      <c r="U16" s="458"/>
      <c r="V16" s="458"/>
    </row>
    <row r="17" spans="1:22">
      <c r="A17" s="346" t="s">
        <v>104</v>
      </c>
      <c r="B17" s="346">
        <v>13070040</v>
      </c>
      <c r="C17" s="360"/>
      <c r="D17" s="346" t="s">
        <v>1112</v>
      </c>
      <c r="E17" s="353" t="s">
        <v>1113</v>
      </c>
      <c r="F17" s="346" t="s">
        <v>1114</v>
      </c>
      <c r="G17" s="200" t="s">
        <v>1020</v>
      </c>
      <c r="H17" s="346" t="s">
        <v>73</v>
      </c>
      <c r="I17" s="346" t="s">
        <v>1115</v>
      </c>
      <c r="J17" s="346" t="s">
        <v>1116</v>
      </c>
      <c r="K17" s="354"/>
      <c r="L17" s="346" t="s">
        <v>1034</v>
      </c>
      <c r="M17" s="350" t="s">
        <v>1117</v>
      </c>
      <c r="N17" s="458"/>
      <c r="O17" s="458"/>
      <c r="P17" s="458"/>
      <c r="Q17" s="458"/>
      <c r="R17" s="458"/>
      <c r="S17" s="458"/>
      <c r="T17" s="458"/>
      <c r="U17" s="458"/>
      <c r="V17" s="458"/>
    </row>
    <row r="18" spans="1:22">
      <c r="A18" s="346" t="s">
        <v>104</v>
      </c>
      <c r="B18" s="346">
        <v>13463499</v>
      </c>
      <c r="C18" s="361"/>
      <c r="D18" s="346" t="s">
        <v>1118</v>
      </c>
      <c r="E18" s="362" t="s">
        <v>653</v>
      </c>
      <c r="F18" s="346">
        <v>31996136633</v>
      </c>
      <c r="G18" s="363" t="s">
        <v>1020</v>
      </c>
      <c r="H18" s="361" t="s">
        <v>1119</v>
      </c>
      <c r="I18" s="361" t="s">
        <v>1120</v>
      </c>
      <c r="J18" s="361" t="s">
        <v>1121</v>
      </c>
      <c r="K18" s="354"/>
      <c r="L18" s="361" t="s">
        <v>1034</v>
      </c>
      <c r="M18" s="350" t="s">
        <v>1122</v>
      </c>
      <c r="N18" s="458"/>
      <c r="O18" s="458"/>
      <c r="P18" s="458"/>
      <c r="Q18" s="458"/>
      <c r="R18" s="458"/>
      <c r="S18" s="458"/>
      <c r="T18" s="458"/>
      <c r="U18" s="458"/>
      <c r="V18" s="458"/>
    </row>
    <row r="19" spans="1:22">
      <c r="A19" s="346" t="s">
        <v>104</v>
      </c>
      <c r="B19" s="346">
        <v>10876050</v>
      </c>
      <c r="C19" s="360"/>
      <c r="D19" s="346" t="s">
        <v>1123</v>
      </c>
      <c r="E19" s="353" t="s">
        <v>1124</v>
      </c>
      <c r="F19" s="346" t="s">
        <v>1125</v>
      </c>
      <c r="G19" s="200" t="s">
        <v>1020</v>
      </c>
      <c r="H19" s="346" t="s">
        <v>1126</v>
      </c>
      <c r="I19" s="346" t="s">
        <v>1127</v>
      </c>
      <c r="J19" s="346" t="s">
        <v>1128</v>
      </c>
      <c r="K19" s="354"/>
      <c r="L19" s="346" t="s">
        <v>1034</v>
      </c>
      <c r="M19" s="350" t="s">
        <v>1129</v>
      </c>
      <c r="N19" s="458"/>
      <c r="O19" s="458"/>
      <c r="P19" s="458"/>
      <c r="Q19" s="458"/>
      <c r="R19" s="458"/>
      <c r="S19" s="458"/>
      <c r="T19" s="458"/>
      <c r="U19" s="458"/>
      <c r="V19" s="458"/>
    </row>
    <row r="20" spans="1:22">
      <c r="A20" s="346" t="s">
        <v>104</v>
      </c>
      <c r="B20" s="346">
        <v>15651359</v>
      </c>
      <c r="C20" s="360"/>
      <c r="D20" s="346" t="s">
        <v>1130</v>
      </c>
      <c r="E20" s="362" t="s">
        <v>1131</v>
      </c>
      <c r="F20" s="346" t="s">
        <v>1132</v>
      </c>
      <c r="G20" s="363" t="s">
        <v>1133</v>
      </c>
      <c r="H20" s="361" t="s">
        <v>79</v>
      </c>
      <c r="I20" s="361" t="s">
        <v>1134</v>
      </c>
      <c r="J20" s="361" t="s">
        <v>1135</v>
      </c>
      <c r="K20" s="361" t="s">
        <v>1136</v>
      </c>
      <c r="L20" s="361" t="s">
        <v>1023</v>
      </c>
      <c r="M20" s="359"/>
      <c r="N20" s="351"/>
      <c r="O20" s="351"/>
      <c r="P20" s="351"/>
      <c r="Q20" s="351"/>
      <c r="R20" s="351"/>
      <c r="S20" s="351"/>
      <c r="T20" s="351"/>
      <c r="U20" s="351"/>
      <c r="V20" s="351"/>
    </row>
    <row r="21" spans="1:22">
      <c r="A21" s="346" t="s">
        <v>104</v>
      </c>
      <c r="B21" s="346">
        <v>12737326</v>
      </c>
      <c r="C21" s="360"/>
      <c r="D21" s="346" t="s">
        <v>1137</v>
      </c>
      <c r="E21" s="353" t="s">
        <v>1138</v>
      </c>
      <c r="F21" s="346" t="s">
        <v>1139</v>
      </c>
      <c r="G21" s="200" t="s">
        <v>1020</v>
      </c>
      <c r="H21" s="346" t="s">
        <v>1140</v>
      </c>
      <c r="I21" s="346" t="s">
        <v>1141</v>
      </c>
      <c r="J21" s="346" t="s">
        <v>1142</v>
      </c>
      <c r="K21" s="354"/>
      <c r="L21" s="346" t="s">
        <v>1023</v>
      </c>
      <c r="M21" s="350" t="s">
        <v>1143</v>
      </c>
      <c r="N21" s="458"/>
      <c r="O21" s="458"/>
      <c r="P21" s="458"/>
      <c r="Q21" s="458"/>
      <c r="R21" s="458"/>
      <c r="S21" s="458"/>
      <c r="T21" s="458"/>
      <c r="U21" s="458"/>
      <c r="V21" s="458"/>
    </row>
    <row r="22" spans="1:22">
      <c r="A22" s="346" t="s">
        <v>104</v>
      </c>
      <c r="B22" s="346">
        <v>10822450</v>
      </c>
      <c r="C22" s="360"/>
      <c r="D22" s="346" t="s">
        <v>168</v>
      </c>
      <c r="E22" s="353" t="s">
        <v>163</v>
      </c>
      <c r="F22" s="346">
        <v>31993488232</v>
      </c>
      <c r="G22" s="200" t="s">
        <v>1020</v>
      </c>
      <c r="H22" s="346" t="s">
        <v>1144</v>
      </c>
      <c r="I22" s="346" t="s">
        <v>1145</v>
      </c>
      <c r="J22" s="346" t="s">
        <v>1146</v>
      </c>
      <c r="K22" s="354"/>
      <c r="L22" s="346" t="s">
        <v>1034</v>
      </c>
      <c r="M22" s="350" t="s">
        <v>1147</v>
      </c>
      <c r="N22" s="458"/>
      <c r="O22" s="458"/>
      <c r="P22" s="458"/>
      <c r="Q22" s="458"/>
      <c r="R22" s="458"/>
      <c r="S22" s="458"/>
      <c r="T22" s="458"/>
      <c r="U22" s="458"/>
      <c r="V22" s="458"/>
    </row>
    <row r="23" spans="1:22">
      <c r="A23" s="346" t="s">
        <v>40</v>
      </c>
      <c r="B23" s="346"/>
      <c r="C23" s="360"/>
      <c r="D23" s="346" t="s">
        <v>1148</v>
      </c>
      <c r="E23" s="353" t="s">
        <v>1149</v>
      </c>
      <c r="F23" s="346"/>
      <c r="G23" s="200"/>
      <c r="H23" s="346" t="s">
        <v>79</v>
      </c>
      <c r="I23" s="346" t="s">
        <v>1150</v>
      </c>
      <c r="J23" s="346" t="s">
        <v>1151</v>
      </c>
      <c r="K23" s="354"/>
      <c r="L23" s="346" t="s">
        <v>1152</v>
      </c>
      <c r="M23" s="359"/>
      <c r="N23" s="351"/>
      <c r="O23" s="351"/>
      <c r="P23" s="351"/>
      <c r="Q23" s="351"/>
      <c r="R23" s="351"/>
      <c r="S23" s="351"/>
      <c r="T23" s="351"/>
      <c r="U23" s="351"/>
      <c r="V23" s="351"/>
    </row>
    <row r="24" spans="1:22">
      <c r="A24" s="346" t="s">
        <v>104</v>
      </c>
      <c r="B24" s="346">
        <v>12644969</v>
      </c>
      <c r="C24" s="364"/>
      <c r="D24" s="346" t="s">
        <v>1153</v>
      </c>
      <c r="E24" s="353" t="s">
        <v>1154</v>
      </c>
      <c r="F24" s="346">
        <v>31986015708</v>
      </c>
      <c r="G24" s="200" t="s">
        <v>1020</v>
      </c>
      <c r="H24" s="346" t="s">
        <v>1155</v>
      </c>
      <c r="I24" s="346" t="s">
        <v>1156</v>
      </c>
      <c r="J24" s="346" t="s">
        <v>1157</v>
      </c>
      <c r="K24" s="346"/>
      <c r="L24" s="346" t="s">
        <v>1023</v>
      </c>
      <c r="M24" s="359"/>
      <c r="N24" s="351"/>
      <c r="O24" s="351"/>
      <c r="P24" s="351"/>
      <c r="Q24" s="351"/>
      <c r="R24" s="351"/>
      <c r="S24" s="351"/>
      <c r="T24" s="351"/>
      <c r="U24" s="351"/>
      <c r="V24" s="351"/>
    </row>
    <row r="25" spans="1:22">
      <c r="A25" s="344" t="s">
        <v>104</v>
      </c>
      <c r="B25" s="344">
        <v>10424877</v>
      </c>
      <c r="C25" s="345"/>
      <c r="D25" s="344" t="s">
        <v>1158</v>
      </c>
      <c r="E25" s="200" t="s">
        <v>1159</v>
      </c>
      <c r="F25" s="344">
        <v>31995816486</v>
      </c>
      <c r="G25" s="200" t="s">
        <v>1020</v>
      </c>
      <c r="H25" s="344" t="s">
        <v>73</v>
      </c>
      <c r="I25" s="344" t="s">
        <v>1160</v>
      </c>
      <c r="J25" s="344" t="s">
        <v>1161</v>
      </c>
      <c r="K25" s="349"/>
      <c r="L25" s="344" t="s">
        <v>1023</v>
      </c>
      <c r="M25" s="350" t="s">
        <v>1162</v>
      </c>
      <c r="N25" s="458"/>
      <c r="O25" s="458"/>
      <c r="P25" s="458"/>
      <c r="Q25" s="458"/>
      <c r="R25" s="458"/>
      <c r="S25" s="458"/>
      <c r="T25" s="458"/>
      <c r="U25" s="458"/>
      <c r="V25" s="458"/>
    </row>
    <row r="26" spans="1:22">
      <c r="A26" s="346" t="s">
        <v>104</v>
      </c>
      <c r="B26" s="346">
        <v>10427185</v>
      </c>
      <c r="C26" s="360"/>
      <c r="D26" s="346" t="s">
        <v>799</v>
      </c>
      <c r="E26" s="353" t="s">
        <v>798</v>
      </c>
      <c r="F26" s="346">
        <v>31988735514</v>
      </c>
      <c r="G26" s="200" t="s">
        <v>1020</v>
      </c>
      <c r="H26" s="346" t="s">
        <v>73</v>
      </c>
      <c r="I26" s="346" t="s">
        <v>1163</v>
      </c>
      <c r="J26" s="346" t="s">
        <v>1164</v>
      </c>
      <c r="K26" s="354"/>
      <c r="L26" s="344" t="s">
        <v>1023</v>
      </c>
      <c r="M26" s="350"/>
      <c r="N26" s="458"/>
      <c r="O26" s="458"/>
      <c r="P26" s="458"/>
      <c r="Q26" s="458"/>
      <c r="R26" s="458"/>
      <c r="S26" s="458"/>
      <c r="T26" s="458"/>
      <c r="U26" s="458"/>
      <c r="V26" s="458"/>
    </row>
    <row r="27" spans="1:22">
      <c r="A27" s="344" t="s">
        <v>40</v>
      </c>
      <c r="B27" s="344">
        <v>12156642</v>
      </c>
      <c r="C27" s="345"/>
      <c r="D27" s="344" t="s">
        <v>1165</v>
      </c>
      <c r="E27" s="200" t="s">
        <v>1166</v>
      </c>
      <c r="F27" s="344">
        <v>31991195801</v>
      </c>
      <c r="G27" s="200" t="s">
        <v>1020</v>
      </c>
      <c r="H27" s="344" t="s">
        <v>73</v>
      </c>
      <c r="I27" s="344" t="s">
        <v>1167</v>
      </c>
      <c r="J27" s="344" t="s">
        <v>1168</v>
      </c>
      <c r="K27" s="349"/>
      <c r="L27" s="344" t="s">
        <v>1023</v>
      </c>
      <c r="M27" s="350" t="s">
        <v>1169</v>
      </c>
      <c r="N27" s="458"/>
      <c r="O27" s="458"/>
      <c r="P27" s="458"/>
      <c r="Q27" s="458"/>
      <c r="R27" s="458"/>
      <c r="S27" s="458"/>
      <c r="T27" s="458"/>
      <c r="U27" s="458"/>
      <c r="V27" s="458"/>
    </row>
    <row r="28" spans="1:22">
      <c r="A28" s="346" t="s">
        <v>104</v>
      </c>
      <c r="B28" s="346">
        <v>8764649</v>
      </c>
      <c r="C28" s="360"/>
      <c r="D28" s="346" t="s">
        <v>1170</v>
      </c>
      <c r="E28" s="353" t="s">
        <v>1171</v>
      </c>
      <c r="F28" s="346">
        <v>31996383364</v>
      </c>
      <c r="G28" s="200" t="s">
        <v>1020</v>
      </c>
      <c r="H28" s="346" t="s">
        <v>73</v>
      </c>
      <c r="I28" s="346" t="s">
        <v>1172</v>
      </c>
      <c r="J28" s="346" t="s">
        <v>1173</v>
      </c>
      <c r="K28" s="346" t="s">
        <v>1174</v>
      </c>
      <c r="L28" s="346" t="s">
        <v>1034</v>
      </c>
      <c r="M28" s="350" t="s">
        <v>1175</v>
      </c>
      <c r="N28" s="458"/>
      <c r="O28" s="458"/>
      <c r="P28" s="458"/>
      <c r="Q28" s="458"/>
      <c r="R28" s="458"/>
      <c r="S28" s="458"/>
      <c r="T28" s="458"/>
      <c r="U28" s="458"/>
      <c r="V28" s="458"/>
    </row>
    <row r="29" spans="1:22">
      <c r="A29" s="344" t="s">
        <v>104</v>
      </c>
      <c r="B29" s="344">
        <v>13054499</v>
      </c>
      <c r="C29" s="345"/>
      <c r="D29" s="344" t="s">
        <v>1176</v>
      </c>
      <c r="E29" s="200" t="s">
        <v>1177</v>
      </c>
      <c r="F29" s="344">
        <v>31985349744</v>
      </c>
      <c r="G29" s="200" t="s">
        <v>1020</v>
      </c>
      <c r="H29" s="344" t="s">
        <v>1178</v>
      </c>
      <c r="I29" s="344" t="s">
        <v>1179</v>
      </c>
      <c r="J29" s="344" t="s">
        <v>1180</v>
      </c>
      <c r="K29" s="344" t="s">
        <v>1181</v>
      </c>
      <c r="L29" s="344" t="s">
        <v>1034</v>
      </c>
      <c r="M29" s="359" t="s">
        <v>1182</v>
      </c>
      <c r="N29" s="351"/>
      <c r="O29" s="351"/>
      <c r="P29" s="351"/>
      <c r="Q29" s="351"/>
      <c r="R29" s="351"/>
      <c r="S29" s="351"/>
      <c r="T29" s="351"/>
      <c r="U29" s="351"/>
      <c r="V29" s="351"/>
    </row>
    <row r="30" spans="1:22">
      <c r="A30" s="346" t="s">
        <v>104</v>
      </c>
      <c r="B30" s="346">
        <v>10730463</v>
      </c>
      <c r="C30" s="360"/>
      <c r="D30" s="346" t="s">
        <v>38</v>
      </c>
      <c r="E30" s="353" t="s">
        <v>1183</v>
      </c>
      <c r="F30" s="346">
        <v>31989106977</v>
      </c>
      <c r="G30" s="200" t="s">
        <v>1020</v>
      </c>
      <c r="H30" s="346" t="s">
        <v>1184</v>
      </c>
      <c r="I30" s="346" t="s">
        <v>1185</v>
      </c>
      <c r="J30" s="346" t="s">
        <v>1186</v>
      </c>
      <c r="K30" s="354"/>
      <c r="L30" s="346" t="s">
        <v>1091</v>
      </c>
      <c r="M30" s="350" t="s">
        <v>1187</v>
      </c>
      <c r="N30" s="458"/>
      <c r="O30" s="458"/>
      <c r="P30" s="458"/>
      <c r="Q30" s="458"/>
      <c r="R30" s="458"/>
      <c r="S30" s="458"/>
      <c r="T30" s="458"/>
      <c r="U30" s="458"/>
      <c r="V30" s="458"/>
    </row>
    <row r="31" spans="1:22">
      <c r="A31" s="344" t="s">
        <v>104</v>
      </c>
      <c r="B31" s="344" t="s">
        <v>1188</v>
      </c>
      <c r="C31" s="345"/>
      <c r="D31" s="344" t="s">
        <v>1189</v>
      </c>
      <c r="E31" s="200" t="s">
        <v>1190</v>
      </c>
      <c r="F31" s="344">
        <v>31987914141</v>
      </c>
      <c r="G31" s="200" t="s">
        <v>1020</v>
      </c>
      <c r="H31" s="344" t="s">
        <v>1184</v>
      </c>
      <c r="I31" s="344" t="s">
        <v>1191</v>
      </c>
      <c r="J31" s="344" t="s">
        <v>1192</v>
      </c>
      <c r="K31" s="344" t="s">
        <v>1193</v>
      </c>
      <c r="L31" s="344" t="s">
        <v>1034</v>
      </c>
      <c r="M31" s="350" t="s">
        <v>1194</v>
      </c>
      <c r="N31" s="458"/>
      <c r="O31" s="458"/>
      <c r="P31" s="458"/>
      <c r="Q31" s="458"/>
      <c r="R31" s="458"/>
      <c r="S31" s="458"/>
      <c r="T31" s="458"/>
      <c r="U31" s="458"/>
      <c r="V31" s="458"/>
    </row>
    <row r="32" spans="1:22">
      <c r="A32" s="346" t="s">
        <v>104</v>
      </c>
      <c r="B32" s="346">
        <v>13375936</v>
      </c>
      <c r="C32" s="360"/>
      <c r="D32" s="346" t="s">
        <v>1195</v>
      </c>
      <c r="E32" s="353" t="s">
        <v>1196</v>
      </c>
      <c r="F32" s="346">
        <v>31993921847</v>
      </c>
      <c r="G32" s="200" t="s">
        <v>1020</v>
      </c>
      <c r="H32" s="346" t="s">
        <v>1184</v>
      </c>
      <c r="I32" s="346" t="s">
        <v>1197</v>
      </c>
      <c r="J32" s="346" t="s">
        <v>1198</v>
      </c>
      <c r="K32" s="354"/>
      <c r="L32" s="346" t="s">
        <v>1023</v>
      </c>
      <c r="M32" s="350" t="s">
        <v>1199</v>
      </c>
      <c r="N32" s="458"/>
      <c r="O32" s="458"/>
      <c r="P32" s="458"/>
      <c r="Q32" s="458"/>
      <c r="R32" s="458"/>
      <c r="S32" s="458"/>
      <c r="T32" s="458"/>
      <c r="U32" s="458"/>
      <c r="V32" s="458"/>
    </row>
    <row r="33" spans="1:22">
      <c r="A33" s="344" t="s">
        <v>104</v>
      </c>
      <c r="B33" s="344">
        <v>13108675</v>
      </c>
      <c r="C33" s="345"/>
      <c r="D33" s="344" t="s">
        <v>1200</v>
      </c>
      <c r="E33" s="365" t="s">
        <v>106</v>
      </c>
      <c r="F33" s="344">
        <v>31975792022</v>
      </c>
      <c r="G33" s="365" t="s">
        <v>1020</v>
      </c>
      <c r="H33" s="344" t="s">
        <v>79</v>
      </c>
      <c r="I33" s="344" t="s">
        <v>1201</v>
      </c>
      <c r="J33" s="344"/>
      <c r="K33" s="349"/>
      <c r="L33" s="344" t="s">
        <v>1023</v>
      </c>
      <c r="M33" s="350" t="s">
        <v>1202</v>
      </c>
      <c r="N33" s="458"/>
      <c r="O33" s="458"/>
      <c r="P33" s="458"/>
      <c r="Q33" s="458"/>
      <c r="R33" s="458"/>
      <c r="S33" s="458"/>
      <c r="T33" s="458"/>
      <c r="U33" s="458"/>
      <c r="V33" s="458"/>
    </row>
    <row r="34" spans="1:22">
      <c r="A34" s="344" t="s">
        <v>40</v>
      </c>
      <c r="B34" s="346">
        <v>9860224</v>
      </c>
      <c r="C34" s="345"/>
      <c r="D34" s="344" t="s">
        <v>1203</v>
      </c>
      <c r="E34" s="366" t="s">
        <v>775</v>
      </c>
      <c r="F34" s="346" t="s">
        <v>1204</v>
      </c>
      <c r="G34" s="365" t="s">
        <v>1020</v>
      </c>
      <c r="H34" s="346" t="s">
        <v>1205</v>
      </c>
      <c r="I34" s="346" t="s">
        <v>1206</v>
      </c>
      <c r="J34" s="346" t="s">
        <v>1207</v>
      </c>
      <c r="K34" s="346" t="s">
        <v>1208</v>
      </c>
      <c r="L34" s="346" t="s">
        <v>1091</v>
      </c>
      <c r="M34" s="367" t="s">
        <v>1209</v>
      </c>
      <c r="N34" s="368"/>
      <c r="O34" s="368"/>
      <c r="P34" s="368"/>
      <c r="Q34" s="368"/>
      <c r="R34" s="368"/>
      <c r="S34" s="368"/>
      <c r="T34" s="368"/>
      <c r="U34" s="368"/>
      <c r="V34" s="368"/>
    </row>
    <row r="35" spans="1:22">
      <c r="A35" s="346" t="s">
        <v>40</v>
      </c>
      <c r="B35" s="346">
        <v>11875457</v>
      </c>
      <c r="C35" s="360"/>
      <c r="D35" s="346" t="s">
        <v>1210</v>
      </c>
      <c r="E35" s="366" t="s">
        <v>1211</v>
      </c>
      <c r="F35" s="346">
        <v>31997121270</v>
      </c>
      <c r="G35" s="366" t="s">
        <v>1020</v>
      </c>
      <c r="H35" s="346" t="s">
        <v>1184</v>
      </c>
      <c r="I35" s="346" t="s">
        <v>1212</v>
      </c>
      <c r="J35" s="346" t="s">
        <v>1213</v>
      </c>
      <c r="K35" s="354"/>
      <c r="L35" s="346" t="s">
        <v>1034</v>
      </c>
      <c r="M35" s="369" t="s">
        <v>1214</v>
      </c>
      <c r="N35" s="346"/>
      <c r="O35" s="346"/>
      <c r="P35" s="346"/>
      <c r="Q35" s="346"/>
      <c r="R35" s="346"/>
      <c r="S35" s="346"/>
      <c r="T35" s="346"/>
      <c r="U35" s="346"/>
      <c r="V35" s="346"/>
    </row>
    <row r="36" spans="1:22">
      <c r="A36" s="346" t="s">
        <v>104</v>
      </c>
      <c r="B36" s="346"/>
      <c r="C36" s="360"/>
      <c r="D36" s="346" t="s">
        <v>1215</v>
      </c>
      <c r="E36" s="370" t="s">
        <v>1216</v>
      </c>
      <c r="F36" s="346" t="s">
        <v>1217</v>
      </c>
      <c r="G36" s="353" t="s">
        <v>1020</v>
      </c>
      <c r="H36" s="346" t="s">
        <v>73</v>
      </c>
      <c r="I36" s="346"/>
      <c r="J36" s="346" t="s">
        <v>1218</v>
      </c>
      <c r="K36" s="346" t="s">
        <v>1219</v>
      </c>
      <c r="L36" s="346" t="s">
        <v>1091</v>
      </c>
      <c r="M36" s="369" t="s">
        <v>1220</v>
      </c>
      <c r="N36" s="346"/>
      <c r="O36" s="346"/>
      <c r="P36" s="346"/>
      <c r="Q36" s="346"/>
      <c r="R36" s="346"/>
      <c r="S36" s="346"/>
      <c r="T36" s="346"/>
      <c r="U36" s="346"/>
      <c r="V36" s="346"/>
    </row>
    <row r="37" spans="1:22">
      <c r="A37" s="344" t="s">
        <v>40</v>
      </c>
      <c r="B37" s="344">
        <v>11053121</v>
      </c>
      <c r="C37" s="345"/>
      <c r="D37" s="344" t="s">
        <v>1221</v>
      </c>
      <c r="E37" s="371" t="s">
        <v>1222</v>
      </c>
      <c r="F37" s="344" t="s">
        <v>1223</v>
      </c>
      <c r="G37" s="200" t="s">
        <v>1020</v>
      </c>
      <c r="H37" s="344" t="s">
        <v>73</v>
      </c>
      <c r="I37" s="344" t="s">
        <v>1224</v>
      </c>
      <c r="J37" s="344" t="s">
        <v>1225</v>
      </c>
      <c r="K37" s="349"/>
      <c r="L37" s="344" t="s">
        <v>1091</v>
      </c>
      <c r="M37" s="372" t="s">
        <v>1226</v>
      </c>
      <c r="N37" s="344"/>
      <c r="O37" s="344"/>
      <c r="P37" s="344"/>
      <c r="Q37" s="344"/>
      <c r="R37" s="344"/>
      <c r="S37" s="344"/>
      <c r="T37" s="344"/>
      <c r="U37" s="344"/>
      <c r="V37" s="344"/>
    </row>
    <row r="38" spans="1:22">
      <c r="A38" s="344" t="s">
        <v>40</v>
      </c>
      <c r="B38" s="344">
        <v>16338006</v>
      </c>
      <c r="C38" s="345"/>
      <c r="D38" s="344" t="s">
        <v>1227</v>
      </c>
      <c r="E38" s="371" t="s">
        <v>1228</v>
      </c>
      <c r="F38" s="344">
        <v>32984595434</v>
      </c>
      <c r="G38" s="200" t="s">
        <v>1020</v>
      </c>
      <c r="H38" s="344" t="s">
        <v>1229</v>
      </c>
      <c r="I38" s="344" t="s">
        <v>1230</v>
      </c>
      <c r="J38" s="344" t="s">
        <v>1231</v>
      </c>
      <c r="K38" s="349"/>
      <c r="L38" s="344" t="s">
        <v>1034</v>
      </c>
      <c r="M38" s="372" t="s">
        <v>1232</v>
      </c>
      <c r="N38" s="344"/>
      <c r="O38" s="344"/>
      <c r="P38" s="344"/>
      <c r="Q38" s="344"/>
      <c r="R38" s="344"/>
      <c r="S38" s="344"/>
      <c r="T38" s="344"/>
      <c r="U38" s="344"/>
      <c r="V38" s="344"/>
    </row>
    <row r="39" spans="1:22">
      <c r="A39" s="344" t="s">
        <v>104</v>
      </c>
      <c r="B39" s="344">
        <v>11161585</v>
      </c>
      <c r="C39" s="345"/>
      <c r="D39" s="344" t="s">
        <v>866</v>
      </c>
      <c r="E39" s="371" t="s">
        <v>1233</v>
      </c>
      <c r="F39" s="344" t="s">
        <v>1234</v>
      </c>
      <c r="G39" s="200" t="s">
        <v>1020</v>
      </c>
      <c r="H39" s="344"/>
      <c r="I39" s="344" t="s">
        <v>1235</v>
      </c>
      <c r="J39" s="344" t="s">
        <v>1236</v>
      </c>
      <c r="K39" s="349"/>
      <c r="L39" s="344" t="s">
        <v>1023</v>
      </c>
      <c r="M39" s="372" t="s">
        <v>1237</v>
      </c>
      <c r="N39" s="344"/>
      <c r="O39" s="344"/>
      <c r="P39" s="344"/>
      <c r="Q39" s="344"/>
      <c r="R39" s="344"/>
      <c r="S39" s="344"/>
      <c r="T39" s="344"/>
      <c r="U39" s="344"/>
      <c r="V39" s="344"/>
    </row>
    <row r="40" spans="1:22">
      <c r="A40" s="344" t="s">
        <v>40</v>
      </c>
      <c r="B40" s="344">
        <v>16363558</v>
      </c>
      <c r="C40" s="345"/>
      <c r="D40" s="344" t="s">
        <v>1238</v>
      </c>
      <c r="E40" s="371" t="s">
        <v>1239</v>
      </c>
      <c r="F40" s="344">
        <v>32988368962</v>
      </c>
      <c r="G40" s="200" t="s">
        <v>1020</v>
      </c>
      <c r="H40" s="344"/>
      <c r="I40" s="344" t="s">
        <v>1240</v>
      </c>
      <c r="J40" s="344" t="s">
        <v>1241</v>
      </c>
      <c r="K40" s="349"/>
      <c r="L40" s="344" t="s">
        <v>1023</v>
      </c>
      <c r="M40" s="372" t="s">
        <v>1242</v>
      </c>
      <c r="N40" s="344"/>
      <c r="O40" s="344"/>
      <c r="P40" s="344"/>
      <c r="Q40" s="344"/>
      <c r="R40" s="344"/>
      <c r="S40" s="344"/>
      <c r="T40" s="344"/>
      <c r="U40" s="344"/>
      <c r="V40" s="344"/>
    </row>
    <row r="41" spans="1:22">
      <c r="A41" s="200"/>
      <c r="B41" s="200"/>
      <c r="C41" s="373"/>
      <c r="D41" s="200"/>
      <c r="E41" s="200"/>
      <c r="F41" s="200"/>
      <c r="G41" s="200"/>
      <c r="H41" s="200"/>
      <c r="I41" s="200"/>
      <c r="J41" s="366"/>
      <c r="K41" s="374"/>
      <c r="L41" s="366"/>
      <c r="M41" s="375"/>
      <c r="N41" s="376"/>
      <c r="O41" s="376"/>
      <c r="P41" s="376"/>
      <c r="Q41" s="376"/>
      <c r="R41" s="376"/>
      <c r="S41" s="376"/>
      <c r="T41" s="376"/>
      <c r="U41" s="376"/>
      <c r="V41" s="376"/>
    </row>
    <row r="42" spans="1:22">
      <c r="A42" s="200"/>
      <c r="B42" s="200"/>
      <c r="C42" s="373"/>
      <c r="D42" s="200"/>
      <c r="E42" s="200"/>
      <c r="F42" s="200"/>
      <c r="G42" s="200"/>
      <c r="H42" s="200"/>
      <c r="I42" s="200"/>
      <c r="J42" s="366"/>
      <c r="K42" s="374"/>
      <c r="L42" s="366"/>
      <c r="M42" s="375"/>
      <c r="N42" s="376"/>
      <c r="O42" s="376"/>
      <c r="P42" s="376"/>
      <c r="Q42" s="376"/>
      <c r="R42" s="376"/>
      <c r="S42" s="376"/>
      <c r="T42" s="376"/>
      <c r="U42" s="376"/>
      <c r="V42" s="376"/>
    </row>
    <row r="43" spans="1:22">
      <c r="A43" s="200"/>
      <c r="B43" s="200"/>
      <c r="C43" s="373"/>
      <c r="D43" s="200"/>
      <c r="E43" s="200"/>
      <c r="F43" s="200"/>
      <c r="G43" s="200"/>
      <c r="H43" s="200"/>
      <c r="I43" s="200"/>
      <c r="J43" s="366"/>
      <c r="K43" s="374"/>
      <c r="L43" s="366"/>
      <c r="M43" s="375"/>
      <c r="N43" s="376"/>
      <c r="O43" s="376"/>
      <c r="P43" s="376"/>
      <c r="Q43" s="376"/>
      <c r="R43" s="376"/>
      <c r="S43" s="376"/>
      <c r="T43" s="376"/>
      <c r="U43" s="376"/>
      <c r="V43" s="376"/>
    </row>
    <row r="44" spans="1:22">
      <c r="A44" s="200"/>
      <c r="B44" s="200"/>
      <c r="C44" s="373"/>
      <c r="D44" s="200"/>
      <c r="E44" s="200"/>
      <c r="F44" s="200"/>
      <c r="G44" s="200"/>
      <c r="H44" s="200"/>
      <c r="I44" s="200"/>
      <c r="J44" s="366"/>
      <c r="K44" s="374"/>
      <c r="L44" s="366"/>
      <c r="M44" s="375"/>
      <c r="N44" s="376"/>
      <c r="O44" s="376"/>
      <c r="P44" s="376"/>
      <c r="Q44" s="376"/>
      <c r="R44" s="376"/>
      <c r="S44" s="376"/>
      <c r="T44" s="376"/>
      <c r="U44" s="376"/>
      <c r="V44" s="376"/>
    </row>
    <row r="45" spans="1:22">
      <c r="A45" s="200"/>
      <c r="B45" s="200"/>
      <c r="C45" s="373"/>
      <c r="D45" s="200"/>
      <c r="E45" s="200"/>
      <c r="F45" s="200"/>
      <c r="G45" s="200"/>
      <c r="H45" s="200"/>
      <c r="I45" s="200"/>
      <c r="J45" s="366"/>
      <c r="K45" s="374"/>
      <c r="L45" s="366"/>
      <c r="M45" s="375"/>
      <c r="N45" s="376"/>
      <c r="O45" s="376"/>
      <c r="P45" s="376"/>
      <c r="Q45" s="376"/>
      <c r="R45" s="376"/>
      <c r="S45" s="376"/>
      <c r="T45" s="376"/>
      <c r="U45" s="376"/>
      <c r="V45" s="376"/>
    </row>
    <row r="46" spans="1:22">
      <c r="A46" s="200"/>
      <c r="B46" s="200"/>
      <c r="C46" s="373"/>
      <c r="D46" s="200"/>
      <c r="E46" s="200"/>
      <c r="F46" s="200"/>
      <c r="G46" s="200"/>
      <c r="H46" s="200"/>
      <c r="I46" s="200"/>
      <c r="J46" s="366"/>
      <c r="K46" s="374"/>
      <c r="L46" s="366"/>
      <c r="M46" s="375"/>
      <c r="N46" s="376"/>
      <c r="O46" s="376"/>
      <c r="P46" s="376"/>
      <c r="Q46" s="376"/>
      <c r="R46" s="376"/>
      <c r="S46" s="376"/>
      <c r="T46" s="376"/>
      <c r="U46" s="376"/>
      <c r="V46" s="376"/>
    </row>
    <row r="47" spans="1:22">
      <c r="A47" s="200"/>
      <c r="B47" s="200"/>
      <c r="C47" s="373"/>
      <c r="D47" s="200"/>
      <c r="E47" s="200"/>
      <c r="F47" s="200"/>
      <c r="G47" s="200"/>
      <c r="H47" s="200"/>
      <c r="I47" s="200"/>
      <c r="J47" s="366"/>
      <c r="K47" s="374"/>
      <c r="L47" s="366"/>
      <c r="M47" s="375"/>
      <c r="N47" s="376"/>
      <c r="O47" s="376"/>
      <c r="P47" s="376"/>
      <c r="Q47" s="376"/>
      <c r="R47" s="376"/>
      <c r="S47" s="376"/>
      <c r="T47" s="376"/>
      <c r="U47" s="376"/>
      <c r="V47" s="376"/>
    </row>
    <row r="48" spans="1:22">
      <c r="A48" s="200"/>
      <c r="B48" s="200"/>
      <c r="C48" s="373"/>
      <c r="D48" s="200"/>
      <c r="E48" s="200"/>
      <c r="F48" s="200"/>
      <c r="G48" s="200"/>
      <c r="H48" s="200"/>
      <c r="I48" s="200"/>
      <c r="J48" s="366"/>
      <c r="K48" s="374"/>
      <c r="L48" s="366"/>
      <c r="M48" s="375"/>
      <c r="N48" s="376"/>
      <c r="O48" s="376"/>
      <c r="P48" s="376"/>
      <c r="Q48" s="376"/>
      <c r="R48" s="376"/>
      <c r="S48" s="376"/>
      <c r="T48" s="376"/>
      <c r="U48" s="376"/>
      <c r="V48" s="376"/>
    </row>
    <row r="49" spans="1:22">
      <c r="A49" s="200"/>
      <c r="B49" s="200"/>
      <c r="C49" s="373"/>
      <c r="D49" s="200"/>
      <c r="E49" s="200"/>
      <c r="F49" s="200"/>
      <c r="G49" s="200"/>
      <c r="H49" s="200"/>
      <c r="I49" s="200"/>
      <c r="J49" s="366"/>
      <c r="K49" s="374"/>
      <c r="L49" s="366"/>
      <c r="M49" s="375"/>
      <c r="N49" s="376"/>
      <c r="O49" s="376"/>
      <c r="P49" s="376"/>
      <c r="Q49" s="376"/>
      <c r="R49" s="376"/>
      <c r="S49" s="376"/>
      <c r="T49" s="376"/>
      <c r="U49" s="376"/>
      <c r="V49" s="376"/>
    </row>
    <row r="50" spans="1:22">
      <c r="A50" s="200"/>
      <c r="B50" s="200"/>
      <c r="C50" s="373"/>
      <c r="D50" s="200"/>
      <c r="E50" s="200"/>
      <c r="F50" s="200"/>
      <c r="G50" s="200"/>
      <c r="H50" s="200"/>
      <c r="I50" s="200"/>
      <c r="J50" s="366"/>
      <c r="K50" s="374"/>
      <c r="L50" s="366"/>
      <c r="M50" s="375"/>
      <c r="N50" s="376"/>
      <c r="O50" s="376"/>
      <c r="P50" s="376"/>
      <c r="Q50" s="376"/>
      <c r="R50" s="376"/>
      <c r="S50" s="376"/>
      <c r="T50" s="376"/>
      <c r="U50" s="376"/>
      <c r="V50" s="376"/>
    </row>
    <row r="51" spans="1:22">
      <c r="A51" s="200"/>
      <c r="B51" s="200"/>
      <c r="C51" s="373"/>
      <c r="D51" s="200"/>
      <c r="E51" s="200"/>
      <c r="F51" s="200"/>
      <c r="G51" s="200"/>
      <c r="H51" s="200"/>
      <c r="I51" s="200"/>
      <c r="J51" s="366"/>
      <c r="K51" s="374"/>
      <c r="L51" s="366"/>
      <c r="M51" s="375"/>
      <c r="N51" s="376"/>
      <c r="O51" s="376"/>
      <c r="P51" s="376"/>
      <c r="Q51" s="376"/>
      <c r="R51" s="376"/>
      <c r="S51" s="376"/>
      <c r="T51" s="376"/>
      <c r="U51" s="376"/>
      <c r="V51" s="376"/>
    </row>
    <row r="52" spans="1:22">
      <c r="A52" s="200"/>
      <c r="B52" s="200"/>
      <c r="C52" s="373"/>
      <c r="D52" s="200"/>
      <c r="E52" s="200"/>
      <c r="F52" s="200"/>
      <c r="G52" s="200"/>
      <c r="H52" s="200"/>
      <c r="I52" s="200"/>
      <c r="J52" s="366"/>
      <c r="K52" s="374"/>
      <c r="L52" s="366"/>
      <c r="M52" s="375"/>
      <c r="N52" s="376"/>
      <c r="O52" s="376"/>
      <c r="P52" s="376"/>
      <c r="Q52" s="376"/>
      <c r="R52" s="376"/>
      <c r="S52" s="376"/>
      <c r="T52" s="376"/>
      <c r="U52" s="376"/>
      <c r="V52" s="376"/>
    </row>
    <row r="53" spans="1:22">
      <c r="A53" s="200"/>
      <c r="B53" s="200"/>
      <c r="C53" s="373"/>
      <c r="D53" s="200"/>
      <c r="E53" s="200"/>
      <c r="F53" s="200"/>
      <c r="G53" s="200"/>
      <c r="H53" s="200"/>
      <c r="I53" s="200"/>
      <c r="J53" s="366"/>
      <c r="K53" s="374"/>
      <c r="L53" s="366"/>
      <c r="M53" s="375"/>
      <c r="N53" s="376"/>
      <c r="O53" s="376"/>
      <c r="P53" s="376"/>
      <c r="Q53" s="376"/>
      <c r="R53" s="376"/>
      <c r="S53" s="376"/>
      <c r="T53" s="376"/>
      <c r="U53" s="376"/>
      <c r="V53" s="376"/>
    </row>
    <row r="54" spans="1:22">
      <c r="A54" s="200"/>
      <c r="B54" s="200"/>
      <c r="C54" s="373"/>
      <c r="D54" s="200"/>
      <c r="E54" s="200"/>
      <c r="F54" s="200"/>
      <c r="G54" s="200"/>
      <c r="H54" s="200"/>
      <c r="I54" s="200"/>
      <c r="J54" s="366"/>
      <c r="K54" s="374"/>
      <c r="L54" s="366"/>
      <c r="M54" s="375"/>
      <c r="N54" s="376"/>
      <c r="O54" s="376"/>
      <c r="P54" s="376"/>
      <c r="Q54" s="376"/>
      <c r="R54" s="376"/>
      <c r="S54" s="376"/>
      <c r="T54" s="376"/>
      <c r="U54" s="376"/>
      <c r="V54" s="376"/>
    </row>
    <row r="55" spans="1:22">
      <c r="A55" s="200"/>
      <c r="B55" s="200"/>
      <c r="C55" s="373"/>
      <c r="D55" s="200"/>
      <c r="E55" s="200"/>
      <c r="F55" s="200"/>
      <c r="G55" s="200"/>
      <c r="H55" s="200"/>
      <c r="I55" s="200"/>
      <c r="J55" s="366"/>
      <c r="K55" s="374"/>
      <c r="L55" s="366"/>
      <c r="M55" s="375"/>
      <c r="N55" s="376"/>
      <c r="O55" s="376"/>
      <c r="P55" s="376"/>
      <c r="Q55" s="376"/>
      <c r="R55" s="376"/>
      <c r="S55" s="376"/>
      <c r="T55" s="376"/>
      <c r="U55" s="376"/>
      <c r="V55" s="376"/>
    </row>
    <row r="56" spans="1:22">
      <c r="A56" s="200"/>
      <c r="B56" s="200"/>
      <c r="C56" s="373"/>
      <c r="D56" s="200"/>
      <c r="E56" s="200"/>
      <c r="F56" s="200"/>
      <c r="G56" s="200"/>
      <c r="H56" s="200"/>
      <c r="I56" s="200"/>
      <c r="J56" s="366"/>
      <c r="K56" s="374"/>
      <c r="L56" s="366"/>
      <c r="M56" s="375"/>
      <c r="N56" s="376"/>
      <c r="O56" s="376"/>
      <c r="P56" s="376"/>
      <c r="Q56" s="376"/>
      <c r="R56" s="376"/>
      <c r="S56" s="376"/>
      <c r="T56" s="376"/>
      <c r="U56" s="376"/>
      <c r="V56" s="376"/>
    </row>
    <row r="57" spans="1:22">
      <c r="A57" s="200"/>
      <c r="B57" s="200"/>
      <c r="C57" s="373"/>
      <c r="D57" s="200"/>
      <c r="E57" s="200"/>
      <c r="F57" s="200"/>
      <c r="G57" s="200"/>
      <c r="H57" s="200"/>
      <c r="I57" s="200"/>
      <c r="J57" s="366"/>
      <c r="K57" s="374"/>
      <c r="L57" s="366"/>
      <c r="M57" s="375"/>
      <c r="N57" s="376"/>
      <c r="O57" s="376"/>
      <c r="P57" s="376"/>
      <c r="Q57" s="376"/>
      <c r="R57" s="376"/>
      <c r="S57" s="376"/>
      <c r="T57" s="376"/>
      <c r="U57" s="376"/>
      <c r="V57" s="376"/>
    </row>
    <row r="58" spans="1:22">
      <c r="A58" s="200"/>
      <c r="B58" s="200"/>
      <c r="C58" s="373"/>
      <c r="D58" s="200"/>
      <c r="E58" s="200"/>
      <c r="F58" s="200"/>
      <c r="G58" s="200"/>
      <c r="H58" s="200"/>
      <c r="I58" s="200"/>
      <c r="J58" s="366"/>
      <c r="K58" s="374"/>
      <c r="L58" s="366"/>
      <c r="M58" s="375"/>
      <c r="N58" s="376"/>
      <c r="O58" s="376"/>
      <c r="P58" s="376"/>
      <c r="Q58" s="376"/>
      <c r="R58" s="376"/>
      <c r="S58" s="376"/>
      <c r="T58" s="376"/>
      <c r="U58" s="376"/>
      <c r="V58" s="376"/>
    </row>
    <row r="59" spans="1:22">
      <c r="A59" s="200"/>
      <c r="B59" s="200"/>
      <c r="C59" s="373"/>
      <c r="D59" s="200"/>
      <c r="E59" s="200"/>
      <c r="F59" s="200"/>
      <c r="G59" s="200"/>
      <c r="H59" s="200"/>
      <c r="I59" s="200"/>
      <c r="J59" s="366"/>
      <c r="K59" s="374"/>
      <c r="L59" s="366"/>
      <c r="M59" s="375"/>
      <c r="N59" s="376"/>
      <c r="O59" s="376"/>
      <c r="P59" s="376"/>
      <c r="Q59" s="376"/>
      <c r="R59" s="376"/>
      <c r="S59" s="376"/>
      <c r="T59" s="376"/>
      <c r="U59" s="376"/>
      <c r="V59" s="376"/>
    </row>
    <row r="60" spans="1:22">
      <c r="A60" s="200"/>
      <c r="B60" s="200"/>
      <c r="C60" s="373"/>
      <c r="D60" s="200"/>
      <c r="E60" s="200"/>
      <c r="F60" s="200"/>
      <c r="G60" s="200"/>
      <c r="H60" s="200"/>
      <c r="I60" s="200"/>
      <c r="J60" s="366"/>
      <c r="K60" s="374"/>
      <c r="L60" s="366"/>
      <c r="M60" s="375"/>
      <c r="N60" s="376"/>
      <c r="O60" s="376"/>
      <c r="P60" s="376"/>
      <c r="Q60" s="376"/>
      <c r="R60" s="376"/>
      <c r="S60" s="376"/>
      <c r="T60" s="376"/>
      <c r="U60" s="376"/>
      <c r="V60" s="376"/>
    </row>
    <row r="61" spans="1:22">
      <c r="A61" s="200"/>
      <c r="B61" s="200"/>
      <c r="C61" s="373"/>
      <c r="D61" s="200"/>
      <c r="E61" s="200"/>
      <c r="F61" s="200"/>
      <c r="G61" s="200"/>
      <c r="H61" s="200"/>
      <c r="I61" s="200"/>
      <c r="J61" s="366"/>
      <c r="K61" s="374"/>
      <c r="L61" s="366"/>
      <c r="M61" s="375"/>
      <c r="N61" s="376"/>
      <c r="O61" s="376"/>
      <c r="P61" s="376"/>
      <c r="Q61" s="376"/>
      <c r="R61" s="376"/>
      <c r="S61" s="376"/>
      <c r="T61" s="376"/>
      <c r="U61" s="376"/>
      <c r="V61" s="376"/>
    </row>
    <row r="62" spans="1:22">
      <c r="A62" s="200"/>
      <c r="B62" s="200"/>
      <c r="C62" s="373"/>
      <c r="D62" s="200"/>
      <c r="E62" s="200"/>
      <c r="F62" s="200"/>
      <c r="G62" s="200"/>
      <c r="H62" s="200"/>
      <c r="I62" s="200"/>
      <c r="J62" s="366"/>
      <c r="K62" s="374"/>
      <c r="L62" s="366"/>
      <c r="M62" s="375"/>
      <c r="N62" s="376"/>
      <c r="O62" s="376"/>
      <c r="P62" s="376"/>
      <c r="Q62" s="376"/>
      <c r="R62" s="376"/>
      <c r="S62" s="376"/>
      <c r="T62" s="376"/>
      <c r="U62" s="376"/>
      <c r="V62" s="376"/>
    </row>
    <row r="63" spans="1:22">
      <c r="A63" s="200"/>
      <c r="B63" s="200"/>
      <c r="C63" s="373"/>
      <c r="D63" s="200"/>
      <c r="E63" s="200"/>
      <c r="F63" s="200"/>
      <c r="G63" s="200"/>
      <c r="H63" s="200"/>
      <c r="I63" s="200"/>
      <c r="J63" s="366"/>
      <c r="K63" s="374"/>
      <c r="L63" s="366"/>
      <c r="M63" s="375"/>
      <c r="N63" s="376"/>
      <c r="O63" s="376"/>
      <c r="P63" s="376"/>
      <c r="Q63" s="376"/>
      <c r="R63" s="376"/>
      <c r="S63" s="376"/>
      <c r="T63" s="376"/>
      <c r="U63" s="376"/>
      <c r="V63" s="376"/>
    </row>
    <row r="64" spans="1:22">
      <c r="A64" s="200"/>
      <c r="B64" s="200"/>
      <c r="C64" s="373"/>
      <c r="D64" s="200"/>
      <c r="E64" s="200"/>
      <c r="F64" s="200"/>
      <c r="G64" s="200"/>
      <c r="H64" s="200"/>
      <c r="I64" s="200"/>
      <c r="J64" s="366"/>
      <c r="K64" s="374"/>
      <c r="L64" s="366"/>
      <c r="M64" s="375"/>
      <c r="N64" s="376"/>
      <c r="O64" s="376"/>
      <c r="P64" s="376"/>
      <c r="Q64" s="376"/>
      <c r="R64" s="376"/>
      <c r="S64" s="376"/>
      <c r="T64" s="376"/>
      <c r="U64" s="376"/>
      <c r="V64" s="376"/>
    </row>
    <row r="65" spans="1:22">
      <c r="A65" s="200"/>
      <c r="B65" s="200"/>
      <c r="C65" s="373"/>
      <c r="D65" s="200"/>
      <c r="E65" s="200"/>
      <c r="F65" s="200"/>
      <c r="G65" s="200"/>
      <c r="H65" s="200"/>
      <c r="I65" s="200"/>
      <c r="J65" s="366"/>
      <c r="K65" s="374"/>
      <c r="L65" s="366"/>
      <c r="M65" s="375"/>
      <c r="N65" s="376"/>
      <c r="O65" s="376"/>
      <c r="P65" s="376"/>
      <c r="Q65" s="376"/>
      <c r="R65" s="376"/>
      <c r="S65" s="376"/>
      <c r="T65" s="376"/>
      <c r="U65" s="376"/>
      <c r="V65" s="376"/>
    </row>
    <row r="66" spans="1:22">
      <c r="A66" s="200"/>
      <c r="B66" s="200"/>
      <c r="C66" s="373"/>
      <c r="D66" s="200"/>
      <c r="E66" s="200"/>
      <c r="F66" s="200"/>
      <c r="G66" s="200"/>
      <c r="H66" s="200"/>
      <c r="I66" s="200"/>
      <c r="J66" s="366"/>
      <c r="K66" s="374"/>
      <c r="L66" s="366"/>
      <c r="M66" s="375"/>
      <c r="N66" s="376"/>
      <c r="O66" s="376"/>
      <c r="P66" s="376"/>
      <c r="Q66" s="376"/>
      <c r="R66" s="376"/>
      <c r="S66" s="376"/>
      <c r="T66" s="376"/>
      <c r="U66" s="376"/>
      <c r="V66" s="376"/>
    </row>
    <row r="67" spans="1:22">
      <c r="A67" s="200"/>
      <c r="B67" s="200"/>
      <c r="C67" s="373"/>
      <c r="D67" s="200"/>
      <c r="E67" s="200"/>
      <c r="F67" s="200"/>
      <c r="G67" s="200"/>
      <c r="H67" s="200"/>
      <c r="I67" s="200"/>
      <c r="J67" s="366"/>
      <c r="K67" s="374"/>
      <c r="L67" s="366"/>
      <c r="M67" s="375"/>
      <c r="N67" s="376"/>
      <c r="O67" s="376"/>
      <c r="P67" s="376"/>
      <c r="Q67" s="376"/>
      <c r="R67" s="376"/>
      <c r="S67" s="376"/>
      <c r="T67" s="376"/>
      <c r="U67" s="376"/>
      <c r="V67" s="376"/>
    </row>
    <row r="68" spans="1:22">
      <c r="A68" s="200"/>
      <c r="B68" s="200"/>
      <c r="C68" s="373"/>
      <c r="D68" s="200"/>
      <c r="E68" s="200"/>
      <c r="F68" s="200"/>
      <c r="G68" s="200"/>
      <c r="H68" s="200"/>
      <c r="I68" s="200"/>
      <c r="J68" s="366"/>
      <c r="K68" s="374"/>
      <c r="L68" s="366"/>
      <c r="M68" s="375"/>
      <c r="N68" s="376"/>
      <c r="O68" s="376"/>
      <c r="P68" s="376"/>
      <c r="Q68" s="376"/>
      <c r="R68" s="376"/>
      <c r="S68" s="376"/>
      <c r="T68" s="376"/>
      <c r="U68" s="376"/>
      <c r="V68" s="376"/>
    </row>
    <row r="69" spans="1:22">
      <c r="A69" s="200"/>
      <c r="B69" s="200"/>
      <c r="C69" s="373"/>
      <c r="D69" s="200"/>
      <c r="E69" s="200"/>
      <c r="F69" s="200"/>
      <c r="G69" s="200"/>
      <c r="H69" s="200"/>
      <c r="I69" s="200"/>
      <c r="J69" s="366"/>
      <c r="K69" s="374"/>
      <c r="L69" s="366"/>
      <c r="M69" s="375"/>
      <c r="N69" s="376"/>
      <c r="O69" s="376"/>
      <c r="P69" s="376"/>
      <c r="Q69" s="376"/>
      <c r="R69" s="376"/>
      <c r="S69" s="376"/>
      <c r="T69" s="376"/>
      <c r="U69" s="376"/>
      <c r="V69" s="376"/>
    </row>
    <row r="70" spans="1:22">
      <c r="A70" s="200"/>
      <c r="B70" s="200"/>
      <c r="C70" s="373"/>
      <c r="D70" s="200"/>
      <c r="E70" s="200"/>
      <c r="F70" s="200"/>
      <c r="G70" s="200"/>
      <c r="H70" s="200"/>
      <c r="I70" s="200"/>
      <c r="J70" s="366"/>
      <c r="K70" s="374"/>
      <c r="L70" s="366"/>
      <c r="M70" s="375"/>
      <c r="N70" s="376"/>
      <c r="O70" s="376"/>
      <c r="P70" s="376"/>
      <c r="Q70" s="376"/>
      <c r="R70" s="376"/>
      <c r="S70" s="376"/>
      <c r="T70" s="376"/>
      <c r="U70" s="376"/>
      <c r="V70" s="376"/>
    </row>
    <row r="71" spans="1:22">
      <c r="A71" s="200"/>
      <c r="B71" s="200"/>
      <c r="C71" s="373"/>
      <c r="D71" s="200"/>
      <c r="E71" s="200"/>
      <c r="F71" s="200"/>
      <c r="G71" s="200"/>
      <c r="H71" s="200"/>
      <c r="I71" s="200"/>
      <c r="J71" s="366"/>
      <c r="K71" s="374"/>
      <c r="L71" s="366"/>
      <c r="M71" s="375"/>
      <c r="N71" s="376"/>
      <c r="O71" s="376"/>
      <c r="P71" s="376"/>
      <c r="Q71" s="376"/>
      <c r="R71" s="376"/>
      <c r="S71" s="376"/>
      <c r="T71" s="376"/>
      <c r="U71" s="376"/>
      <c r="V71" s="376"/>
    </row>
    <row r="72" spans="1:22">
      <c r="A72" s="200"/>
      <c r="B72" s="200"/>
      <c r="C72" s="373"/>
      <c r="D72" s="200"/>
      <c r="E72" s="200"/>
      <c r="F72" s="200"/>
      <c r="G72" s="200"/>
      <c r="H72" s="200"/>
      <c r="I72" s="200"/>
      <c r="J72" s="366"/>
      <c r="K72" s="374"/>
      <c r="L72" s="366"/>
      <c r="M72" s="375"/>
      <c r="N72" s="376"/>
      <c r="O72" s="376"/>
      <c r="P72" s="376"/>
      <c r="Q72" s="376"/>
      <c r="R72" s="376"/>
      <c r="S72" s="376"/>
      <c r="T72" s="376"/>
      <c r="U72" s="376"/>
      <c r="V72" s="376"/>
    </row>
    <row r="73" spans="1:22">
      <c r="A73" s="200"/>
      <c r="B73" s="200"/>
      <c r="C73" s="373"/>
      <c r="D73" s="200"/>
      <c r="E73" s="200"/>
      <c r="F73" s="200"/>
      <c r="G73" s="200"/>
      <c r="H73" s="200"/>
      <c r="I73" s="200"/>
      <c r="J73" s="366"/>
      <c r="K73" s="374"/>
      <c r="L73" s="366"/>
      <c r="M73" s="375"/>
      <c r="N73" s="376"/>
      <c r="O73" s="376"/>
      <c r="P73" s="376"/>
      <c r="Q73" s="376"/>
      <c r="R73" s="376"/>
      <c r="S73" s="376"/>
      <c r="T73" s="376"/>
      <c r="U73" s="376"/>
      <c r="V73" s="376"/>
    </row>
    <row r="74" spans="1:22">
      <c r="A74" s="200"/>
      <c r="B74" s="200"/>
      <c r="C74" s="373"/>
      <c r="D74" s="200"/>
      <c r="E74" s="200"/>
      <c r="F74" s="200"/>
      <c r="G74" s="200"/>
      <c r="H74" s="200"/>
      <c r="I74" s="200"/>
      <c r="J74" s="366"/>
      <c r="K74" s="374"/>
      <c r="L74" s="366"/>
      <c r="M74" s="375"/>
      <c r="N74" s="376"/>
      <c r="O74" s="376"/>
      <c r="P74" s="376"/>
      <c r="Q74" s="376"/>
      <c r="R74" s="376"/>
      <c r="S74" s="376"/>
      <c r="T74" s="376"/>
      <c r="U74" s="376"/>
      <c r="V74" s="376"/>
    </row>
    <row r="75" spans="1:22">
      <c r="A75" s="200"/>
      <c r="B75" s="200"/>
      <c r="C75" s="373"/>
      <c r="D75" s="200"/>
      <c r="E75" s="200"/>
      <c r="F75" s="200"/>
      <c r="G75" s="200"/>
      <c r="H75" s="200"/>
      <c r="I75" s="200"/>
      <c r="J75" s="366"/>
      <c r="K75" s="374"/>
      <c r="L75" s="366"/>
      <c r="M75" s="375"/>
      <c r="N75" s="376"/>
      <c r="O75" s="376"/>
      <c r="P75" s="376"/>
      <c r="Q75" s="376"/>
      <c r="R75" s="376"/>
      <c r="S75" s="376"/>
      <c r="T75" s="376"/>
      <c r="U75" s="376"/>
      <c r="V75" s="376"/>
    </row>
    <row r="76" spans="1:22">
      <c r="A76" s="200"/>
      <c r="B76" s="200"/>
      <c r="C76" s="373"/>
      <c r="D76" s="200"/>
      <c r="E76" s="200"/>
      <c r="F76" s="200"/>
      <c r="G76" s="200"/>
      <c r="H76" s="200"/>
      <c r="I76" s="200"/>
      <c r="J76" s="366"/>
      <c r="K76" s="374"/>
      <c r="L76" s="366"/>
      <c r="M76" s="375"/>
      <c r="N76" s="376"/>
      <c r="O76" s="376"/>
      <c r="P76" s="376"/>
      <c r="Q76" s="376"/>
      <c r="R76" s="376"/>
      <c r="S76" s="376"/>
      <c r="T76" s="376"/>
      <c r="U76" s="376"/>
      <c r="V76" s="376"/>
    </row>
    <row r="77" spans="1:22">
      <c r="A77" s="200"/>
      <c r="B77" s="200"/>
      <c r="C77" s="373"/>
      <c r="D77" s="200"/>
      <c r="E77" s="200"/>
      <c r="F77" s="200"/>
      <c r="G77" s="200"/>
      <c r="H77" s="200"/>
      <c r="I77" s="200"/>
      <c r="J77" s="366"/>
      <c r="K77" s="374"/>
      <c r="L77" s="366"/>
      <c r="M77" s="375"/>
      <c r="N77" s="376"/>
      <c r="O77" s="376"/>
      <c r="P77" s="376"/>
      <c r="Q77" s="376"/>
      <c r="R77" s="376"/>
      <c r="S77" s="376"/>
      <c r="T77" s="376"/>
      <c r="U77" s="376"/>
      <c r="V77" s="376"/>
    </row>
    <row r="78" spans="1:22">
      <c r="A78" s="200"/>
      <c r="B78" s="200"/>
      <c r="C78" s="373"/>
      <c r="D78" s="200"/>
      <c r="E78" s="200"/>
      <c r="F78" s="200"/>
      <c r="G78" s="200"/>
      <c r="H78" s="200"/>
      <c r="I78" s="200"/>
      <c r="J78" s="366"/>
      <c r="K78" s="374"/>
      <c r="L78" s="366"/>
      <c r="M78" s="375"/>
      <c r="N78" s="376"/>
      <c r="O78" s="376"/>
      <c r="P78" s="376"/>
      <c r="Q78" s="376"/>
      <c r="R78" s="376"/>
      <c r="S78" s="376"/>
      <c r="T78" s="376"/>
      <c r="U78" s="376"/>
      <c r="V78" s="376"/>
    </row>
    <row r="79" spans="1:22">
      <c r="A79" s="200"/>
      <c r="B79" s="200"/>
      <c r="C79" s="373"/>
      <c r="D79" s="200"/>
      <c r="E79" s="200"/>
      <c r="F79" s="200"/>
      <c r="G79" s="200"/>
      <c r="H79" s="200"/>
      <c r="I79" s="200"/>
      <c r="J79" s="366"/>
      <c r="K79" s="374"/>
      <c r="L79" s="366"/>
      <c r="M79" s="375"/>
      <c r="N79" s="376"/>
      <c r="O79" s="376"/>
      <c r="P79" s="376"/>
      <c r="Q79" s="376"/>
      <c r="R79" s="376"/>
      <c r="S79" s="376"/>
      <c r="T79" s="376"/>
      <c r="U79" s="376"/>
      <c r="V79" s="376"/>
    </row>
    <row r="80" spans="1:22">
      <c r="A80" s="200"/>
      <c r="B80" s="200"/>
      <c r="C80" s="373"/>
      <c r="D80" s="200"/>
      <c r="E80" s="200"/>
      <c r="F80" s="200"/>
      <c r="G80" s="200"/>
      <c r="H80" s="200"/>
      <c r="I80" s="200"/>
      <c r="J80" s="366"/>
      <c r="K80" s="374"/>
      <c r="L80" s="366"/>
      <c r="M80" s="375"/>
      <c r="N80" s="376"/>
      <c r="O80" s="376"/>
      <c r="P80" s="376"/>
      <c r="Q80" s="376"/>
      <c r="R80" s="376"/>
      <c r="S80" s="376"/>
      <c r="T80" s="376"/>
      <c r="U80" s="376"/>
      <c r="V80" s="376"/>
    </row>
    <row r="81" spans="1:22">
      <c r="A81" s="200"/>
      <c r="B81" s="200"/>
      <c r="C81" s="373"/>
      <c r="D81" s="200"/>
      <c r="E81" s="200"/>
      <c r="F81" s="200"/>
      <c r="G81" s="200"/>
      <c r="H81" s="200"/>
      <c r="I81" s="200"/>
      <c r="J81" s="366"/>
      <c r="K81" s="374"/>
      <c r="L81" s="366"/>
      <c r="M81" s="375"/>
      <c r="N81" s="376"/>
      <c r="O81" s="376"/>
      <c r="P81" s="376"/>
      <c r="Q81" s="376"/>
      <c r="R81" s="376"/>
      <c r="S81" s="376"/>
      <c r="T81" s="376"/>
      <c r="U81" s="376"/>
      <c r="V81" s="376"/>
    </row>
    <row r="82" spans="1:22">
      <c r="A82" s="200"/>
      <c r="B82" s="200"/>
      <c r="C82" s="373"/>
      <c r="D82" s="200"/>
      <c r="E82" s="200"/>
      <c r="F82" s="200"/>
      <c r="G82" s="200"/>
      <c r="H82" s="200"/>
      <c r="I82" s="200"/>
      <c r="J82" s="366"/>
      <c r="K82" s="374"/>
      <c r="L82" s="366"/>
      <c r="M82" s="375"/>
      <c r="N82" s="376"/>
      <c r="O82" s="376"/>
      <c r="P82" s="376"/>
      <c r="Q82" s="376"/>
      <c r="R82" s="376"/>
      <c r="S82" s="376"/>
      <c r="T82" s="376"/>
      <c r="U82" s="376"/>
      <c r="V82" s="376"/>
    </row>
    <row r="83" spans="1:22">
      <c r="A83" s="200"/>
      <c r="B83" s="200"/>
      <c r="C83" s="373"/>
      <c r="D83" s="200"/>
      <c r="E83" s="200"/>
      <c r="F83" s="200"/>
      <c r="G83" s="200"/>
      <c r="H83" s="200"/>
      <c r="I83" s="200"/>
      <c r="J83" s="366"/>
      <c r="K83" s="374"/>
      <c r="L83" s="366"/>
      <c r="M83" s="375"/>
      <c r="N83" s="376"/>
      <c r="O83" s="376"/>
      <c r="P83" s="376"/>
      <c r="Q83" s="376"/>
      <c r="R83" s="376"/>
      <c r="S83" s="376"/>
      <c r="T83" s="376"/>
      <c r="U83" s="376"/>
      <c r="V83" s="376"/>
    </row>
    <row r="84" spans="1:22">
      <c r="A84" s="200"/>
      <c r="B84" s="200"/>
      <c r="C84" s="373"/>
      <c r="D84" s="200"/>
      <c r="E84" s="200"/>
      <c r="F84" s="200"/>
      <c r="G84" s="200"/>
      <c r="H84" s="200"/>
      <c r="I84" s="200"/>
      <c r="J84" s="366"/>
      <c r="K84" s="374"/>
      <c r="L84" s="366"/>
      <c r="M84" s="375"/>
      <c r="N84" s="376"/>
      <c r="O84" s="376"/>
      <c r="P84" s="376"/>
      <c r="Q84" s="376"/>
      <c r="R84" s="376"/>
      <c r="S84" s="376"/>
      <c r="T84" s="376"/>
      <c r="U84" s="376"/>
      <c r="V84" s="376"/>
    </row>
    <row r="85" spans="1:22">
      <c r="A85" s="200"/>
      <c r="B85" s="200"/>
      <c r="C85" s="373"/>
      <c r="D85" s="200"/>
      <c r="E85" s="200"/>
      <c r="F85" s="200"/>
      <c r="G85" s="200"/>
      <c r="H85" s="200"/>
      <c r="I85" s="200"/>
      <c r="J85" s="366"/>
      <c r="K85" s="374"/>
      <c r="L85" s="366"/>
      <c r="M85" s="375"/>
      <c r="N85" s="376"/>
      <c r="O85" s="376"/>
      <c r="P85" s="376"/>
      <c r="Q85" s="376"/>
      <c r="R85" s="376"/>
      <c r="S85" s="376"/>
      <c r="T85" s="376"/>
      <c r="U85" s="376"/>
      <c r="V85" s="376"/>
    </row>
    <row r="86" spans="1:22">
      <c r="A86" s="200"/>
      <c r="B86" s="200"/>
      <c r="C86" s="373"/>
      <c r="D86" s="200"/>
      <c r="E86" s="200"/>
      <c r="F86" s="200"/>
      <c r="G86" s="200"/>
      <c r="H86" s="200"/>
      <c r="I86" s="200"/>
      <c r="J86" s="366"/>
      <c r="K86" s="374"/>
      <c r="L86" s="366"/>
      <c r="M86" s="375"/>
      <c r="N86" s="376"/>
      <c r="O86" s="376"/>
      <c r="P86" s="376"/>
      <c r="Q86" s="376"/>
      <c r="R86" s="376"/>
      <c r="S86" s="376"/>
      <c r="T86" s="376"/>
      <c r="U86" s="376"/>
      <c r="V86" s="376"/>
    </row>
    <row r="87" spans="1:22">
      <c r="A87" s="200"/>
      <c r="B87" s="200"/>
      <c r="C87" s="373"/>
      <c r="D87" s="200"/>
      <c r="E87" s="200"/>
      <c r="F87" s="200"/>
      <c r="G87" s="200"/>
      <c r="H87" s="200"/>
      <c r="I87" s="200"/>
      <c r="J87" s="366"/>
      <c r="K87" s="374"/>
      <c r="L87" s="366"/>
      <c r="M87" s="375"/>
      <c r="N87" s="376"/>
      <c r="O87" s="376"/>
      <c r="P87" s="376"/>
      <c r="Q87" s="376"/>
      <c r="R87" s="376"/>
      <c r="S87" s="376"/>
      <c r="T87" s="376"/>
      <c r="U87" s="376"/>
      <c r="V87" s="376"/>
    </row>
    <row r="88" spans="1:22">
      <c r="A88" s="200"/>
      <c r="B88" s="200"/>
      <c r="C88" s="373"/>
      <c r="D88" s="200"/>
      <c r="E88" s="200"/>
      <c r="F88" s="200"/>
      <c r="G88" s="200"/>
      <c r="H88" s="200"/>
      <c r="I88" s="200"/>
      <c r="J88" s="366"/>
      <c r="K88" s="374"/>
      <c r="L88" s="366"/>
      <c r="M88" s="375"/>
      <c r="N88" s="376"/>
      <c r="O88" s="376"/>
      <c r="P88" s="376"/>
      <c r="Q88" s="376"/>
      <c r="R88" s="376"/>
      <c r="S88" s="376"/>
      <c r="T88" s="376"/>
      <c r="U88" s="376"/>
      <c r="V88" s="376"/>
    </row>
    <row r="89" spans="1:22">
      <c r="A89" s="200"/>
      <c r="B89" s="200"/>
      <c r="C89" s="373"/>
      <c r="D89" s="200"/>
      <c r="E89" s="200"/>
      <c r="F89" s="200"/>
      <c r="G89" s="200"/>
      <c r="H89" s="200"/>
      <c r="I89" s="200"/>
      <c r="J89" s="366"/>
      <c r="K89" s="374"/>
      <c r="L89" s="366"/>
      <c r="M89" s="375"/>
      <c r="N89" s="376"/>
      <c r="O89" s="376"/>
      <c r="P89" s="376"/>
      <c r="Q89" s="376"/>
      <c r="R89" s="376"/>
      <c r="S89" s="376"/>
      <c r="T89" s="376"/>
      <c r="U89" s="376"/>
      <c r="V89" s="376"/>
    </row>
    <row r="90" spans="1:22">
      <c r="A90" s="200"/>
      <c r="B90" s="200"/>
      <c r="C90" s="373"/>
      <c r="D90" s="200"/>
      <c r="E90" s="200"/>
      <c r="F90" s="200"/>
      <c r="G90" s="200"/>
      <c r="H90" s="200"/>
      <c r="I90" s="200"/>
      <c r="J90" s="366"/>
      <c r="K90" s="374"/>
      <c r="L90" s="366"/>
      <c r="M90" s="375"/>
      <c r="N90" s="376"/>
      <c r="O90" s="376"/>
      <c r="P90" s="376"/>
      <c r="Q90" s="376"/>
      <c r="R90" s="376"/>
      <c r="S90" s="376"/>
      <c r="T90" s="376"/>
      <c r="U90" s="376"/>
      <c r="V90" s="376"/>
    </row>
    <row r="91" spans="1:22">
      <c r="A91" s="200"/>
      <c r="B91" s="200"/>
      <c r="C91" s="373"/>
      <c r="D91" s="200"/>
      <c r="E91" s="200"/>
      <c r="F91" s="200"/>
      <c r="G91" s="200"/>
      <c r="H91" s="200"/>
      <c r="I91" s="200"/>
      <c r="J91" s="366"/>
      <c r="K91" s="374"/>
      <c r="L91" s="366"/>
      <c r="M91" s="375"/>
      <c r="N91" s="376"/>
      <c r="O91" s="376"/>
      <c r="P91" s="376"/>
      <c r="Q91" s="376"/>
      <c r="R91" s="376"/>
      <c r="S91" s="376"/>
      <c r="T91" s="376"/>
      <c r="U91" s="376"/>
      <c r="V91" s="376"/>
    </row>
    <row r="92" spans="1:22">
      <c r="A92" s="200"/>
      <c r="B92" s="200"/>
      <c r="C92" s="373"/>
      <c r="D92" s="200"/>
      <c r="E92" s="200"/>
      <c r="F92" s="200"/>
      <c r="G92" s="200"/>
      <c r="H92" s="200"/>
      <c r="I92" s="200"/>
      <c r="J92" s="366"/>
      <c r="K92" s="374"/>
      <c r="L92" s="366"/>
      <c r="M92" s="375"/>
      <c r="N92" s="376"/>
      <c r="O92" s="376"/>
      <c r="P92" s="376"/>
      <c r="Q92" s="376"/>
      <c r="R92" s="376"/>
      <c r="S92" s="376"/>
      <c r="T92" s="376"/>
      <c r="U92" s="376"/>
      <c r="V92" s="376"/>
    </row>
    <row r="93" spans="1:22">
      <c r="A93" s="200"/>
      <c r="B93" s="200"/>
      <c r="C93" s="373"/>
      <c r="D93" s="200"/>
      <c r="E93" s="200"/>
      <c r="F93" s="200"/>
      <c r="G93" s="200"/>
      <c r="H93" s="200"/>
      <c r="I93" s="200"/>
      <c r="J93" s="366"/>
      <c r="K93" s="374"/>
      <c r="L93" s="366"/>
      <c r="M93" s="375"/>
      <c r="N93" s="376"/>
      <c r="O93" s="376"/>
      <c r="P93" s="376"/>
      <c r="Q93" s="376"/>
      <c r="R93" s="376"/>
      <c r="S93" s="376"/>
      <c r="T93" s="376"/>
      <c r="U93" s="376"/>
      <c r="V93" s="376"/>
    </row>
    <row r="94" spans="1:22">
      <c r="A94" s="200"/>
      <c r="B94" s="200"/>
      <c r="C94" s="373"/>
      <c r="D94" s="200"/>
      <c r="E94" s="200"/>
      <c r="F94" s="200"/>
      <c r="G94" s="200"/>
      <c r="H94" s="200"/>
      <c r="I94" s="200"/>
      <c r="J94" s="366"/>
      <c r="K94" s="374"/>
      <c r="L94" s="366"/>
      <c r="M94" s="375"/>
      <c r="N94" s="376"/>
      <c r="O94" s="376"/>
      <c r="P94" s="376"/>
      <c r="Q94" s="376"/>
      <c r="R94" s="376"/>
      <c r="S94" s="376"/>
      <c r="T94" s="376"/>
      <c r="U94" s="376"/>
      <c r="V94" s="376"/>
    </row>
    <row r="95" spans="1:22">
      <c r="A95" s="200"/>
      <c r="B95" s="200"/>
      <c r="C95" s="373"/>
      <c r="D95" s="200"/>
      <c r="E95" s="200"/>
      <c r="F95" s="200"/>
      <c r="G95" s="200"/>
      <c r="H95" s="200"/>
      <c r="I95" s="200"/>
      <c r="J95" s="366"/>
      <c r="K95" s="374"/>
      <c r="L95" s="366"/>
      <c r="M95" s="375"/>
      <c r="N95" s="376"/>
      <c r="O95" s="376"/>
      <c r="P95" s="376"/>
      <c r="Q95" s="376"/>
      <c r="R95" s="376"/>
      <c r="S95" s="376"/>
      <c r="T95" s="376"/>
      <c r="U95" s="376"/>
      <c r="V95" s="376"/>
    </row>
    <row r="96" spans="1:22">
      <c r="A96" s="200"/>
      <c r="B96" s="200"/>
      <c r="C96" s="373"/>
      <c r="D96" s="200"/>
      <c r="E96" s="200"/>
      <c r="F96" s="200"/>
      <c r="G96" s="200"/>
      <c r="H96" s="200"/>
      <c r="I96" s="200"/>
      <c r="J96" s="366"/>
      <c r="K96" s="374"/>
      <c r="L96" s="366"/>
      <c r="M96" s="375"/>
      <c r="N96" s="376"/>
      <c r="O96" s="376"/>
      <c r="P96" s="376"/>
      <c r="Q96" s="376"/>
      <c r="R96" s="376"/>
      <c r="S96" s="376"/>
      <c r="T96" s="376"/>
      <c r="U96" s="376"/>
      <c r="V96" s="376"/>
    </row>
    <row r="97" spans="1:22">
      <c r="A97" s="200"/>
      <c r="B97" s="200"/>
      <c r="C97" s="373"/>
      <c r="D97" s="200"/>
      <c r="E97" s="200"/>
      <c r="F97" s="200"/>
      <c r="G97" s="200"/>
      <c r="H97" s="200"/>
      <c r="I97" s="200"/>
      <c r="J97" s="366"/>
      <c r="K97" s="374"/>
      <c r="L97" s="366"/>
      <c r="M97" s="375"/>
      <c r="N97" s="376"/>
      <c r="O97" s="376"/>
      <c r="P97" s="376"/>
      <c r="Q97" s="376"/>
      <c r="R97" s="376"/>
      <c r="S97" s="376"/>
      <c r="T97" s="376"/>
      <c r="U97" s="376"/>
      <c r="V97" s="376"/>
    </row>
    <row r="98" spans="1:22">
      <c r="A98" s="200"/>
      <c r="B98" s="200"/>
      <c r="C98" s="373"/>
      <c r="D98" s="200"/>
      <c r="E98" s="200"/>
      <c r="F98" s="200"/>
      <c r="G98" s="200"/>
      <c r="H98" s="200"/>
      <c r="I98" s="200"/>
      <c r="J98" s="366"/>
      <c r="K98" s="374"/>
      <c r="L98" s="366"/>
      <c r="M98" s="375"/>
      <c r="N98" s="376"/>
      <c r="O98" s="376"/>
      <c r="P98" s="376"/>
      <c r="Q98" s="376"/>
      <c r="R98" s="376"/>
      <c r="S98" s="376"/>
      <c r="T98" s="376"/>
      <c r="U98" s="376"/>
      <c r="V98" s="376"/>
    </row>
    <row r="99" spans="1:22">
      <c r="A99" s="200"/>
      <c r="B99" s="200"/>
      <c r="C99" s="373"/>
      <c r="D99" s="200"/>
      <c r="E99" s="200"/>
      <c r="F99" s="200"/>
      <c r="G99" s="200"/>
      <c r="H99" s="200"/>
      <c r="I99" s="200"/>
      <c r="J99" s="366"/>
      <c r="K99" s="374"/>
      <c r="L99" s="366"/>
      <c r="M99" s="375"/>
      <c r="N99" s="376"/>
      <c r="O99" s="376"/>
      <c r="P99" s="376"/>
      <c r="Q99" s="376"/>
      <c r="R99" s="376"/>
      <c r="S99" s="376"/>
      <c r="T99" s="376"/>
      <c r="U99" s="376"/>
      <c r="V99" s="376"/>
    </row>
    <row r="100" spans="1:22">
      <c r="A100" s="200"/>
      <c r="B100" s="200"/>
      <c r="C100" s="373"/>
      <c r="D100" s="200"/>
      <c r="E100" s="200"/>
      <c r="F100" s="200"/>
      <c r="G100" s="200"/>
      <c r="H100" s="200"/>
      <c r="I100" s="200"/>
      <c r="J100" s="366"/>
      <c r="K100" s="374"/>
      <c r="L100" s="366"/>
      <c r="M100" s="375"/>
      <c r="N100" s="376"/>
      <c r="O100" s="376"/>
      <c r="P100" s="376"/>
      <c r="Q100" s="376"/>
      <c r="R100" s="376"/>
      <c r="S100" s="376"/>
      <c r="T100" s="376"/>
      <c r="U100" s="376"/>
      <c r="V100" s="376"/>
    </row>
    <row r="101" spans="1:22">
      <c r="A101" s="200"/>
      <c r="B101" s="200"/>
      <c r="C101" s="373"/>
      <c r="D101" s="200"/>
      <c r="E101" s="200"/>
      <c r="F101" s="200"/>
      <c r="G101" s="200"/>
      <c r="H101" s="200"/>
      <c r="I101" s="200"/>
      <c r="J101" s="366"/>
      <c r="K101" s="374"/>
      <c r="L101" s="366"/>
      <c r="M101" s="375"/>
      <c r="N101" s="376"/>
      <c r="O101" s="376"/>
      <c r="P101" s="376"/>
      <c r="Q101" s="376"/>
      <c r="R101" s="376"/>
      <c r="S101" s="376"/>
      <c r="T101" s="376"/>
      <c r="U101" s="376"/>
      <c r="V101" s="376"/>
    </row>
    <row r="102" spans="1:22">
      <c r="A102" s="200"/>
      <c r="B102" s="200"/>
      <c r="C102" s="373"/>
      <c r="D102" s="200"/>
      <c r="E102" s="200"/>
      <c r="F102" s="200"/>
      <c r="G102" s="200"/>
      <c r="H102" s="200"/>
      <c r="I102" s="200"/>
      <c r="J102" s="366"/>
      <c r="K102" s="374"/>
      <c r="L102" s="366"/>
      <c r="M102" s="375"/>
      <c r="N102" s="376"/>
      <c r="O102" s="376"/>
      <c r="P102" s="376"/>
      <c r="Q102" s="376"/>
      <c r="R102" s="376"/>
      <c r="S102" s="376"/>
      <c r="T102" s="376"/>
      <c r="U102" s="376"/>
      <c r="V102" s="376"/>
    </row>
    <row r="103" spans="1:22">
      <c r="A103" s="200"/>
      <c r="B103" s="200"/>
      <c r="C103" s="373"/>
      <c r="D103" s="200"/>
      <c r="E103" s="200"/>
      <c r="F103" s="200"/>
      <c r="G103" s="200"/>
      <c r="H103" s="200"/>
      <c r="I103" s="200"/>
      <c r="J103" s="366"/>
      <c r="K103" s="374"/>
      <c r="L103" s="366"/>
      <c r="M103" s="375"/>
      <c r="N103" s="376"/>
      <c r="O103" s="376"/>
      <c r="P103" s="376"/>
      <c r="Q103" s="376"/>
      <c r="R103" s="376"/>
      <c r="S103" s="376"/>
      <c r="T103" s="376"/>
      <c r="U103" s="376"/>
      <c r="V103" s="376"/>
    </row>
    <row r="104" spans="1:22">
      <c r="A104" s="200"/>
      <c r="B104" s="200"/>
      <c r="C104" s="373"/>
      <c r="D104" s="200"/>
      <c r="E104" s="200"/>
      <c r="F104" s="200"/>
      <c r="G104" s="200"/>
      <c r="H104" s="200"/>
      <c r="I104" s="200"/>
      <c r="J104" s="366"/>
      <c r="K104" s="374"/>
      <c r="L104" s="366"/>
      <c r="M104" s="375"/>
      <c r="N104" s="376"/>
      <c r="O104" s="376"/>
      <c r="P104" s="376"/>
      <c r="Q104" s="376"/>
      <c r="R104" s="376"/>
      <c r="S104" s="376"/>
      <c r="T104" s="376"/>
      <c r="U104" s="376"/>
      <c r="V104" s="376"/>
    </row>
    <row r="105" spans="1:22">
      <c r="A105" s="200"/>
      <c r="B105" s="200"/>
      <c r="C105" s="373"/>
      <c r="D105" s="200"/>
      <c r="E105" s="200"/>
      <c r="F105" s="200"/>
      <c r="G105" s="200"/>
      <c r="H105" s="200"/>
      <c r="I105" s="200"/>
      <c r="J105" s="366"/>
      <c r="K105" s="374"/>
      <c r="L105" s="366"/>
      <c r="M105" s="375"/>
      <c r="N105" s="376"/>
      <c r="O105" s="376"/>
      <c r="P105" s="376"/>
      <c r="Q105" s="376"/>
      <c r="R105" s="376"/>
      <c r="S105" s="376"/>
      <c r="T105" s="376"/>
      <c r="U105" s="376"/>
      <c r="V105" s="376"/>
    </row>
    <row r="106" spans="1:22">
      <c r="A106" s="200"/>
      <c r="B106" s="200"/>
      <c r="C106" s="373"/>
      <c r="D106" s="200"/>
      <c r="E106" s="200"/>
      <c r="F106" s="200"/>
      <c r="G106" s="200"/>
      <c r="H106" s="200"/>
      <c r="I106" s="200"/>
      <c r="J106" s="366"/>
      <c r="K106" s="374"/>
      <c r="L106" s="366"/>
      <c r="M106" s="375"/>
      <c r="N106" s="376"/>
      <c r="O106" s="376"/>
      <c r="P106" s="376"/>
      <c r="Q106" s="376"/>
      <c r="R106" s="376"/>
      <c r="S106" s="376"/>
      <c r="T106" s="376"/>
      <c r="U106" s="376"/>
      <c r="V106" s="376"/>
    </row>
    <row r="107" spans="1:22">
      <c r="A107" s="200"/>
      <c r="B107" s="200"/>
      <c r="C107" s="373"/>
      <c r="D107" s="200"/>
      <c r="E107" s="200"/>
      <c r="F107" s="200"/>
      <c r="G107" s="200"/>
      <c r="H107" s="200"/>
      <c r="I107" s="200"/>
      <c r="J107" s="366"/>
      <c r="K107" s="374"/>
      <c r="L107" s="366"/>
      <c r="M107" s="375"/>
      <c r="N107" s="376"/>
      <c r="O107" s="376"/>
      <c r="P107" s="376"/>
      <c r="Q107" s="376"/>
      <c r="R107" s="376"/>
      <c r="S107" s="376"/>
      <c r="T107" s="376"/>
      <c r="U107" s="376"/>
      <c r="V107" s="376"/>
    </row>
    <row r="108" spans="1:22">
      <c r="A108" s="200"/>
      <c r="B108" s="200"/>
      <c r="C108" s="373"/>
      <c r="D108" s="200"/>
      <c r="E108" s="200"/>
      <c r="F108" s="200"/>
      <c r="G108" s="200"/>
      <c r="H108" s="200"/>
      <c r="I108" s="200"/>
      <c r="J108" s="366"/>
      <c r="K108" s="374"/>
      <c r="L108" s="366"/>
      <c r="M108" s="375"/>
      <c r="N108" s="376"/>
      <c r="O108" s="376"/>
      <c r="P108" s="376"/>
      <c r="Q108" s="376"/>
      <c r="R108" s="376"/>
      <c r="S108" s="376"/>
      <c r="T108" s="376"/>
      <c r="U108" s="376"/>
      <c r="V108" s="376"/>
    </row>
    <row r="109" spans="1:22">
      <c r="A109" s="200"/>
      <c r="B109" s="200"/>
      <c r="C109" s="373"/>
      <c r="D109" s="200"/>
      <c r="E109" s="200"/>
      <c r="F109" s="200"/>
      <c r="G109" s="200"/>
      <c r="H109" s="200"/>
      <c r="I109" s="200"/>
      <c r="J109" s="366"/>
      <c r="K109" s="374"/>
      <c r="L109" s="366"/>
      <c r="M109" s="375"/>
      <c r="N109" s="376"/>
      <c r="O109" s="376"/>
      <c r="P109" s="376"/>
      <c r="Q109" s="376"/>
      <c r="R109" s="376"/>
      <c r="S109" s="376"/>
      <c r="T109" s="376"/>
      <c r="U109" s="376"/>
      <c r="V109" s="376"/>
    </row>
    <row r="110" spans="1:22">
      <c r="A110" s="200"/>
      <c r="B110" s="200"/>
      <c r="C110" s="373"/>
      <c r="D110" s="200"/>
      <c r="E110" s="200"/>
      <c r="F110" s="200"/>
      <c r="G110" s="200"/>
      <c r="H110" s="200"/>
      <c r="I110" s="200"/>
      <c r="J110" s="366"/>
      <c r="K110" s="374"/>
      <c r="L110" s="366"/>
      <c r="M110" s="375"/>
      <c r="N110" s="376"/>
      <c r="O110" s="376"/>
      <c r="P110" s="376"/>
      <c r="Q110" s="376"/>
      <c r="R110" s="376"/>
      <c r="S110" s="376"/>
      <c r="T110" s="376"/>
      <c r="U110" s="376"/>
      <c r="V110" s="376"/>
    </row>
    <row r="111" spans="1:22">
      <c r="A111" s="200"/>
      <c r="B111" s="200"/>
      <c r="C111" s="373"/>
      <c r="D111" s="200"/>
      <c r="E111" s="200"/>
      <c r="F111" s="200"/>
      <c r="G111" s="200"/>
      <c r="H111" s="200"/>
      <c r="I111" s="200"/>
      <c r="J111" s="366"/>
      <c r="K111" s="374"/>
      <c r="L111" s="366"/>
      <c r="M111" s="375"/>
      <c r="N111" s="376"/>
      <c r="O111" s="376"/>
      <c r="P111" s="376"/>
      <c r="Q111" s="376"/>
      <c r="R111" s="376"/>
      <c r="S111" s="376"/>
      <c r="T111" s="376"/>
      <c r="U111" s="376"/>
      <c r="V111" s="376"/>
    </row>
    <row r="112" spans="1:22">
      <c r="A112" s="200"/>
      <c r="B112" s="200"/>
      <c r="C112" s="373"/>
      <c r="D112" s="200"/>
      <c r="E112" s="200"/>
      <c r="F112" s="200"/>
      <c r="G112" s="200"/>
      <c r="H112" s="200"/>
      <c r="I112" s="200"/>
      <c r="J112" s="366"/>
      <c r="K112" s="374"/>
      <c r="L112" s="366"/>
      <c r="M112" s="375"/>
      <c r="N112" s="376"/>
      <c r="O112" s="376"/>
      <c r="P112" s="376"/>
      <c r="Q112" s="376"/>
      <c r="R112" s="376"/>
      <c r="S112" s="376"/>
      <c r="T112" s="376"/>
      <c r="U112" s="376"/>
      <c r="V112" s="376"/>
    </row>
    <row r="113" spans="1:22">
      <c r="A113" s="200"/>
      <c r="B113" s="200"/>
      <c r="C113" s="373"/>
      <c r="D113" s="200"/>
      <c r="E113" s="200"/>
      <c r="F113" s="200"/>
      <c r="G113" s="200"/>
      <c r="H113" s="200"/>
      <c r="I113" s="200"/>
      <c r="J113" s="366"/>
      <c r="K113" s="374"/>
      <c r="L113" s="366"/>
      <c r="M113" s="375"/>
      <c r="N113" s="376"/>
      <c r="O113" s="376"/>
      <c r="P113" s="376"/>
      <c r="Q113" s="376"/>
      <c r="R113" s="376"/>
      <c r="S113" s="376"/>
      <c r="T113" s="376"/>
      <c r="U113" s="376"/>
      <c r="V113" s="376"/>
    </row>
    <row r="114" spans="1:22">
      <c r="A114" s="200"/>
      <c r="B114" s="200"/>
      <c r="C114" s="373"/>
      <c r="D114" s="200"/>
      <c r="E114" s="200"/>
      <c r="F114" s="200"/>
      <c r="G114" s="200"/>
      <c r="H114" s="200"/>
      <c r="I114" s="200"/>
      <c r="J114" s="366"/>
      <c r="K114" s="374"/>
      <c r="L114" s="366"/>
      <c r="M114" s="375"/>
      <c r="N114" s="376"/>
      <c r="O114" s="376"/>
      <c r="P114" s="376"/>
      <c r="Q114" s="376"/>
      <c r="R114" s="376"/>
      <c r="S114" s="376"/>
      <c r="T114" s="376"/>
      <c r="U114" s="376"/>
      <c r="V114" s="376"/>
    </row>
    <row r="115" spans="1:22">
      <c r="A115" s="200"/>
      <c r="B115" s="200"/>
      <c r="C115" s="373"/>
      <c r="D115" s="200"/>
      <c r="E115" s="200"/>
      <c r="F115" s="200"/>
      <c r="G115" s="200"/>
      <c r="H115" s="200"/>
      <c r="I115" s="200"/>
      <c r="J115" s="366"/>
      <c r="K115" s="374"/>
      <c r="L115" s="366"/>
      <c r="M115" s="375"/>
      <c r="N115" s="376"/>
      <c r="O115" s="376"/>
      <c r="P115" s="376"/>
      <c r="Q115" s="376"/>
      <c r="R115" s="376"/>
      <c r="S115" s="376"/>
      <c r="T115" s="376"/>
      <c r="U115" s="376"/>
      <c r="V115" s="376"/>
    </row>
    <row r="116" spans="1:22">
      <c r="A116" s="200"/>
      <c r="B116" s="200"/>
      <c r="C116" s="373"/>
      <c r="D116" s="200"/>
      <c r="E116" s="200"/>
      <c r="F116" s="200"/>
      <c r="G116" s="200"/>
      <c r="H116" s="200"/>
      <c r="I116" s="200"/>
      <c r="J116" s="366"/>
      <c r="K116" s="374"/>
      <c r="L116" s="366"/>
      <c r="M116" s="375"/>
      <c r="N116" s="376"/>
      <c r="O116" s="376"/>
      <c r="P116" s="376"/>
      <c r="Q116" s="376"/>
      <c r="R116" s="376"/>
      <c r="S116" s="376"/>
      <c r="T116" s="376"/>
      <c r="U116" s="376"/>
      <c r="V116" s="376"/>
    </row>
    <row r="117" spans="1:22">
      <c r="A117" s="200"/>
      <c r="B117" s="200"/>
      <c r="C117" s="373"/>
      <c r="D117" s="200"/>
      <c r="E117" s="200"/>
      <c r="F117" s="200"/>
      <c r="G117" s="200"/>
      <c r="H117" s="200"/>
      <c r="I117" s="377"/>
      <c r="J117" s="366"/>
      <c r="K117" s="374"/>
      <c r="L117" s="366"/>
      <c r="M117" s="375"/>
      <c r="N117" s="376"/>
      <c r="O117" s="376"/>
      <c r="P117" s="376"/>
      <c r="Q117" s="376"/>
      <c r="R117" s="376"/>
      <c r="S117" s="376"/>
      <c r="T117" s="376"/>
      <c r="U117" s="376"/>
      <c r="V117" s="376"/>
    </row>
    <row r="118" spans="1:22">
      <c r="A118" s="200"/>
      <c r="B118" s="200"/>
      <c r="C118" s="373"/>
      <c r="D118" s="200"/>
      <c r="E118" s="200"/>
      <c r="F118" s="200"/>
      <c r="G118" s="200"/>
      <c r="H118" s="200"/>
      <c r="I118" s="377"/>
      <c r="J118" s="366"/>
      <c r="K118" s="374"/>
      <c r="L118" s="366"/>
      <c r="M118" s="375"/>
      <c r="N118" s="376"/>
      <c r="O118" s="376"/>
      <c r="P118" s="376"/>
      <c r="Q118" s="376"/>
      <c r="R118" s="376"/>
      <c r="S118" s="376"/>
      <c r="T118" s="376"/>
      <c r="U118" s="376"/>
      <c r="V118" s="376"/>
    </row>
    <row r="119" spans="1:22">
      <c r="A119" s="200"/>
      <c r="B119" s="200"/>
      <c r="C119" s="373"/>
      <c r="D119" s="200"/>
      <c r="E119" s="200"/>
      <c r="F119" s="200"/>
      <c r="G119" s="200"/>
      <c r="H119" s="200"/>
      <c r="I119" s="377"/>
      <c r="J119" s="366"/>
      <c r="K119" s="374"/>
      <c r="L119" s="366"/>
      <c r="M119" s="375"/>
      <c r="N119" s="376"/>
      <c r="O119" s="376"/>
      <c r="P119" s="376"/>
      <c r="Q119" s="376"/>
      <c r="R119" s="376"/>
      <c r="S119" s="376"/>
      <c r="T119" s="376"/>
      <c r="U119" s="376"/>
      <c r="V119" s="376"/>
    </row>
    <row r="120" spans="1:22">
      <c r="A120" s="200"/>
      <c r="B120" s="200"/>
      <c r="C120" s="373"/>
      <c r="D120" s="200"/>
      <c r="E120" s="200"/>
      <c r="F120" s="200"/>
      <c r="G120" s="200"/>
      <c r="H120" s="200"/>
      <c r="I120" s="377"/>
      <c r="J120" s="366"/>
      <c r="K120" s="374"/>
      <c r="L120" s="366"/>
      <c r="M120" s="375"/>
      <c r="N120" s="376"/>
      <c r="O120" s="376"/>
      <c r="P120" s="376"/>
      <c r="Q120" s="376"/>
      <c r="R120" s="376"/>
      <c r="S120" s="376"/>
      <c r="T120" s="376"/>
      <c r="U120" s="376"/>
      <c r="V120" s="376"/>
    </row>
    <row r="121" spans="1:22">
      <c r="A121" s="200"/>
      <c r="B121" s="200"/>
      <c r="C121" s="373"/>
      <c r="D121" s="200"/>
      <c r="E121" s="200"/>
      <c r="F121" s="200"/>
      <c r="G121" s="200"/>
      <c r="H121" s="200"/>
      <c r="I121" s="377"/>
      <c r="J121" s="366"/>
      <c r="K121" s="374"/>
      <c r="L121" s="366"/>
      <c r="M121" s="375"/>
      <c r="N121" s="376"/>
      <c r="O121" s="376"/>
      <c r="P121" s="376"/>
      <c r="Q121" s="376"/>
      <c r="R121" s="376"/>
      <c r="S121" s="376"/>
      <c r="T121" s="376"/>
      <c r="U121" s="376"/>
      <c r="V121" s="376"/>
    </row>
    <row r="122" spans="1:22">
      <c r="A122" s="200"/>
      <c r="B122" s="200"/>
      <c r="C122" s="373"/>
      <c r="D122" s="200"/>
      <c r="E122" s="200"/>
      <c r="F122" s="200"/>
      <c r="G122" s="200"/>
      <c r="H122" s="200"/>
      <c r="I122" s="377"/>
      <c r="J122" s="366"/>
      <c r="K122" s="374"/>
      <c r="L122" s="366"/>
      <c r="M122" s="375"/>
      <c r="N122" s="376"/>
      <c r="O122" s="376"/>
      <c r="P122" s="376"/>
      <c r="Q122" s="376"/>
      <c r="R122" s="376"/>
      <c r="S122" s="376"/>
      <c r="T122" s="376"/>
      <c r="U122" s="376"/>
      <c r="V122" s="376"/>
    </row>
    <row r="123" spans="1:22">
      <c r="A123" s="200"/>
      <c r="B123" s="200"/>
      <c r="C123" s="373"/>
      <c r="D123" s="200"/>
      <c r="E123" s="200"/>
      <c r="F123" s="200"/>
      <c r="G123" s="200"/>
      <c r="H123" s="200"/>
      <c r="I123" s="377"/>
      <c r="J123" s="366"/>
      <c r="K123" s="374"/>
      <c r="L123" s="366"/>
      <c r="M123" s="375"/>
      <c r="N123" s="376"/>
      <c r="O123" s="376"/>
      <c r="P123" s="376"/>
      <c r="Q123" s="376"/>
      <c r="R123" s="376"/>
      <c r="S123" s="376"/>
      <c r="T123" s="376"/>
      <c r="U123" s="376"/>
      <c r="V123" s="376"/>
    </row>
    <row r="124" spans="1:22">
      <c r="A124" s="200"/>
      <c r="B124" s="200"/>
      <c r="C124" s="373"/>
      <c r="D124" s="200"/>
      <c r="E124" s="200"/>
      <c r="F124" s="200"/>
      <c r="G124" s="200"/>
      <c r="H124" s="200"/>
      <c r="I124" s="377"/>
      <c r="J124" s="366"/>
      <c r="K124" s="374"/>
      <c r="L124" s="366"/>
      <c r="M124" s="375"/>
      <c r="N124" s="376"/>
      <c r="O124" s="376"/>
      <c r="P124" s="376"/>
      <c r="Q124" s="376"/>
      <c r="R124" s="376"/>
      <c r="S124" s="376"/>
      <c r="T124" s="376"/>
      <c r="U124" s="376"/>
      <c r="V124" s="376"/>
    </row>
    <row r="125" spans="1:22">
      <c r="A125" s="200"/>
      <c r="B125" s="200"/>
      <c r="C125" s="373"/>
      <c r="D125" s="200"/>
      <c r="E125" s="200"/>
      <c r="F125" s="200"/>
      <c r="G125" s="200"/>
      <c r="H125" s="200"/>
      <c r="I125" s="377"/>
      <c r="J125" s="366"/>
      <c r="K125" s="374"/>
      <c r="L125" s="366"/>
      <c r="M125" s="375"/>
      <c r="N125" s="376"/>
      <c r="O125" s="376"/>
      <c r="P125" s="376"/>
      <c r="Q125" s="376"/>
      <c r="R125" s="376"/>
      <c r="S125" s="376"/>
      <c r="T125" s="376"/>
      <c r="U125" s="376"/>
      <c r="V125" s="376"/>
    </row>
    <row r="126" spans="1:22">
      <c r="A126" s="200"/>
      <c r="B126" s="200"/>
      <c r="C126" s="373"/>
      <c r="D126" s="200"/>
      <c r="E126" s="200"/>
      <c r="F126" s="200"/>
      <c r="G126" s="200"/>
      <c r="H126" s="200"/>
      <c r="I126" s="377"/>
      <c r="J126" s="366"/>
      <c r="K126" s="374"/>
      <c r="L126" s="366"/>
      <c r="M126" s="375"/>
      <c r="N126" s="376"/>
      <c r="O126" s="376"/>
      <c r="P126" s="376"/>
      <c r="Q126" s="376"/>
      <c r="R126" s="376"/>
      <c r="S126" s="376"/>
      <c r="T126" s="376"/>
      <c r="U126" s="376"/>
      <c r="V126" s="376"/>
    </row>
    <row r="127" spans="1:22">
      <c r="A127" s="200"/>
      <c r="B127" s="200"/>
      <c r="C127" s="373"/>
      <c r="D127" s="200"/>
      <c r="E127" s="200"/>
      <c r="F127" s="200"/>
      <c r="G127" s="200"/>
      <c r="H127" s="200"/>
      <c r="I127" s="377"/>
      <c r="J127" s="366"/>
      <c r="K127" s="374"/>
      <c r="L127" s="366"/>
      <c r="M127" s="375"/>
      <c r="N127" s="376"/>
      <c r="O127" s="376"/>
      <c r="P127" s="376"/>
      <c r="Q127" s="376"/>
      <c r="R127" s="376"/>
      <c r="S127" s="376"/>
      <c r="T127" s="376"/>
      <c r="U127" s="376"/>
      <c r="V127" s="376"/>
    </row>
    <row r="128" spans="1:22">
      <c r="A128" s="200"/>
      <c r="B128" s="200"/>
      <c r="C128" s="373"/>
      <c r="D128" s="200"/>
      <c r="E128" s="200"/>
      <c r="F128" s="200"/>
      <c r="G128" s="200"/>
      <c r="H128" s="200"/>
      <c r="I128" s="377"/>
      <c r="J128" s="366"/>
      <c r="K128" s="374"/>
      <c r="L128" s="366"/>
      <c r="M128" s="375"/>
      <c r="N128" s="376"/>
      <c r="O128" s="376"/>
      <c r="P128" s="376"/>
      <c r="Q128" s="376"/>
      <c r="R128" s="376"/>
      <c r="S128" s="376"/>
      <c r="T128" s="376"/>
      <c r="U128" s="376"/>
      <c r="V128" s="376"/>
    </row>
    <row r="129" spans="1:22">
      <c r="A129" s="200"/>
      <c r="B129" s="200"/>
      <c r="C129" s="373"/>
      <c r="D129" s="200"/>
      <c r="E129" s="200"/>
      <c r="F129" s="200"/>
      <c r="G129" s="200"/>
      <c r="H129" s="200"/>
      <c r="I129" s="377"/>
      <c r="J129" s="366"/>
      <c r="K129" s="374"/>
      <c r="L129" s="366"/>
      <c r="M129" s="375"/>
      <c r="N129" s="376"/>
      <c r="O129" s="376"/>
      <c r="P129" s="376"/>
      <c r="Q129" s="376"/>
      <c r="R129" s="376"/>
      <c r="S129" s="376"/>
      <c r="T129" s="376"/>
      <c r="U129" s="376"/>
      <c r="V129" s="376"/>
    </row>
    <row r="130" spans="1:22">
      <c r="A130" s="200"/>
      <c r="B130" s="200"/>
      <c r="C130" s="373"/>
      <c r="D130" s="200"/>
      <c r="E130" s="200"/>
      <c r="F130" s="200"/>
      <c r="G130" s="200"/>
      <c r="H130" s="200"/>
      <c r="I130" s="377"/>
      <c r="J130" s="366"/>
      <c r="K130" s="374"/>
      <c r="L130" s="366"/>
      <c r="M130" s="375"/>
      <c r="N130" s="376"/>
      <c r="O130" s="376"/>
      <c r="P130" s="376"/>
      <c r="Q130" s="376"/>
      <c r="R130" s="376"/>
      <c r="S130" s="376"/>
      <c r="T130" s="376"/>
      <c r="U130" s="376"/>
      <c r="V130" s="376"/>
    </row>
    <row r="131" spans="1:22">
      <c r="A131" s="200"/>
      <c r="B131" s="200"/>
      <c r="C131" s="373"/>
      <c r="D131" s="200"/>
      <c r="E131" s="200"/>
      <c r="F131" s="200"/>
      <c r="G131" s="200"/>
      <c r="H131" s="200"/>
      <c r="I131" s="377"/>
      <c r="J131" s="366"/>
      <c r="K131" s="374"/>
      <c r="L131" s="366"/>
      <c r="M131" s="375"/>
      <c r="N131" s="376"/>
      <c r="O131" s="376"/>
      <c r="P131" s="376"/>
      <c r="Q131" s="376"/>
      <c r="R131" s="376"/>
      <c r="S131" s="376"/>
      <c r="T131" s="376"/>
      <c r="U131" s="376"/>
      <c r="V131" s="376"/>
    </row>
    <row r="132" spans="1:22">
      <c r="A132" s="200"/>
      <c r="B132" s="200"/>
      <c r="C132" s="373"/>
      <c r="D132" s="200"/>
      <c r="E132" s="200"/>
      <c r="F132" s="200"/>
      <c r="G132" s="200"/>
      <c r="H132" s="200"/>
      <c r="I132" s="377"/>
      <c r="J132" s="366"/>
      <c r="K132" s="374"/>
      <c r="L132" s="366"/>
      <c r="M132" s="375"/>
      <c r="N132" s="376"/>
      <c r="O132" s="376"/>
      <c r="P132" s="376"/>
      <c r="Q132" s="376"/>
      <c r="R132" s="376"/>
      <c r="S132" s="376"/>
      <c r="T132" s="376"/>
      <c r="U132" s="376"/>
      <c r="V132" s="376"/>
    </row>
    <row r="133" spans="1:22">
      <c r="A133" s="200"/>
      <c r="B133" s="200"/>
      <c r="C133" s="373"/>
      <c r="D133" s="200"/>
      <c r="E133" s="200"/>
      <c r="F133" s="200"/>
      <c r="G133" s="200"/>
      <c r="H133" s="200"/>
      <c r="I133" s="377"/>
      <c r="J133" s="366"/>
      <c r="K133" s="374"/>
      <c r="L133" s="366"/>
      <c r="M133" s="375"/>
      <c r="N133" s="376"/>
      <c r="O133" s="376"/>
      <c r="P133" s="376"/>
      <c r="Q133" s="376"/>
      <c r="R133" s="376"/>
      <c r="S133" s="376"/>
      <c r="T133" s="376"/>
      <c r="U133" s="376"/>
      <c r="V133" s="376"/>
    </row>
    <row r="134" spans="1:22">
      <c r="A134" s="200"/>
      <c r="B134" s="200"/>
      <c r="C134" s="373"/>
      <c r="D134" s="200"/>
      <c r="E134" s="200"/>
      <c r="F134" s="200"/>
      <c r="G134" s="200"/>
      <c r="H134" s="200"/>
      <c r="I134" s="377"/>
      <c r="J134" s="366"/>
      <c r="K134" s="374"/>
      <c r="L134" s="366"/>
      <c r="M134" s="375"/>
      <c r="N134" s="376"/>
      <c r="O134" s="376"/>
      <c r="P134" s="376"/>
      <c r="Q134" s="376"/>
      <c r="R134" s="376"/>
      <c r="S134" s="376"/>
      <c r="T134" s="376"/>
      <c r="U134" s="376"/>
      <c r="V134" s="376"/>
    </row>
    <row r="135" spans="1:22">
      <c r="A135" s="200"/>
      <c r="B135" s="200"/>
      <c r="C135" s="373"/>
      <c r="D135" s="200"/>
      <c r="E135" s="200"/>
      <c r="F135" s="200"/>
      <c r="G135" s="200"/>
      <c r="H135" s="200"/>
      <c r="I135" s="377"/>
      <c r="J135" s="366"/>
      <c r="K135" s="374"/>
      <c r="L135" s="366"/>
      <c r="M135" s="375"/>
      <c r="N135" s="376"/>
      <c r="O135" s="376"/>
      <c r="P135" s="376"/>
      <c r="Q135" s="376"/>
      <c r="R135" s="376"/>
      <c r="S135" s="376"/>
      <c r="T135" s="376"/>
      <c r="U135" s="376"/>
      <c r="V135" s="376"/>
    </row>
    <row r="136" spans="1:22">
      <c r="A136" s="200"/>
      <c r="B136" s="200"/>
      <c r="C136" s="373"/>
      <c r="D136" s="200"/>
      <c r="E136" s="200"/>
      <c r="F136" s="200"/>
      <c r="G136" s="200"/>
      <c r="H136" s="200"/>
      <c r="I136" s="377"/>
      <c r="J136" s="366"/>
      <c r="K136" s="374"/>
      <c r="L136" s="366"/>
      <c r="M136" s="375"/>
      <c r="N136" s="376"/>
      <c r="O136" s="376"/>
      <c r="P136" s="376"/>
      <c r="Q136" s="376"/>
      <c r="R136" s="376"/>
      <c r="S136" s="376"/>
      <c r="T136" s="376"/>
      <c r="U136" s="376"/>
      <c r="V136" s="376"/>
    </row>
    <row r="137" spans="1:22">
      <c r="A137" s="200"/>
      <c r="B137" s="200"/>
      <c r="C137" s="373"/>
      <c r="D137" s="200"/>
      <c r="E137" s="200"/>
      <c r="F137" s="200"/>
      <c r="G137" s="200"/>
      <c r="H137" s="200"/>
      <c r="I137" s="377"/>
      <c r="J137" s="366"/>
      <c r="K137" s="374"/>
      <c r="L137" s="366"/>
      <c r="M137" s="375"/>
      <c r="N137" s="376"/>
      <c r="O137" s="376"/>
      <c r="P137" s="376"/>
      <c r="Q137" s="376"/>
      <c r="R137" s="376"/>
      <c r="S137" s="376"/>
      <c r="T137" s="376"/>
      <c r="U137" s="376"/>
      <c r="V137" s="376"/>
    </row>
    <row r="138" spans="1:22">
      <c r="A138" s="200"/>
      <c r="B138" s="200"/>
      <c r="C138" s="373"/>
      <c r="D138" s="200"/>
      <c r="E138" s="200"/>
      <c r="F138" s="200"/>
      <c r="G138" s="200"/>
      <c r="H138" s="200"/>
      <c r="I138" s="377"/>
      <c r="J138" s="366"/>
      <c r="K138" s="374"/>
      <c r="L138" s="366"/>
      <c r="M138" s="375"/>
      <c r="N138" s="376"/>
      <c r="O138" s="376"/>
      <c r="P138" s="376"/>
      <c r="Q138" s="376"/>
      <c r="R138" s="376"/>
      <c r="S138" s="376"/>
      <c r="T138" s="376"/>
      <c r="U138" s="376"/>
      <c r="V138" s="376"/>
    </row>
    <row r="139" spans="1:22">
      <c r="A139" s="200"/>
      <c r="B139" s="200"/>
      <c r="C139" s="373"/>
      <c r="D139" s="200"/>
      <c r="E139" s="200"/>
      <c r="F139" s="200"/>
      <c r="G139" s="200"/>
      <c r="H139" s="200"/>
      <c r="I139" s="377"/>
      <c r="J139" s="366"/>
      <c r="K139" s="374"/>
      <c r="L139" s="366"/>
      <c r="M139" s="375"/>
      <c r="N139" s="376"/>
      <c r="O139" s="376"/>
      <c r="P139" s="376"/>
      <c r="Q139" s="376"/>
      <c r="R139" s="376"/>
      <c r="S139" s="376"/>
      <c r="T139" s="376"/>
      <c r="U139" s="376"/>
      <c r="V139" s="376"/>
    </row>
    <row r="140" spans="1:22">
      <c r="A140" s="200"/>
      <c r="B140" s="200"/>
      <c r="C140" s="373"/>
      <c r="D140" s="200"/>
      <c r="E140" s="200"/>
      <c r="F140" s="200"/>
      <c r="G140" s="200"/>
      <c r="H140" s="200"/>
      <c r="I140" s="377"/>
      <c r="J140" s="366"/>
      <c r="K140" s="374"/>
      <c r="L140" s="366"/>
      <c r="M140" s="375"/>
      <c r="N140" s="376"/>
      <c r="O140" s="376"/>
      <c r="P140" s="376"/>
      <c r="Q140" s="376"/>
      <c r="R140" s="376"/>
      <c r="S140" s="376"/>
      <c r="T140" s="376"/>
      <c r="U140" s="376"/>
      <c r="V140" s="376"/>
    </row>
    <row r="141" spans="1:22">
      <c r="A141" s="200"/>
      <c r="B141" s="200"/>
      <c r="C141" s="373"/>
      <c r="D141" s="200"/>
      <c r="E141" s="200"/>
      <c r="F141" s="200"/>
      <c r="G141" s="200"/>
      <c r="H141" s="200"/>
      <c r="I141" s="377"/>
      <c r="J141" s="366"/>
      <c r="K141" s="374"/>
      <c r="L141" s="366"/>
      <c r="M141" s="375"/>
      <c r="N141" s="376"/>
      <c r="O141" s="376"/>
      <c r="P141" s="376"/>
      <c r="Q141" s="376"/>
      <c r="R141" s="376"/>
      <c r="S141" s="376"/>
      <c r="T141" s="376"/>
      <c r="U141" s="376"/>
      <c r="V141" s="376"/>
    </row>
    <row r="142" spans="1:22">
      <c r="A142" s="200"/>
      <c r="B142" s="200"/>
      <c r="C142" s="373"/>
      <c r="D142" s="200"/>
      <c r="E142" s="200"/>
      <c r="F142" s="200"/>
      <c r="G142" s="200"/>
      <c r="H142" s="200"/>
      <c r="I142" s="377"/>
      <c r="J142" s="366"/>
      <c r="K142" s="374"/>
      <c r="L142" s="366"/>
      <c r="M142" s="375"/>
      <c r="N142" s="376"/>
      <c r="O142" s="376"/>
      <c r="P142" s="376"/>
      <c r="Q142" s="376"/>
      <c r="R142" s="376"/>
      <c r="S142" s="376"/>
      <c r="T142" s="376"/>
      <c r="U142" s="376"/>
      <c r="V142" s="376"/>
    </row>
    <row r="143" spans="1:22">
      <c r="A143" s="200"/>
      <c r="B143" s="200"/>
      <c r="C143" s="373"/>
      <c r="D143" s="200"/>
      <c r="E143" s="200"/>
      <c r="F143" s="200"/>
      <c r="G143" s="200"/>
      <c r="H143" s="200"/>
      <c r="I143" s="377"/>
      <c r="J143" s="366"/>
      <c r="K143" s="374"/>
      <c r="L143" s="366"/>
      <c r="M143" s="375"/>
      <c r="N143" s="376"/>
      <c r="O143" s="376"/>
      <c r="P143" s="376"/>
      <c r="Q143" s="376"/>
      <c r="R143" s="376"/>
      <c r="S143" s="376"/>
      <c r="T143" s="376"/>
      <c r="U143" s="376"/>
      <c r="V143" s="376"/>
    </row>
    <row r="144" spans="1:22">
      <c r="A144" s="200"/>
      <c r="B144" s="200"/>
      <c r="C144" s="373"/>
      <c r="D144" s="200"/>
      <c r="E144" s="200"/>
      <c r="F144" s="200"/>
      <c r="G144" s="200"/>
      <c r="H144" s="200"/>
      <c r="I144" s="377"/>
      <c r="J144" s="366"/>
      <c r="K144" s="374"/>
      <c r="L144" s="366"/>
      <c r="M144" s="375"/>
      <c r="N144" s="376"/>
      <c r="O144" s="376"/>
      <c r="P144" s="376"/>
      <c r="Q144" s="376"/>
      <c r="R144" s="376"/>
      <c r="S144" s="376"/>
      <c r="T144" s="376"/>
      <c r="U144" s="376"/>
      <c r="V144" s="376"/>
    </row>
    <row r="145" spans="1:22">
      <c r="A145" s="200"/>
      <c r="B145" s="200"/>
      <c r="C145" s="373"/>
      <c r="D145" s="200"/>
      <c r="E145" s="200"/>
      <c r="F145" s="200"/>
      <c r="G145" s="200"/>
      <c r="H145" s="200"/>
      <c r="I145" s="377"/>
      <c r="J145" s="366"/>
      <c r="K145" s="374"/>
      <c r="L145" s="366"/>
      <c r="M145" s="375"/>
      <c r="N145" s="376"/>
      <c r="O145" s="376"/>
      <c r="P145" s="376"/>
      <c r="Q145" s="376"/>
      <c r="R145" s="376"/>
      <c r="S145" s="376"/>
      <c r="T145" s="376"/>
      <c r="U145" s="376"/>
      <c r="V145" s="376"/>
    </row>
    <row r="146" spans="1:22">
      <c r="A146" s="200"/>
      <c r="B146" s="200"/>
      <c r="C146" s="373"/>
      <c r="D146" s="200"/>
      <c r="E146" s="200"/>
      <c r="F146" s="200"/>
      <c r="G146" s="200"/>
      <c r="H146" s="200"/>
      <c r="I146" s="377"/>
      <c r="J146" s="366"/>
      <c r="K146" s="374"/>
      <c r="L146" s="366"/>
      <c r="M146" s="375"/>
      <c r="N146" s="376"/>
      <c r="O146" s="376"/>
      <c r="P146" s="376"/>
      <c r="Q146" s="376"/>
      <c r="R146" s="376"/>
      <c r="S146" s="376"/>
      <c r="T146" s="376"/>
      <c r="U146" s="376"/>
      <c r="V146" s="376"/>
    </row>
    <row r="147" spans="1:22">
      <c r="A147" s="200"/>
      <c r="B147" s="200"/>
      <c r="C147" s="373"/>
      <c r="D147" s="200"/>
      <c r="E147" s="200"/>
      <c r="F147" s="200"/>
      <c r="G147" s="200"/>
      <c r="H147" s="200"/>
      <c r="I147" s="377"/>
      <c r="J147" s="366"/>
      <c r="K147" s="374"/>
      <c r="L147" s="366"/>
      <c r="M147" s="375"/>
      <c r="N147" s="376"/>
      <c r="O147" s="376"/>
      <c r="P147" s="376"/>
      <c r="Q147" s="376"/>
      <c r="R147" s="376"/>
      <c r="S147" s="376"/>
      <c r="T147" s="376"/>
      <c r="U147" s="376"/>
      <c r="V147" s="376"/>
    </row>
    <row r="148" spans="1:22">
      <c r="A148" s="200"/>
      <c r="B148" s="200"/>
      <c r="C148" s="373"/>
      <c r="D148" s="200"/>
      <c r="E148" s="200"/>
      <c r="F148" s="200"/>
      <c r="G148" s="200"/>
      <c r="H148" s="200"/>
      <c r="I148" s="377"/>
      <c r="J148" s="366"/>
      <c r="K148" s="374"/>
      <c r="L148" s="366"/>
      <c r="M148" s="375"/>
      <c r="N148" s="376"/>
      <c r="O148" s="376"/>
      <c r="P148" s="376"/>
      <c r="Q148" s="376"/>
      <c r="R148" s="376"/>
      <c r="S148" s="376"/>
      <c r="T148" s="376"/>
      <c r="U148" s="376"/>
      <c r="V148" s="376"/>
    </row>
    <row r="149" spans="1:22">
      <c r="A149" s="200"/>
      <c r="B149" s="200"/>
      <c r="C149" s="373"/>
      <c r="D149" s="200"/>
      <c r="E149" s="200"/>
      <c r="F149" s="200"/>
      <c r="G149" s="200"/>
      <c r="H149" s="200"/>
      <c r="I149" s="377"/>
      <c r="J149" s="366"/>
      <c r="K149" s="374"/>
      <c r="L149" s="366"/>
      <c r="M149" s="375"/>
      <c r="N149" s="376"/>
      <c r="O149" s="376"/>
      <c r="P149" s="376"/>
      <c r="Q149" s="376"/>
      <c r="R149" s="376"/>
      <c r="S149" s="376"/>
      <c r="T149" s="376"/>
      <c r="U149" s="376"/>
      <c r="V149" s="376"/>
    </row>
    <row r="150" spans="1:22">
      <c r="A150" s="200"/>
      <c r="B150" s="200"/>
      <c r="C150" s="373"/>
      <c r="D150" s="200"/>
      <c r="E150" s="200"/>
      <c r="F150" s="200"/>
      <c r="G150" s="200"/>
      <c r="H150" s="200"/>
      <c r="I150" s="377"/>
      <c r="J150" s="366"/>
      <c r="K150" s="374"/>
      <c r="L150" s="366"/>
      <c r="M150" s="375"/>
      <c r="N150" s="376"/>
      <c r="O150" s="376"/>
      <c r="P150" s="376"/>
      <c r="Q150" s="376"/>
      <c r="R150" s="376"/>
      <c r="S150" s="376"/>
      <c r="T150" s="376"/>
      <c r="U150" s="376"/>
      <c r="V150" s="376"/>
    </row>
    <row r="151" spans="1:22">
      <c r="A151" s="200"/>
      <c r="B151" s="200"/>
      <c r="C151" s="373"/>
      <c r="D151" s="200"/>
      <c r="E151" s="200"/>
      <c r="F151" s="200"/>
      <c r="G151" s="200"/>
      <c r="H151" s="200"/>
      <c r="I151" s="377"/>
      <c r="J151" s="366"/>
      <c r="K151" s="374"/>
      <c r="L151" s="366"/>
      <c r="M151" s="375"/>
      <c r="N151" s="376"/>
      <c r="O151" s="376"/>
      <c r="P151" s="376"/>
      <c r="Q151" s="376"/>
      <c r="R151" s="376"/>
      <c r="S151" s="376"/>
      <c r="T151" s="376"/>
      <c r="U151" s="376"/>
      <c r="V151" s="376"/>
    </row>
    <row r="152" spans="1:22">
      <c r="A152" s="200"/>
      <c r="B152" s="200"/>
      <c r="C152" s="373"/>
      <c r="D152" s="200"/>
      <c r="E152" s="200"/>
      <c r="F152" s="200"/>
      <c r="G152" s="200"/>
      <c r="H152" s="200"/>
      <c r="I152" s="377"/>
      <c r="J152" s="366"/>
      <c r="K152" s="374"/>
      <c r="L152" s="366"/>
      <c r="M152" s="375"/>
      <c r="N152" s="376"/>
      <c r="O152" s="376"/>
      <c r="P152" s="376"/>
      <c r="Q152" s="376"/>
      <c r="R152" s="376"/>
      <c r="S152" s="376"/>
      <c r="T152" s="376"/>
      <c r="U152" s="376"/>
      <c r="V152" s="376"/>
    </row>
    <row r="153" spans="1:22">
      <c r="A153" s="200"/>
      <c r="B153" s="200"/>
      <c r="C153" s="373"/>
      <c r="D153" s="200"/>
      <c r="E153" s="200"/>
      <c r="F153" s="200"/>
      <c r="G153" s="200"/>
      <c r="H153" s="200"/>
      <c r="I153" s="377"/>
      <c r="J153" s="366"/>
      <c r="K153" s="374"/>
      <c r="L153" s="366"/>
      <c r="M153" s="375"/>
      <c r="N153" s="376"/>
      <c r="O153" s="376"/>
      <c r="P153" s="376"/>
      <c r="Q153" s="376"/>
      <c r="R153" s="376"/>
      <c r="S153" s="376"/>
      <c r="T153" s="376"/>
      <c r="U153" s="376"/>
      <c r="V153" s="376"/>
    </row>
    <row r="154" spans="1:22">
      <c r="A154" s="200"/>
      <c r="B154" s="200"/>
      <c r="C154" s="373"/>
      <c r="D154" s="200"/>
      <c r="E154" s="200"/>
      <c r="F154" s="200"/>
      <c r="G154" s="200"/>
      <c r="H154" s="200"/>
      <c r="I154" s="377"/>
      <c r="J154" s="366"/>
      <c r="K154" s="374"/>
      <c r="L154" s="366"/>
      <c r="M154" s="375"/>
      <c r="N154" s="376"/>
      <c r="O154" s="376"/>
      <c r="P154" s="376"/>
      <c r="Q154" s="376"/>
      <c r="R154" s="376"/>
      <c r="S154" s="376"/>
      <c r="T154" s="376"/>
      <c r="U154" s="376"/>
      <c r="V154" s="376"/>
    </row>
    <row r="155" spans="1:22">
      <c r="A155" s="200"/>
      <c r="B155" s="200"/>
      <c r="C155" s="373"/>
      <c r="D155" s="200"/>
      <c r="E155" s="200"/>
      <c r="F155" s="200"/>
      <c r="G155" s="200"/>
      <c r="H155" s="200"/>
      <c r="I155" s="377"/>
      <c r="J155" s="366"/>
      <c r="K155" s="374"/>
      <c r="L155" s="366"/>
      <c r="M155" s="375"/>
      <c r="N155" s="376"/>
      <c r="O155" s="376"/>
      <c r="P155" s="376"/>
      <c r="Q155" s="376"/>
      <c r="R155" s="376"/>
      <c r="S155" s="376"/>
      <c r="T155" s="376"/>
      <c r="U155" s="376"/>
      <c r="V155" s="376"/>
    </row>
    <row r="156" spans="1:22">
      <c r="A156" s="200"/>
      <c r="B156" s="200"/>
      <c r="C156" s="373"/>
      <c r="D156" s="200"/>
      <c r="E156" s="200"/>
      <c r="F156" s="200"/>
      <c r="G156" s="200"/>
      <c r="H156" s="200"/>
      <c r="I156" s="377"/>
      <c r="J156" s="366"/>
      <c r="K156" s="374"/>
      <c r="L156" s="366"/>
      <c r="M156" s="375"/>
      <c r="N156" s="376"/>
      <c r="O156" s="376"/>
      <c r="P156" s="376"/>
      <c r="Q156" s="376"/>
      <c r="R156" s="376"/>
      <c r="S156" s="376"/>
      <c r="T156" s="376"/>
      <c r="U156" s="376"/>
      <c r="V156" s="376"/>
    </row>
    <row r="157" spans="1:22">
      <c r="A157" s="200"/>
      <c r="B157" s="200"/>
      <c r="C157" s="373"/>
      <c r="D157" s="200"/>
      <c r="E157" s="200"/>
      <c r="F157" s="200"/>
      <c r="G157" s="200"/>
      <c r="H157" s="200"/>
      <c r="I157" s="377"/>
      <c r="J157" s="366"/>
      <c r="K157" s="374"/>
      <c r="L157" s="366"/>
      <c r="M157" s="375"/>
      <c r="N157" s="376"/>
      <c r="O157" s="376"/>
      <c r="P157" s="376"/>
      <c r="Q157" s="376"/>
      <c r="R157" s="376"/>
      <c r="S157" s="376"/>
      <c r="T157" s="376"/>
      <c r="U157" s="376"/>
      <c r="V157" s="376"/>
    </row>
    <row r="158" spans="1:22">
      <c r="A158" s="200"/>
      <c r="B158" s="200"/>
      <c r="C158" s="373"/>
      <c r="D158" s="200"/>
      <c r="E158" s="200"/>
      <c r="F158" s="200"/>
      <c r="G158" s="200"/>
      <c r="H158" s="200"/>
      <c r="I158" s="377"/>
      <c r="J158" s="366"/>
      <c r="K158" s="374"/>
      <c r="L158" s="366"/>
      <c r="M158" s="375"/>
      <c r="N158" s="376"/>
      <c r="O158" s="376"/>
      <c r="P158" s="376"/>
      <c r="Q158" s="376"/>
      <c r="R158" s="376"/>
      <c r="S158" s="376"/>
      <c r="T158" s="376"/>
      <c r="U158" s="376"/>
      <c r="V158" s="376"/>
    </row>
    <row r="159" spans="1:22">
      <c r="A159" s="200"/>
      <c r="B159" s="200"/>
      <c r="C159" s="373"/>
      <c r="D159" s="200"/>
      <c r="E159" s="200"/>
      <c r="F159" s="200"/>
      <c r="G159" s="200"/>
      <c r="H159" s="200"/>
      <c r="I159" s="377"/>
      <c r="J159" s="366"/>
      <c r="K159" s="374"/>
      <c r="L159" s="366"/>
      <c r="M159" s="375"/>
      <c r="N159" s="376"/>
      <c r="O159" s="376"/>
      <c r="P159" s="376"/>
      <c r="Q159" s="376"/>
      <c r="R159" s="376"/>
      <c r="S159" s="376"/>
      <c r="T159" s="376"/>
      <c r="U159" s="376"/>
      <c r="V159" s="376"/>
    </row>
    <row r="160" spans="1:22">
      <c r="A160" s="200"/>
      <c r="B160" s="200"/>
      <c r="C160" s="373"/>
      <c r="D160" s="200"/>
      <c r="E160" s="200"/>
      <c r="F160" s="200"/>
      <c r="G160" s="200"/>
      <c r="H160" s="200"/>
      <c r="I160" s="377"/>
      <c r="J160" s="366"/>
      <c r="K160" s="374"/>
      <c r="L160" s="366"/>
      <c r="M160" s="375"/>
      <c r="N160" s="376"/>
      <c r="O160" s="376"/>
      <c r="P160" s="376"/>
      <c r="Q160" s="376"/>
      <c r="R160" s="376"/>
      <c r="S160" s="376"/>
      <c r="T160" s="376"/>
      <c r="U160" s="376"/>
      <c r="V160" s="376"/>
    </row>
    <row r="161" spans="1:22">
      <c r="A161" s="200"/>
      <c r="B161" s="200"/>
      <c r="C161" s="373"/>
      <c r="D161" s="200"/>
      <c r="E161" s="200"/>
      <c r="F161" s="200"/>
      <c r="G161" s="200"/>
      <c r="H161" s="200"/>
      <c r="I161" s="377"/>
      <c r="J161" s="366"/>
      <c r="K161" s="374"/>
      <c r="L161" s="366"/>
      <c r="M161" s="375"/>
      <c r="N161" s="376"/>
      <c r="O161" s="376"/>
      <c r="P161" s="376"/>
      <c r="Q161" s="376"/>
      <c r="R161" s="376"/>
      <c r="S161" s="376"/>
      <c r="T161" s="376"/>
      <c r="U161" s="376"/>
      <c r="V161" s="376"/>
    </row>
    <row r="162" spans="1:22">
      <c r="A162" s="200"/>
      <c r="B162" s="200"/>
      <c r="C162" s="373"/>
      <c r="D162" s="200"/>
      <c r="E162" s="200"/>
      <c r="F162" s="200"/>
      <c r="G162" s="200"/>
      <c r="H162" s="200"/>
      <c r="I162" s="377"/>
      <c r="J162" s="366"/>
      <c r="K162" s="374"/>
      <c r="L162" s="366"/>
      <c r="M162" s="375"/>
      <c r="N162" s="376"/>
      <c r="O162" s="376"/>
      <c r="P162" s="376"/>
      <c r="Q162" s="376"/>
      <c r="R162" s="376"/>
      <c r="S162" s="376"/>
      <c r="T162" s="376"/>
      <c r="U162" s="376"/>
      <c r="V162" s="376"/>
    </row>
    <row r="163" spans="1:22">
      <c r="A163" s="200"/>
      <c r="B163" s="200"/>
      <c r="C163" s="373"/>
      <c r="D163" s="200"/>
      <c r="E163" s="200"/>
      <c r="F163" s="200"/>
      <c r="G163" s="200"/>
      <c r="H163" s="200"/>
      <c r="I163" s="377"/>
      <c r="J163" s="366"/>
      <c r="K163" s="374"/>
      <c r="L163" s="366"/>
      <c r="M163" s="375"/>
      <c r="N163" s="376"/>
      <c r="O163" s="376"/>
      <c r="P163" s="376"/>
      <c r="Q163" s="376"/>
      <c r="R163" s="376"/>
      <c r="S163" s="376"/>
      <c r="T163" s="376"/>
      <c r="U163" s="376"/>
      <c r="V163" s="376"/>
    </row>
    <row r="164" spans="1:22">
      <c r="A164" s="200"/>
      <c r="B164" s="200"/>
      <c r="C164" s="373"/>
      <c r="D164" s="200"/>
      <c r="E164" s="200"/>
      <c r="F164" s="200"/>
      <c r="G164" s="200"/>
      <c r="H164" s="200"/>
      <c r="I164" s="377"/>
      <c r="J164" s="366"/>
      <c r="K164" s="374"/>
      <c r="L164" s="366"/>
      <c r="M164" s="375"/>
      <c r="N164" s="376"/>
      <c r="O164" s="376"/>
      <c r="P164" s="376"/>
      <c r="Q164" s="376"/>
      <c r="R164" s="376"/>
      <c r="S164" s="376"/>
      <c r="T164" s="376"/>
      <c r="U164" s="376"/>
      <c r="V164" s="376"/>
    </row>
    <row r="165" spans="1:22">
      <c r="A165" s="200"/>
      <c r="B165" s="200"/>
      <c r="C165" s="373"/>
      <c r="D165" s="200"/>
      <c r="E165" s="200"/>
      <c r="F165" s="200"/>
      <c r="G165" s="200"/>
      <c r="H165" s="200"/>
      <c r="I165" s="377"/>
      <c r="J165" s="366"/>
      <c r="K165" s="374"/>
      <c r="L165" s="366"/>
      <c r="M165" s="375"/>
      <c r="N165" s="376"/>
      <c r="O165" s="376"/>
      <c r="P165" s="376"/>
      <c r="Q165" s="376"/>
      <c r="R165" s="376"/>
      <c r="S165" s="376"/>
      <c r="T165" s="376"/>
      <c r="U165" s="376"/>
      <c r="V165" s="376"/>
    </row>
    <row r="166" spans="1:22">
      <c r="A166" s="200"/>
      <c r="B166" s="200"/>
      <c r="C166" s="373"/>
      <c r="D166" s="200"/>
      <c r="E166" s="200"/>
      <c r="F166" s="200"/>
      <c r="G166" s="200"/>
      <c r="H166" s="200"/>
      <c r="I166" s="377"/>
      <c r="J166" s="366"/>
      <c r="K166" s="374"/>
      <c r="L166" s="366"/>
      <c r="M166" s="375"/>
      <c r="N166" s="376"/>
      <c r="O166" s="376"/>
      <c r="P166" s="376"/>
      <c r="Q166" s="376"/>
      <c r="R166" s="376"/>
      <c r="S166" s="376"/>
      <c r="T166" s="376"/>
      <c r="U166" s="376"/>
      <c r="V166" s="376"/>
    </row>
    <row r="167" spans="1:22">
      <c r="A167" s="200"/>
      <c r="B167" s="200"/>
      <c r="C167" s="373"/>
      <c r="D167" s="200"/>
      <c r="E167" s="200"/>
      <c r="F167" s="200"/>
      <c r="G167" s="200"/>
      <c r="H167" s="200"/>
      <c r="I167" s="377"/>
      <c r="J167" s="366"/>
      <c r="K167" s="374"/>
      <c r="L167" s="366"/>
      <c r="M167" s="375"/>
      <c r="N167" s="376"/>
      <c r="O167" s="376"/>
      <c r="P167" s="376"/>
      <c r="Q167" s="376"/>
      <c r="R167" s="376"/>
      <c r="S167" s="376"/>
      <c r="T167" s="376"/>
      <c r="U167" s="376"/>
      <c r="V167" s="376"/>
    </row>
    <row r="168" spans="1:22">
      <c r="A168" s="200"/>
      <c r="B168" s="200"/>
      <c r="C168" s="373"/>
      <c r="D168" s="200"/>
      <c r="E168" s="200"/>
      <c r="F168" s="200"/>
      <c r="G168" s="200"/>
      <c r="H168" s="200"/>
      <c r="I168" s="377"/>
      <c r="J168" s="366"/>
      <c r="K168" s="374"/>
      <c r="L168" s="366"/>
      <c r="M168" s="375"/>
      <c r="N168" s="376"/>
      <c r="O168" s="376"/>
      <c r="P168" s="376"/>
      <c r="Q168" s="376"/>
      <c r="R168" s="376"/>
      <c r="S168" s="376"/>
      <c r="T168" s="376"/>
      <c r="U168" s="376"/>
      <c r="V168" s="376"/>
    </row>
    <row r="169" spans="1:22">
      <c r="A169" s="200"/>
      <c r="B169" s="200"/>
      <c r="C169" s="373"/>
      <c r="D169" s="200"/>
      <c r="E169" s="200"/>
      <c r="F169" s="200"/>
      <c r="G169" s="200"/>
      <c r="H169" s="200"/>
      <c r="I169" s="377"/>
      <c r="J169" s="366"/>
      <c r="K169" s="374"/>
      <c r="L169" s="366"/>
      <c r="M169" s="375"/>
      <c r="N169" s="376"/>
      <c r="O169" s="376"/>
      <c r="P169" s="376"/>
      <c r="Q169" s="376"/>
      <c r="R169" s="376"/>
      <c r="S169" s="376"/>
      <c r="T169" s="376"/>
      <c r="U169" s="376"/>
      <c r="V169" s="376"/>
    </row>
    <row r="170" spans="1:22">
      <c r="A170" s="200"/>
      <c r="B170" s="200"/>
      <c r="C170" s="373"/>
      <c r="D170" s="200"/>
      <c r="E170" s="200"/>
      <c r="F170" s="200"/>
      <c r="G170" s="200"/>
      <c r="H170" s="200"/>
      <c r="I170" s="377"/>
      <c r="J170" s="366"/>
      <c r="K170" s="374"/>
      <c r="L170" s="366"/>
      <c r="M170" s="375"/>
      <c r="N170" s="376"/>
      <c r="O170" s="376"/>
      <c r="P170" s="376"/>
      <c r="Q170" s="376"/>
      <c r="R170" s="376"/>
      <c r="S170" s="376"/>
      <c r="T170" s="376"/>
      <c r="U170" s="376"/>
      <c r="V170" s="376"/>
    </row>
    <row r="171" spans="1:22">
      <c r="A171" s="200"/>
      <c r="B171" s="200"/>
      <c r="C171" s="373"/>
      <c r="D171" s="200"/>
      <c r="E171" s="200"/>
      <c r="F171" s="200"/>
      <c r="G171" s="200"/>
      <c r="H171" s="200"/>
      <c r="I171" s="377"/>
      <c r="J171" s="366"/>
      <c r="K171" s="374"/>
      <c r="L171" s="366"/>
      <c r="M171" s="375"/>
      <c r="N171" s="376"/>
      <c r="O171" s="376"/>
      <c r="P171" s="376"/>
      <c r="Q171" s="376"/>
      <c r="R171" s="376"/>
      <c r="S171" s="376"/>
      <c r="T171" s="376"/>
      <c r="U171" s="376"/>
      <c r="V171" s="376"/>
    </row>
    <row r="172" spans="1:22">
      <c r="A172" s="200"/>
      <c r="B172" s="200"/>
      <c r="C172" s="373"/>
      <c r="D172" s="200"/>
      <c r="E172" s="200"/>
      <c r="F172" s="200"/>
      <c r="G172" s="200"/>
      <c r="H172" s="200"/>
      <c r="I172" s="377"/>
      <c r="J172" s="366"/>
      <c r="K172" s="374"/>
      <c r="L172" s="366"/>
      <c r="M172" s="375"/>
      <c r="N172" s="376"/>
      <c r="O172" s="376"/>
      <c r="P172" s="376"/>
      <c r="Q172" s="376"/>
      <c r="R172" s="376"/>
      <c r="S172" s="376"/>
      <c r="T172" s="376"/>
      <c r="U172" s="376"/>
      <c r="V172" s="376"/>
    </row>
    <row r="173" spans="1:22">
      <c r="A173" s="200"/>
      <c r="B173" s="200"/>
      <c r="C173" s="373"/>
      <c r="D173" s="200"/>
      <c r="E173" s="200"/>
      <c r="F173" s="200"/>
      <c r="G173" s="200"/>
      <c r="H173" s="200"/>
      <c r="I173" s="377"/>
      <c r="J173" s="366"/>
      <c r="K173" s="374"/>
      <c r="L173" s="366"/>
      <c r="M173" s="375"/>
      <c r="N173" s="376"/>
      <c r="O173" s="376"/>
      <c r="P173" s="376"/>
      <c r="Q173" s="376"/>
      <c r="R173" s="376"/>
      <c r="S173" s="376"/>
      <c r="T173" s="376"/>
      <c r="U173" s="376"/>
      <c r="V173" s="376"/>
    </row>
    <row r="174" spans="1:22">
      <c r="A174" s="200"/>
      <c r="B174" s="200"/>
      <c r="C174" s="373"/>
      <c r="D174" s="200"/>
      <c r="E174" s="200"/>
      <c r="F174" s="200"/>
      <c r="G174" s="200"/>
      <c r="H174" s="200"/>
      <c r="I174" s="377"/>
      <c r="J174" s="366"/>
      <c r="K174" s="374"/>
      <c r="L174" s="366"/>
      <c r="M174" s="375"/>
      <c r="N174" s="376"/>
      <c r="O174" s="376"/>
      <c r="P174" s="376"/>
      <c r="Q174" s="376"/>
      <c r="R174" s="376"/>
      <c r="S174" s="376"/>
      <c r="T174" s="376"/>
      <c r="U174" s="376"/>
      <c r="V174" s="376"/>
    </row>
    <row r="175" spans="1:22">
      <c r="A175" s="200"/>
      <c r="B175" s="200"/>
      <c r="C175" s="373"/>
      <c r="D175" s="200"/>
      <c r="E175" s="200"/>
      <c r="F175" s="200"/>
      <c r="G175" s="200"/>
      <c r="H175" s="200"/>
      <c r="I175" s="377"/>
      <c r="J175" s="366"/>
      <c r="K175" s="374"/>
      <c r="L175" s="366"/>
      <c r="M175" s="375"/>
      <c r="N175" s="376"/>
      <c r="O175" s="376"/>
      <c r="P175" s="376"/>
      <c r="Q175" s="376"/>
      <c r="R175" s="376"/>
      <c r="S175" s="376"/>
      <c r="T175" s="376"/>
      <c r="U175" s="376"/>
      <c r="V175" s="376"/>
    </row>
    <row r="176" spans="1:22">
      <c r="A176" s="200"/>
      <c r="B176" s="200"/>
      <c r="C176" s="373"/>
      <c r="D176" s="200"/>
      <c r="E176" s="200"/>
      <c r="F176" s="200"/>
      <c r="G176" s="200"/>
      <c r="H176" s="200"/>
      <c r="I176" s="377"/>
      <c r="J176" s="366"/>
      <c r="K176" s="374"/>
      <c r="L176" s="366"/>
      <c r="M176" s="375"/>
      <c r="N176" s="376"/>
      <c r="O176" s="376"/>
      <c r="P176" s="376"/>
      <c r="Q176" s="376"/>
      <c r="R176" s="376"/>
      <c r="S176" s="376"/>
      <c r="T176" s="376"/>
      <c r="U176" s="376"/>
      <c r="V176" s="376"/>
    </row>
    <row r="177" spans="1:22">
      <c r="A177" s="200"/>
      <c r="B177" s="200"/>
      <c r="C177" s="373"/>
      <c r="D177" s="200"/>
      <c r="E177" s="200"/>
      <c r="F177" s="200"/>
      <c r="G177" s="200"/>
      <c r="H177" s="200"/>
      <c r="I177" s="377"/>
      <c r="J177" s="366"/>
      <c r="K177" s="374"/>
      <c r="L177" s="366"/>
      <c r="M177" s="375"/>
      <c r="N177" s="376"/>
      <c r="O177" s="376"/>
      <c r="P177" s="376"/>
      <c r="Q177" s="376"/>
      <c r="R177" s="376"/>
      <c r="S177" s="376"/>
      <c r="T177" s="376"/>
      <c r="U177" s="376"/>
      <c r="V177" s="376"/>
    </row>
    <row r="178" spans="1:22">
      <c r="A178" s="200"/>
      <c r="B178" s="200"/>
      <c r="C178" s="373"/>
      <c r="D178" s="200"/>
      <c r="E178" s="200"/>
      <c r="F178" s="200"/>
      <c r="G178" s="200"/>
      <c r="H178" s="200"/>
      <c r="I178" s="377"/>
      <c r="J178" s="366"/>
      <c r="K178" s="374"/>
      <c r="L178" s="366"/>
      <c r="M178" s="375"/>
      <c r="N178" s="376"/>
      <c r="O178" s="376"/>
      <c r="P178" s="376"/>
      <c r="Q178" s="376"/>
      <c r="R178" s="376"/>
      <c r="S178" s="376"/>
      <c r="T178" s="376"/>
      <c r="U178" s="376"/>
      <c r="V178" s="376"/>
    </row>
    <row r="179" spans="1:22">
      <c r="A179" s="200"/>
      <c r="B179" s="200"/>
      <c r="C179" s="373"/>
      <c r="D179" s="200"/>
      <c r="E179" s="200"/>
      <c r="F179" s="200"/>
      <c r="G179" s="200"/>
      <c r="H179" s="200"/>
      <c r="I179" s="377"/>
      <c r="J179" s="366"/>
      <c r="K179" s="374"/>
      <c r="L179" s="366"/>
      <c r="M179" s="375"/>
      <c r="N179" s="376"/>
      <c r="O179" s="376"/>
      <c r="P179" s="376"/>
      <c r="Q179" s="376"/>
      <c r="R179" s="376"/>
      <c r="S179" s="376"/>
      <c r="T179" s="376"/>
      <c r="U179" s="376"/>
      <c r="V179" s="376"/>
    </row>
    <row r="180" spans="1:22">
      <c r="A180" s="200"/>
      <c r="B180" s="200"/>
      <c r="C180" s="373"/>
      <c r="D180" s="200"/>
      <c r="E180" s="200"/>
      <c r="F180" s="200"/>
      <c r="G180" s="200"/>
      <c r="H180" s="200"/>
      <c r="I180" s="377"/>
      <c r="J180" s="366"/>
      <c r="K180" s="374"/>
      <c r="L180" s="366"/>
      <c r="M180" s="375"/>
      <c r="N180" s="376"/>
      <c r="O180" s="376"/>
      <c r="P180" s="376"/>
      <c r="Q180" s="376"/>
      <c r="R180" s="376"/>
      <c r="S180" s="376"/>
      <c r="T180" s="376"/>
      <c r="U180" s="376"/>
      <c r="V180" s="376"/>
    </row>
    <row r="181" spans="1:22">
      <c r="A181" s="200"/>
      <c r="B181" s="200"/>
      <c r="C181" s="373"/>
      <c r="D181" s="200"/>
      <c r="E181" s="200"/>
      <c r="F181" s="200"/>
      <c r="G181" s="200"/>
      <c r="H181" s="200"/>
      <c r="I181" s="377"/>
      <c r="J181" s="366"/>
      <c r="K181" s="374"/>
      <c r="L181" s="366"/>
      <c r="M181" s="375"/>
      <c r="N181" s="376"/>
      <c r="O181" s="376"/>
      <c r="P181" s="376"/>
      <c r="Q181" s="376"/>
      <c r="R181" s="376"/>
      <c r="S181" s="376"/>
      <c r="T181" s="376"/>
      <c r="U181" s="376"/>
      <c r="V181" s="376"/>
    </row>
    <row r="182" spans="1:22">
      <c r="A182" s="200"/>
      <c r="B182" s="200"/>
      <c r="C182" s="373"/>
      <c r="D182" s="200"/>
      <c r="E182" s="200"/>
      <c r="F182" s="200"/>
      <c r="G182" s="200"/>
      <c r="H182" s="200"/>
      <c r="I182" s="377"/>
      <c r="J182" s="366"/>
      <c r="K182" s="374"/>
      <c r="L182" s="366"/>
      <c r="M182" s="375"/>
      <c r="N182" s="376"/>
      <c r="O182" s="376"/>
      <c r="P182" s="376"/>
      <c r="Q182" s="376"/>
      <c r="R182" s="376"/>
      <c r="S182" s="376"/>
      <c r="T182" s="376"/>
      <c r="U182" s="376"/>
      <c r="V182" s="376"/>
    </row>
    <row r="183" spans="1:22">
      <c r="A183" s="200"/>
      <c r="B183" s="200"/>
      <c r="C183" s="373"/>
      <c r="D183" s="200"/>
      <c r="E183" s="200"/>
      <c r="F183" s="200"/>
      <c r="G183" s="200"/>
      <c r="H183" s="200"/>
      <c r="I183" s="377"/>
      <c r="J183" s="366"/>
      <c r="K183" s="374"/>
      <c r="L183" s="366"/>
      <c r="M183" s="375"/>
      <c r="N183" s="376"/>
      <c r="O183" s="376"/>
      <c r="P183" s="376"/>
      <c r="Q183" s="376"/>
      <c r="R183" s="376"/>
      <c r="S183" s="376"/>
      <c r="T183" s="376"/>
      <c r="U183" s="376"/>
      <c r="V183" s="376"/>
    </row>
    <row r="184" spans="1:22">
      <c r="A184" s="200"/>
      <c r="B184" s="200"/>
      <c r="C184" s="373"/>
      <c r="D184" s="200"/>
      <c r="E184" s="200"/>
      <c r="F184" s="200"/>
      <c r="G184" s="200"/>
      <c r="H184" s="200"/>
      <c r="I184" s="377"/>
      <c r="J184" s="366"/>
      <c r="K184" s="374"/>
      <c r="L184" s="366"/>
      <c r="M184" s="375"/>
      <c r="N184" s="376"/>
      <c r="O184" s="376"/>
      <c r="P184" s="376"/>
      <c r="Q184" s="376"/>
      <c r="R184" s="376"/>
      <c r="S184" s="376"/>
      <c r="T184" s="376"/>
      <c r="U184" s="376"/>
      <c r="V184" s="376"/>
    </row>
    <row r="185" spans="1:22">
      <c r="A185" s="200"/>
      <c r="B185" s="200"/>
      <c r="C185" s="373"/>
      <c r="D185" s="200"/>
      <c r="E185" s="200"/>
      <c r="F185" s="200"/>
      <c r="G185" s="200"/>
      <c r="H185" s="200"/>
      <c r="I185" s="377"/>
      <c r="J185" s="366"/>
      <c r="K185" s="374"/>
      <c r="L185" s="366"/>
      <c r="M185" s="375"/>
      <c r="N185" s="376"/>
      <c r="O185" s="376"/>
      <c r="P185" s="376"/>
      <c r="Q185" s="376"/>
      <c r="R185" s="376"/>
      <c r="S185" s="376"/>
      <c r="T185" s="376"/>
      <c r="U185" s="376"/>
      <c r="V185" s="376"/>
    </row>
    <row r="186" spans="1:22">
      <c r="A186" s="200"/>
      <c r="B186" s="200"/>
      <c r="C186" s="373"/>
      <c r="D186" s="200"/>
      <c r="E186" s="200"/>
      <c r="F186" s="200"/>
      <c r="G186" s="200"/>
      <c r="H186" s="200"/>
      <c r="I186" s="377"/>
      <c r="J186" s="366"/>
      <c r="K186" s="374"/>
      <c r="L186" s="366"/>
      <c r="M186" s="375"/>
      <c r="N186" s="376"/>
      <c r="O186" s="376"/>
      <c r="P186" s="376"/>
      <c r="Q186" s="376"/>
      <c r="R186" s="376"/>
      <c r="S186" s="376"/>
      <c r="T186" s="376"/>
      <c r="U186" s="376"/>
      <c r="V186" s="376"/>
    </row>
    <row r="187" spans="1:22">
      <c r="A187" s="200"/>
      <c r="B187" s="200"/>
      <c r="C187" s="373"/>
      <c r="D187" s="200"/>
      <c r="E187" s="200"/>
      <c r="F187" s="200"/>
      <c r="G187" s="200"/>
      <c r="H187" s="200"/>
      <c r="I187" s="377"/>
      <c r="J187" s="366"/>
      <c r="K187" s="374"/>
      <c r="L187" s="366"/>
      <c r="M187" s="375"/>
      <c r="N187" s="376"/>
      <c r="O187" s="376"/>
      <c r="P187" s="376"/>
      <c r="Q187" s="376"/>
      <c r="R187" s="376"/>
      <c r="S187" s="376"/>
      <c r="T187" s="376"/>
      <c r="U187" s="376"/>
      <c r="V187" s="376"/>
    </row>
    <row r="188" spans="1:22">
      <c r="A188" s="200"/>
      <c r="B188" s="200"/>
      <c r="C188" s="373"/>
      <c r="D188" s="200"/>
      <c r="E188" s="200"/>
      <c r="F188" s="200"/>
      <c r="G188" s="200"/>
      <c r="H188" s="200"/>
      <c r="I188" s="377"/>
      <c r="J188" s="366"/>
      <c r="K188" s="374"/>
      <c r="L188" s="366"/>
      <c r="M188" s="375"/>
      <c r="N188" s="376"/>
      <c r="O188" s="376"/>
      <c r="P188" s="376"/>
      <c r="Q188" s="376"/>
      <c r="R188" s="376"/>
      <c r="S188" s="376"/>
      <c r="T188" s="376"/>
      <c r="U188" s="376"/>
      <c r="V188" s="376"/>
    </row>
    <row r="189" spans="1:22">
      <c r="A189" s="200"/>
      <c r="B189" s="200"/>
      <c r="C189" s="373"/>
      <c r="D189" s="200"/>
      <c r="E189" s="200"/>
      <c r="F189" s="200"/>
      <c r="G189" s="200"/>
      <c r="H189" s="200"/>
      <c r="I189" s="377"/>
      <c r="J189" s="366"/>
      <c r="K189" s="374"/>
      <c r="L189" s="366"/>
      <c r="M189" s="375"/>
      <c r="N189" s="376"/>
      <c r="O189" s="376"/>
      <c r="P189" s="376"/>
      <c r="Q189" s="376"/>
      <c r="R189" s="376"/>
      <c r="S189" s="376"/>
      <c r="T189" s="376"/>
      <c r="U189" s="376"/>
      <c r="V189" s="376"/>
    </row>
    <row r="190" spans="1:22">
      <c r="A190" s="200"/>
      <c r="B190" s="200"/>
      <c r="C190" s="373"/>
      <c r="D190" s="200"/>
      <c r="E190" s="200"/>
      <c r="F190" s="200"/>
      <c r="G190" s="200"/>
      <c r="H190" s="200"/>
      <c r="I190" s="377"/>
      <c r="J190" s="366"/>
      <c r="K190" s="374"/>
      <c r="L190" s="366"/>
      <c r="M190" s="375"/>
      <c r="N190" s="376"/>
      <c r="O190" s="376"/>
      <c r="P190" s="376"/>
      <c r="Q190" s="376"/>
      <c r="R190" s="376"/>
      <c r="S190" s="376"/>
      <c r="T190" s="376"/>
      <c r="U190" s="376"/>
      <c r="V190" s="376"/>
    </row>
    <row r="191" spans="1:22">
      <c r="A191" s="200"/>
      <c r="B191" s="200"/>
      <c r="C191" s="373"/>
      <c r="D191" s="200"/>
      <c r="E191" s="200"/>
      <c r="F191" s="200"/>
      <c r="G191" s="200"/>
      <c r="H191" s="200"/>
      <c r="I191" s="377"/>
      <c r="J191" s="366"/>
      <c r="K191" s="374"/>
      <c r="L191" s="366"/>
      <c r="M191" s="375"/>
      <c r="N191" s="376"/>
      <c r="O191" s="376"/>
      <c r="P191" s="376"/>
      <c r="Q191" s="376"/>
      <c r="R191" s="376"/>
      <c r="S191" s="376"/>
      <c r="T191" s="376"/>
      <c r="U191" s="376"/>
      <c r="V191" s="376"/>
    </row>
    <row r="192" spans="1:22">
      <c r="A192" s="200"/>
      <c r="B192" s="200"/>
      <c r="C192" s="373"/>
      <c r="D192" s="200"/>
      <c r="E192" s="200"/>
      <c r="F192" s="200"/>
      <c r="G192" s="200"/>
      <c r="H192" s="200"/>
      <c r="I192" s="377"/>
      <c r="J192" s="366"/>
      <c r="K192" s="374"/>
      <c r="L192" s="366"/>
      <c r="M192" s="375"/>
      <c r="N192" s="376"/>
      <c r="O192" s="376"/>
      <c r="P192" s="376"/>
      <c r="Q192" s="376"/>
      <c r="R192" s="376"/>
      <c r="S192" s="376"/>
      <c r="T192" s="376"/>
      <c r="U192" s="376"/>
      <c r="V192" s="376"/>
    </row>
    <row r="193" spans="1:22">
      <c r="A193" s="200"/>
      <c r="B193" s="200"/>
      <c r="C193" s="373"/>
      <c r="D193" s="200"/>
      <c r="E193" s="200"/>
      <c r="F193" s="200"/>
      <c r="G193" s="200"/>
      <c r="H193" s="200"/>
      <c r="I193" s="377"/>
      <c r="J193" s="366"/>
      <c r="K193" s="374"/>
      <c r="L193" s="366"/>
      <c r="M193" s="375"/>
      <c r="N193" s="376"/>
      <c r="O193" s="376"/>
      <c r="P193" s="376"/>
      <c r="Q193" s="376"/>
      <c r="R193" s="376"/>
      <c r="S193" s="376"/>
      <c r="T193" s="376"/>
      <c r="U193" s="376"/>
      <c r="V193" s="376"/>
    </row>
    <row r="194" spans="1:22">
      <c r="A194" s="200"/>
      <c r="B194" s="200"/>
      <c r="C194" s="373"/>
      <c r="D194" s="200"/>
      <c r="E194" s="200"/>
      <c r="F194" s="200"/>
      <c r="G194" s="200"/>
      <c r="H194" s="200"/>
      <c r="I194" s="377"/>
      <c r="J194" s="366"/>
      <c r="K194" s="374"/>
      <c r="L194" s="366"/>
      <c r="M194" s="375"/>
      <c r="N194" s="376"/>
      <c r="O194" s="376"/>
      <c r="P194" s="376"/>
      <c r="Q194" s="376"/>
      <c r="R194" s="376"/>
      <c r="S194" s="376"/>
      <c r="T194" s="376"/>
      <c r="U194" s="376"/>
      <c r="V194" s="376"/>
    </row>
    <row r="195" spans="1:22">
      <c r="A195" s="200"/>
      <c r="B195" s="200"/>
      <c r="C195" s="373"/>
      <c r="D195" s="200"/>
      <c r="E195" s="200"/>
      <c r="F195" s="200"/>
      <c r="G195" s="200"/>
      <c r="H195" s="200"/>
      <c r="I195" s="377"/>
      <c r="J195" s="366"/>
      <c r="K195" s="374"/>
      <c r="L195" s="366"/>
      <c r="M195" s="375"/>
      <c r="N195" s="376"/>
      <c r="O195" s="376"/>
      <c r="P195" s="376"/>
      <c r="Q195" s="376"/>
      <c r="R195" s="376"/>
      <c r="S195" s="376"/>
      <c r="T195" s="376"/>
      <c r="U195" s="376"/>
      <c r="V195" s="376"/>
    </row>
    <row r="196" spans="1:22">
      <c r="A196" s="200"/>
      <c r="B196" s="200"/>
      <c r="C196" s="373"/>
      <c r="D196" s="200"/>
      <c r="E196" s="200"/>
      <c r="F196" s="200"/>
      <c r="G196" s="200"/>
      <c r="H196" s="200"/>
      <c r="I196" s="377"/>
      <c r="J196" s="366"/>
      <c r="K196" s="374"/>
      <c r="L196" s="366"/>
      <c r="M196" s="375"/>
      <c r="N196" s="376"/>
      <c r="O196" s="376"/>
      <c r="P196" s="376"/>
      <c r="Q196" s="376"/>
      <c r="R196" s="376"/>
      <c r="S196" s="376"/>
      <c r="T196" s="376"/>
      <c r="U196" s="376"/>
      <c r="V196" s="376"/>
    </row>
    <row r="197" spans="1:22">
      <c r="A197" s="200"/>
      <c r="B197" s="200"/>
      <c r="C197" s="373"/>
      <c r="D197" s="200"/>
      <c r="E197" s="200"/>
      <c r="F197" s="200"/>
      <c r="G197" s="200"/>
      <c r="H197" s="200"/>
      <c r="I197" s="377"/>
      <c r="J197" s="366"/>
      <c r="K197" s="374"/>
      <c r="L197" s="366"/>
      <c r="M197" s="375"/>
      <c r="N197" s="376"/>
      <c r="O197" s="376"/>
      <c r="P197" s="376"/>
      <c r="Q197" s="376"/>
      <c r="R197" s="376"/>
      <c r="S197" s="376"/>
      <c r="T197" s="376"/>
      <c r="U197" s="376"/>
      <c r="V197" s="376"/>
    </row>
    <row r="198" spans="1:22">
      <c r="A198" s="200"/>
      <c r="B198" s="200"/>
      <c r="C198" s="373"/>
      <c r="D198" s="200"/>
      <c r="E198" s="200"/>
      <c r="F198" s="200"/>
      <c r="G198" s="200"/>
      <c r="H198" s="200"/>
      <c r="I198" s="377"/>
      <c r="J198" s="366"/>
      <c r="K198" s="374"/>
      <c r="L198" s="366"/>
      <c r="M198" s="375"/>
      <c r="N198" s="376"/>
      <c r="O198" s="376"/>
      <c r="P198" s="376"/>
      <c r="Q198" s="376"/>
      <c r="R198" s="376"/>
      <c r="S198" s="376"/>
      <c r="T198" s="376"/>
      <c r="U198" s="376"/>
      <c r="V198" s="376"/>
    </row>
    <row r="199" spans="1:22">
      <c r="A199" s="200"/>
      <c r="B199" s="200"/>
      <c r="C199" s="373"/>
      <c r="D199" s="200"/>
      <c r="E199" s="200"/>
      <c r="F199" s="200"/>
      <c r="G199" s="200"/>
      <c r="H199" s="200"/>
      <c r="I199" s="377"/>
      <c r="J199" s="366"/>
      <c r="K199" s="374"/>
      <c r="L199" s="366"/>
      <c r="M199" s="375"/>
      <c r="N199" s="376"/>
      <c r="O199" s="376"/>
      <c r="P199" s="376"/>
      <c r="Q199" s="376"/>
      <c r="R199" s="376"/>
      <c r="S199" s="376"/>
      <c r="T199" s="376"/>
      <c r="U199" s="376"/>
      <c r="V199" s="376"/>
    </row>
    <row r="200" spans="1:22">
      <c r="A200" s="200"/>
      <c r="B200" s="200"/>
      <c r="C200" s="373"/>
      <c r="D200" s="200"/>
      <c r="E200" s="200"/>
      <c r="F200" s="200"/>
      <c r="G200" s="200"/>
      <c r="H200" s="200"/>
      <c r="I200" s="377"/>
      <c r="J200" s="366"/>
      <c r="K200" s="374"/>
      <c r="L200" s="366"/>
      <c r="M200" s="375"/>
      <c r="N200" s="376"/>
      <c r="O200" s="376"/>
      <c r="P200" s="376"/>
      <c r="Q200" s="376"/>
      <c r="R200" s="376"/>
      <c r="S200" s="376"/>
      <c r="T200" s="376"/>
      <c r="U200" s="376"/>
      <c r="V200" s="376"/>
    </row>
    <row r="201" spans="1:22">
      <c r="A201" s="200"/>
      <c r="B201" s="200"/>
      <c r="C201" s="373"/>
      <c r="D201" s="200"/>
      <c r="E201" s="200"/>
      <c r="F201" s="200"/>
      <c r="G201" s="200"/>
      <c r="H201" s="200"/>
      <c r="I201" s="377"/>
      <c r="J201" s="366"/>
      <c r="K201" s="374"/>
      <c r="L201" s="366"/>
      <c r="M201" s="375"/>
      <c r="N201" s="376"/>
      <c r="O201" s="376"/>
      <c r="P201" s="376"/>
      <c r="Q201" s="376"/>
      <c r="R201" s="376"/>
      <c r="S201" s="376"/>
      <c r="T201" s="376"/>
      <c r="U201" s="376"/>
      <c r="V201" s="376"/>
    </row>
    <row r="202" spans="1:22">
      <c r="A202" s="200"/>
      <c r="B202" s="200"/>
      <c r="C202" s="373"/>
      <c r="D202" s="200"/>
      <c r="E202" s="200"/>
      <c r="F202" s="200"/>
      <c r="G202" s="200"/>
      <c r="H202" s="200"/>
      <c r="I202" s="377"/>
      <c r="J202" s="366"/>
      <c r="K202" s="374"/>
      <c r="L202" s="366"/>
      <c r="M202" s="375"/>
      <c r="N202" s="376"/>
      <c r="O202" s="376"/>
      <c r="P202" s="376"/>
      <c r="Q202" s="376"/>
      <c r="R202" s="376"/>
      <c r="S202" s="376"/>
      <c r="T202" s="376"/>
      <c r="U202" s="376"/>
      <c r="V202" s="376"/>
    </row>
    <row r="203" spans="1:22">
      <c r="A203" s="200"/>
      <c r="B203" s="200"/>
      <c r="C203" s="373"/>
      <c r="D203" s="200"/>
      <c r="E203" s="200"/>
      <c r="F203" s="200"/>
      <c r="G203" s="200"/>
      <c r="H203" s="200"/>
      <c r="I203" s="377"/>
      <c r="J203" s="366"/>
      <c r="K203" s="374"/>
      <c r="L203" s="366"/>
      <c r="M203" s="375"/>
      <c r="N203" s="376"/>
      <c r="O203" s="376"/>
      <c r="P203" s="376"/>
      <c r="Q203" s="376"/>
      <c r="R203" s="376"/>
      <c r="S203" s="376"/>
      <c r="T203" s="376"/>
      <c r="U203" s="376"/>
      <c r="V203" s="376"/>
    </row>
    <row r="204" spans="1:22">
      <c r="A204" s="200"/>
      <c r="B204" s="200"/>
      <c r="C204" s="373"/>
      <c r="D204" s="200"/>
      <c r="E204" s="200"/>
      <c r="F204" s="200"/>
      <c r="G204" s="200"/>
      <c r="H204" s="200"/>
      <c r="I204" s="377"/>
      <c r="J204" s="366"/>
      <c r="K204" s="374"/>
      <c r="L204" s="366"/>
      <c r="M204" s="375"/>
      <c r="N204" s="376"/>
      <c r="O204" s="376"/>
      <c r="P204" s="376"/>
      <c r="Q204" s="376"/>
      <c r="R204" s="376"/>
      <c r="S204" s="376"/>
      <c r="T204" s="376"/>
      <c r="U204" s="376"/>
      <c r="V204" s="376"/>
    </row>
    <row r="205" spans="1:22">
      <c r="A205" s="200"/>
      <c r="B205" s="200"/>
      <c r="C205" s="373"/>
      <c r="D205" s="200"/>
      <c r="E205" s="200"/>
      <c r="F205" s="200"/>
      <c r="G205" s="200"/>
      <c r="H205" s="200"/>
      <c r="I205" s="377"/>
      <c r="J205" s="366"/>
      <c r="K205" s="374"/>
      <c r="L205" s="366"/>
      <c r="M205" s="375"/>
      <c r="N205" s="376"/>
      <c r="O205" s="376"/>
      <c r="P205" s="376"/>
      <c r="Q205" s="376"/>
      <c r="R205" s="376"/>
      <c r="S205" s="376"/>
      <c r="T205" s="376"/>
      <c r="U205" s="376"/>
      <c r="V205" s="376"/>
    </row>
    <row r="206" spans="1:22">
      <c r="A206" s="200"/>
      <c r="B206" s="200"/>
      <c r="C206" s="373"/>
      <c r="D206" s="200"/>
      <c r="E206" s="200"/>
      <c r="F206" s="200"/>
      <c r="G206" s="200"/>
      <c r="H206" s="200"/>
      <c r="I206" s="377"/>
      <c r="J206" s="366"/>
      <c r="K206" s="374"/>
      <c r="L206" s="366"/>
      <c r="M206" s="375"/>
      <c r="N206" s="376"/>
      <c r="O206" s="376"/>
      <c r="P206" s="376"/>
      <c r="Q206" s="376"/>
      <c r="R206" s="376"/>
      <c r="S206" s="376"/>
      <c r="T206" s="376"/>
      <c r="U206" s="376"/>
      <c r="V206" s="376"/>
    </row>
    <row r="207" spans="1:22">
      <c r="A207" s="200"/>
      <c r="B207" s="200"/>
      <c r="C207" s="373"/>
      <c r="D207" s="200"/>
      <c r="E207" s="200"/>
      <c r="F207" s="200"/>
      <c r="G207" s="200"/>
      <c r="H207" s="200"/>
      <c r="I207" s="377"/>
      <c r="J207" s="366"/>
      <c r="K207" s="374"/>
      <c r="L207" s="366"/>
      <c r="M207" s="375"/>
      <c r="N207" s="376"/>
      <c r="O207" s="376"/>
      <c r="P207" s="376"/>
      <c r="Q207" s="376"/>
      <c r="R207" s="376"/>
      <c r="S207" s="376"/>
      <c r="T207" s="376"/>
      <c r="U207" s="376"/>
      <c r="V207" s="376"/>
    </row>
    <row r="208" spans="1:22">
      <c r="A208" s="200"/>
      <c r="B208" s="200"/>
      <c r="C208" s="373"/>
      <c r="D208" s="200"/>
      <c r="E208" s="200"/>
      <c r="F208" s="200"/>
      <c r="G208" s="200"/>
      <c r="H208" s="200"/>
      <c r="I208" s="377"/>
      <c r="J208" s="366"/>
      <c r="K208" s="374"/>
      <c r="L208" s="366"/>
      <c r="M208" s="375"/>
      <c r="N208" s="376"/>
      <c r="O208" s="376"/>
      <c r="P208" s="376"/>
      <c r="Q208" s="376"/>
      <c r="R208" s="376"/>
      <c r="S208" s="376"/>
      <c r="T208" s="376"/>
      <c r="U208" s="376"/>
      <c r="V208" s="376"/>
    </row>
    <row r="209" spans="1:22">
      <c r="A209" s="200"/>
      <c r="B209" s="200"/>
      <c r="C209" s="373"/>
      <c r="D209" s="200"/>
      <c r="E209" s="200"/>
      <c r="F209" s="200"/>
      <c r="G209" s="200"/>
      <c r="H209" s="200"/>
      <c r="I209" s="377"/>
      <c r="J209" s="366"/>
      <c r="K209" s="374"/>
      <c r="L209" s="366"/>
      <c r="M209" s="375"/>
      <c r="N209" s="376"/>
      <c r="O209" s="376"/>
      <c r="P209" s="376"/>
      <c r="Q209" s="376"/>
      <c r="R209" s="376"/>
      <c r="S209" s="376"/>
      <c r="T209" s="376"/>
      <c r="U209" s="376"/>
      <c r="V209" s="376"/>
    </row>
    <row r="210" spans="1:22">
      <c r="A210" s="200"/>
      <c r="B210" s="200"/>
      <c r="C210" s="373"/>
      <c r="D210" s="200"/>
      <c r="E210" s="200"/>
      <c r="F210" s="200"/>
      <c r="G210" s="200"/>
      <c r="H210" s="200"/>
      <c r="I210" s="377"/>
      <c r="J210" s="366"/>
      <c r="K210" s="374"/>
      <c r="L210" s="366"/>
      <c r="M210" s="375"/>
      <c r="N210" s="376"/>
      <c r="O210" s="376"/>
      <c r="P210" s="376"/>
      <c r="Q210" s="376"/>
      <c r="R210" s="376"/>
      <c r="S210" s="376"/>
      <c r="T210" s="376"/>
      <c r="U210" s="376"/>
      <c r="V210" s="376"/>
    </row>
    <row r="211" spans="1:22">
      <c r="A211" s="200"/>
      <c r="B211" s="200"/>
      <c r="C211" s="373"/>
      <c r="D211" s="200"/>
      <c r="E211" s="200"/>
      <c r="F211" s="200"/>
      <c r="G211" s="200"/>
      <c r="H211" s="200"/>
      <c r="I211" s="377"/>
      <c r="J211" s="366"/>
      <c r="K211" s="374"/>
      <c r="L211" s="366"/>
      <c r="M211" s="375"/>
      <c r="N211" s="376"/>
      <c r="O211" s="376"/>
      <c r="P211" s="376"/>
      <c r="Q211" s="376"/>
      <c r="R211" s="376"/>
      <c r="S211" s="376"/>
      <c r="T211" s="376"/>
      <c r="U211" s="376"/>
      <c r="V211" s="376"/>
    </row>
    <row r="212" spans="1:22">
      <c r="A212" s="200"/>
      <c r="B212" s="200"/>
      <c r="C212" s="373"/>
      <c r="D212" s="200"/>
      <c r="E212" s="200"/>
      <c r="F212" s="200"/>
      <c r="G212" s="200"/>
      <c r="H212" s="200"/>
      <c r="I212" s="377"/>
      <c r="J212" s="366"/>
      <c r="K212" s="374"/>
      <c r="L212" s="366"/>
      <c r="M212" s="375"/>
      <c r="N212" s="376"/>
      <c r="O212" s="376"/>
      <c r="P212" s="376"/>
      <c r="Q212" s="376"/>
      <c r="R212" s="376"/>
      <c r="S212" s="376"/>
      <c r="T212" s="376"/>
      <c r="U212" s="376"/>
      <c r="V212" s="376"/>
    </row>
    <row r="213" spans="1:22">
      <c r="A213" s="200"/>
      <c r="B213" s="200"/>
      <c r="C213" s="373"/>
      <c r="D213" s="200"/>
      <c r="E213" s="200"/>
      <c r="F213" s="200"/>
      <c r="G213" s="200"/>
      <c r="H213" s="200"/>
      <c r="I213" s="377"/>
      <c r="J213" s="366"/>
      <c r="K213" s="374"/>
      <c r="L213" s="366"/>
      <c r="M213" s="375"/>
      <c r="N213" s="376"/>
      <c r="O213" s="376"/>
      <c r="P213" s="376"/>
      <c r="Q213" s="376"/>
      <c r="R213" s="376"/>
      <c r="S213" s="376"/>
      <c r="T213" s="376"/>
      <c r="U213" s="376"/>
      <c r="V213" s="376"/>
    </row>
    <row r="214" spans="1:22">
      <c r="A214" s="200"/>
      <c r="B214" s="200"/>
      <c r="C214" s="373"/>
      <c r="D214" s="200"/>
      <c r="E214" s="200"/>
      <c r="F214" s="200"/>
      <c r="G214" s="200"/>
      <c r="H214" s="200"/>
      <c r="I214" s="377"/>
      <c r="J214" s="366"/>
      <c r="K214" s="374"/>
      <c r="L214" s="366"/>
      <c r="M214" s="375"/>
      <c r="N214" s="376"/>
      <c r="O214" s="376"/>
      <c r="P214" s="376"/>
      <c r="Q214" s="376"/>
      <c r="R214" s="376"/>
      <c r="S214" s="376"/>
      <c r="T214" s="376"/>
      <c r="U214" s="376"/>
      <c r="V214" s="376"/>
    </row>
    <row r="215" spans="1:22">
      <c r="A215" s="200"/>
      <c r="B215" s="200"/>
      <c r="C215" s="373"/>
      <c r="D215" s="200"/>
      <c r="E215" s="200"/>
      <c r="F215" s="200"/>
      <c r="G215" s="200"/>
      <c r="H215" s="200"/>
      <c r="I215" s="377"/>
      <c r="J215" s="366"/>
      <c r="K215" s="374"/>
      <c r="L215" s="366"/>
      <c r="M215" s="375"/>
      <c r="N215" s="376"/>
      <c r="O215" s="376"/>
      <c r="P215" s="376"/>
      <c r="Q215" s="376"/>
      <c r="R215" s="376"/>
      <c r="S215" s="376"/>
      <c r="T215" s="376"/>
      <c r="U215" s="376"/>
      <c r="V215" s="376"/>
    </row>
    <row r="216" spans="1:22">
      <c r="A216" s="200"/>
      <c r="B216" s="200"/>
      <c r="C216" s="373"/>
      <c r="D216" s="200"/>
      <c r="E216" s="200"/>
      <c r="F216" s="200"/>
      <c r="G216" s="200"/>
      <c r="H216" s="200"/>
      <c r="I216" s="377"/>
      <c r="J216" s="366"/>
      <c r="K216" s="374"/>
      <c r="L216" s="366"/>
      <c r="M216" s="375"/>
      <c r="N216" s="376"/>
      <c r="O216" s="376"/>
      <c r="P216" s="376"/>
      <c r="Q216" s="376"/>
      <c r="R216" s="376"/>
      <c r="S216" s="376"/>
      <c r="T216" s="376"/>
      <c r="U216" s="376"/>
      <c r="V216" s="376"/>
    </row>
    <row r="217" spans="1:22">
      <c r="A217" s="200"/>
      <c r="B217" s="200"/>
      <c r="C217" s="373"/>
      <c r="D217" s="200"/>
      <c r="E217" s="200"/>
      <c r="F217" s="200"/>
      <c r="G217" s="200"/>
      <c r="H217" s="200"/>
      <c r="I217" s="377"/>
      <c r="J217" s="366"/>
      <c r="K217" s="374"/>
      <c r="L217" s="366"/>
      <c r="M217" s="375"/>
      <c r="N217" s="376"/>
      <c r="O217" s="376"/>
      <c r="P217" s="376"/>
      <c r="Q217" s="376"/>
      <c r="R217" s="376"/>
      <c r="S217" s="376"/>
      <c r="T217" s="376"/>
      <c r="U217" s="376"/>
      <c r="V217" s="376"/>
    </row>
    <row r="218" spans="1:22">
      <c r="A218" s="200"/>
      <c r="B218" s="200"/>
      <c r="C218" s="373"/>
      <c r="D218" s="200"/>
      <c r="E218" s="200"/>
      <c r="F218" s="200"/>
      <c r="G218" s="200"/>
      <c r="H218" s="200"/>
      <c r="I218" s="377"/>
      <c r="J218" s="366"/>
      <c r="K218" s="374"/>
      <c r="L218" s="366"/>
      <c r="M218" s="375"/>
      <c r="N218" s="376"/>
      <c r="O218" s="376"/>
      <c r="P218" s="376"/>
      <c r="Q218" s="376"/>
      <c r="R218" s="376"/>
      <c r="S218" s="376"/>
      <c r="T218" s="376"/>
      <c r="U218" s="376"/>
      <c r="V218" s="376"/>
    </row>
    <row r="219" spans="1:22">
      <c r="A219" s="200"/>
      <c r="B219" s="200"/>
      <c r="C219" s="373"/>
      <c r="D219" s="200"/>
      <c r="E219" s="200"/>
      <c r="F219" s="200"/>
      <c r="G219" s="200"/>
      <c r="H219" s="200"/>
      <c r="I219" s="377"/>
      <c r="J219" s="366"/>
      <c r="K219" s="374"/>
      <c r="L219" s="366"/>
      <c r="M219" s="375"/>
      <c r="N219" s="376"/>
      <c r="O219" s="376"/>
      <c r="P219" s="376"/>
      <c r="Q219" s="376"/>
      <c r="R219" s="376"/>
      <c r="S219" s="376"/>
      <c r="T219" s="376"/>
      <c r="U219" s="376"/>
      <c r="V219" s="376"/>
    </row>
    <row r="220" spans="1:22">
      <c r="A220" s="200"/>
      <c r="B220" s="200"/>
      <c r="C220" s="373"/>
      <c r="D220" s="200"/>
      <c r="E220" s="200"/>
      <c r="F220" s="200"/>
      <c r="G220" s="200"/>
      <c r="H220" s="200"/>
      <c r="I220" s="377"/>
      <c r="J220" s="366"/>
      <c r="K220" s="374"/>
      <c r="L220" s="366"/>
      <c r="M220" s="375"/>
      <c r="N220" s="376"/>
      <c r="O220" s="376"/>
      <c r="P220" s="376"/>
      <c r="Q220" s="376"/>
      <c r="R220" s="376"/>
      <c r="S220" s="376"/>
      <c r="T220" s="376"/>
      <c r="U220" s="376"/>
      <c r="V220" s="376"/>
    </row>
    <row r="221" spans="1:22">
      <c r="A221" s="200"/>
      <c r="B221" s="200"/>
      <c r="C221" s="373"/>
      <c r="D221" s="200"/>
      <c r="E221" s="200"/>
      <c r="F221" s="200"/>
      <c r="G221" s="200"/>
      <c r="H221" s="200"/>
      <c r="I221" s="377"/>
      <c r="J221" s="366"/>
      <c r="K221" s="374"/>
      <c r="L221" s="366"/>
      <c r="M221" s="375"/>
      <c r="N221" s="376"/>
      <c r="O221" s="376"/>
      <c r="P221" s="376"/>
      <c r="Q221" s="376"/>
      <c r="R221" s="376"/>
      <c r="S221" s="376"/>
      <c r="T221" s="376"/>
      <c r="U221" s="376"/>
      <c r="V221" s="376"/>
    </row>
    <row r="222" spans="1:22">
      <c r="A222" s="200"/>
      <c r="B222" s="200"/>
      <c r="C222" s="373"/>
      <c r="D222" s="200"/>
      <c r="E222" s="200"/>
      <c r="F222" s="200"/>
      <c r="G222" s="200"/>
      <c r="H222" s="200"/>
      <c r="I222" s="377"/>
      <c r="J222" s="366"/>
      <c r="K222" s="374"/>
      <c r="L222" s="366"/>
      <c r="M222" s="375"/>
      <c r="N222" s="376"/>
      <c r="O222" s="376"/>
      <c r="P222" s="376"/>
      <c r="Q222" s="376"/>
      <c r="R222" s="376"/>
      <c r="S222" s="376"/>
      <c r="T222" s="376"/>
      <c r="U222" s="376"/>
      <c r="V222" s="376"/>
    </row>
    <row r="223" spans="1:22">
      <c r="A223" s="200"/>
      <c r="B223" s="200"/>
      <c r="C223" s="373"/>
      <c r="D223" s="200"/>
      <c r="E223" s="200"/>
      <c r="F223" s="200"/>
      <c r="G223" s="200"/>
      <c r="H223" s="200"/>
      <c r="I223" s="377"/>
      <c r="J223" s="366"/>
      <c r="K223" s="374"/>
      <c r="L223" s="366"/>
      <c r="M223" s="375"/>
      <c r="N223" s="376"/>
      <c r="O223" s="376"/>
      <c r="P223" s="376"/>
      <c r="Q223" s="376"/>
      <c r="R223" s="376"/>
      <c r="S223" s="376"/>
      <c r="T223" s="376"/>
      <c r="U223" s="376"/>
      <c r="V223" s="376"/>
    </row>
    <row r="224" spans="1:22">
      <c r="A224" s="200"/>
      <c r="B224" s="200"/>
      <c r="C224" s="373"/>
      <c r="D224" s="200"/>
      <c r="E224" s="200"/>
      <c r="F224" s="200"/>
      <c r="G224" s="200"/>
      <c r="H224" s="200"/>
      <c r="I224" s="377"/>
      <c r="J224" s="366"/>
      <c r="K224" s="374"/>
      <c r="L224" s="366"/>
      <c r="M224" s="375"/>
      <c r="N224" s="376"/>
      <c r="O224" s="376"/>
      <c r="P224" s="376"/>
      <c r="Q224" s="376"/>
      <c r="R224" s="376"/>
      <c r="S224" s="376"/>
      <c r="T224" s="376"/>
      <c r="U224" s="376"/>
      <c r="V224" s="376"/>
    </row>
    <row r="225" spans="1:22">
      <c r="A225" s="200"/>
      <c r="B225" s="200"/>
      <c r="C225" s="373"/>
      <c r="D225" s="200"/>
      <c r="E225" s="200"/>
      <c r="F225" s="200"/>
      <c r="G225" s="200"/>
      <c r="H225" s="200"/>
      <c r="I225" s="377"/>
      <c r="J225" s="366"/>
      <c r="K225" s="374"/>
      <c r="L225" s="366"/>
      <c r="M225" s="375"/>
      <c r="N225" s="376"/>
      <c r="O225" s="376"/>
      <c r="P225" s="376"/>
      <c r="Q225" s="376"/>
      <c r="R225" s="376"/>
      <c r="S225" s="376"/>
      <c r="T225" s="376"/>
      <c r="U225" s="376"/>
      <c r="V225" s="376"/>
    </row>
    <row r="226" spans="1:22">
      <c r="A226" s="200"/>
      <c r="B226" s="200"/>
      <c r="C226" s="373"/>
      <c r="D226" s="200"/>
      <c r="E226" s="200"/>
      <c r="F226" s="200"/>
      <c r="G226" s="200"/>
      <c r="H226" s="200"/>
      <c r="I226" s="377"/>
      <c r="J226" s="366"/>
      <c r="K226" s="374"/>
      <c r="L226" s="366"/>
      <c r="M226" s="375"/>
      <c r="N226" s="376"/>
      <c r="O226" s="376"/>
      <c r="P226" s="376"/>
      <c r="Q226" s="376"/>
      <c r="R226" s="376"/>
      <c r="S226" s="376"/>
      <c r="T226" s="376"/>
      <c r="U226" s="376"/>
      <c r="V226" s="376"/>
    </row>
    <row r="227" spans="1:22">
      <c r="A227" s="200"/>
      <c r="B227" s="200"/>
      <c r="C227" s="373"/>
      <c r="D227" s="200"/>
      <c r="E227" s="200"/>
      <c r="F227" s="200"/>
      <c r="G227" s="200"/>
      <c r="H227" s="200"/>
      <c r="I227" s="377"/>
      <c r="J227" s="366"/>
      <c r="K227" s="374"/>
      <c r="L227" s="366"/>
      <c r="M227" s="375"/>
      <c r="N227" s="376"/>
      <c r="O227" s="376"/>
      <c r="P227" s="376"/>
      <c r="Q227" s="376"/>
      <c r="R227" s="376"/>
      <c r="S227" s="376"/>
      <c r="T227" s="376"/>
      <c r="U227" s="376"/>
      <c r="V227" s="376"/>
    </row>
    <row r="228" spans="1:22">
      <c r="A228" s="200"/>
      <c r="B228" s="200"/>
      <c r="C228" s="373"/>
      <c r="D228" s="200"/>
      <c r="E228" s="200"/>
      <c r="F228" s="200"/>
      <c r="G228" s="200"/>
      <c r="H228" s="200"/>
      <c r="I228" s="377"/>
      <c r="J228" s="366"/>
      <c r="K228" s="374"/>
      <c r="L228" s="366"/>
      <c r="M228" s="375"/>
      <c r="N228" s="376"/>
      <c r="O228" s="376"/>
      <c r="P228" s="376"/>
      <c r="Q228" s="376"/>
      <c r="R228" s="376"/>
      <c r="S228" s="376"/>
      <c r="T228" s="376"/>
      <c r="U228" s="376"/>
      <c r="V228" s="376"/>
    </row>
    <row r="229" spans="1:22">
      <c r="A229" s="200"/>
      <c r="B229" s="200"/>
      <c r="C229" s="373"/>
      <c r="D229" s="200"/>
      <c r="E229" s="200"/>
      <c r="F229" s="200"/>
      <c r="G229" s="200"/>
      <c r="H229" s="200"/>
      <c r="I229" s="377"/>
      <c r="J229" s="366"/>
      <c r="K229" s="374"/>
      <c r="L229" s="366"/>
      <c r="M229" s="375"/>
      <c r="N229" s="376"/>
      <c r="O229" s="376"/>
      <c r="P229" s="376"/>
      <c r="Q229" s="376"/>
      <c r="R229" s="376"/>
      <c r="S229" s="376"/>
      <c r="T229" s="376"/>
      <c r="U229" s="376"/>
      <c r="V229" s="376"/>
    </row>
    <row r="230" spans="1:22">
      <c r="A230" s="200"/>
      <c r="B230" s="200"/>
      <c r="C230" s="373"/>
      <c r="D230" s="200"/>
      <c r="E230" s="200"/>
      <c r="F230" s="200"/>
      <c r="G230" s="200"/>
      <c r="H230" s="200"/>
      <c r="I230" s="377"/>
      <c r="J230" s="366"/>
      <c r="K230" s="374"/>
      <c r="L230" s="366"/>
      <c r="M230" s="375"/>
      <c r="N230" s="376"/>
      <c r="O230" s="376"/>
      <c r="P230" s="376"/>
      <c r="Q230" s="376"/>
      <c r="R230" s="376"/>
      <c r="S230" s="376"/>
      <c r="T230" s="376"/>
      <c r="U230" s="376"/>
      <c r="V230" s="376"/>
    </row>
    <row r="231" spans="1:22">
      <c r="A231" s="200"/>
      <c r="B231" s="200"/>
      <c r="C231" s="373"/>
      <c r="D231" s="200"/>
      <c r="E231" s="200"/>
      <c r="F231" s="200"/>
      <c r="G231" s="200"/>
      <c r="H231" s="200"/>
      <c r="I231" s="377"/>
      <c r="J231" s="366"/>
      <c r="K231" s="374"/>
      <c r="L231" s="366"/>
      <c r="M231" s="375"/>
      <c r="N231" s="376"/>
      <c r="O231" s="376"/>
      <c r="P231" s="376"/>
      <c r="Q231" s="376"/>
      <c r="R231" s="376"/>
      <c r="S231" s="376"/>
      <c r="T231" s="376"/>
      <c r="U231" s="376"/>
      <c r="V231" s="376"/>
    </row>
    <row r="232" spans="1:22">
      <c r="A232" s="200"/>
      <c r="B232" s="200"/>
      <c r="C232" s="373"/>
      <c r="D232" s="200"/>
      <c r="E232" s="200"/>
      <c r="F232" s="200"/>
      <c r="G232" s="200"/>
      <c r="H232" s="200"/>
      <c r="I232" s="377"/>
      <c r="J232" s="366"/>
      <c r="K232" s="374"/>
      <c r="L232" s="366"/>
      <c r="M232" s="375"/>
      <c r="N232" s="376"/>
      <c r="O232" s="376"/>
      <c r="P232" s="376"/>
      <c r="Q232" s="376"/>
      <c r="R232" s="376"/>
      <c r="S232" s="376"/>
      <c r="T232" s="376"/>
      <c r="U232" s="376"/>
      <c r="V232" s="376"/>
    </row>
    <row r="233" spans="1:22">
      <c r="A233" s="200"/>
      <c r="B233" s="200"/>
      <c r="C233" s="373"/>
      <c r="D233" s="200"/>
      <c r="E233" s="200"/>
      <c r="F233" s="200"/>
      <c r="G233" s="200"/>
      <c r="H233" s="200"/>
      <c r="I233" s="377"/>
      <c r="J233" s="366"/>
      <c r="K233" s="374"/>
      <c r="L233" s="366"/>
      <c r="M233" s="375"/>
      <c r="N233" s="376"/>
      <c r="O233" s="376"/>
      <c r="P233" s="376"/>
      <c r="Q233" s="376"/>
      <c r="R233" s="376"/>
      <c r="S233" s="376"/>
      <c r="T233" s="376"/>
      <c r="U233" s="376"/>
      <c r="V233" s="376"/>
    </row>
    <row r="234" spans="1:22">
      <c r="A234" s="200"/>
      <c r="B234" s="200"/>
      <c r="C234" s="373"/>
      <c r="D234" s="200"/>
      <c r="E234" s="200"/>
      <c r="F234" s="200"/>
      <c r="G234" s="200"/>
      <c r="H234" s="200"/>
      <c r="I234" s="377"/>
      <c r="J234" s="366"/>
      <c r="K234" s="374"/>
      <c r="L234" s="366"/>
      <c r="M234" s="375"/>
      <c r="N234" s="376"/>
      <c r="O234" s="376"/>
      <c r="P234" s="376"/>
      <c r="Q234" s="376"/>
      <c r="R234" s="376"/>
      <c r="S234" s="376"/>
      <c r="T234" s="376"/>
      <c r="U234" s="376"/>
      <c r="V234" s="376"/>
    </row>
    <row r="235" spans="1:22">
      <c r="A235" s="200"/>
      <c r="B235" s="200"/>
      <c r="C235" s="373"/>
      <c r="D235" s="200"/>
      <c r="E235" s="200"/>
      <c r="F235" s="200"/>
      <c r="G235" s="200"/>
      <c r="H235" s="200"/>
      <c r="I235" s="377"/>
      <c r="J235" s="366"/>
      <c r="K235" s="374"/>
      <c r="L235" s="366"/>
      <c r="M235" s="375"/>
      <c r="N235" s="376"/>
      <c r="O235" s="376"/>
      <c r="P235" s="376"/>
      <c r="Q235" s="376"/>
      <c r="R235" s="376"/>
      <c r="S235" s="376"/>
      <c r="T235" s="376"/>
      <c r="U235" s="376"/>
      <c r="V235" s="376"/>
    </row>
    <row r="236" spans="1:22">
      <c r="A236" s="200"/>
      <c r="B236" s="200"/>
      <c r="C236" s="373"/>
      <c r="D236" s="200"/>
      <c r="E236" s="200"/>
      <c r="F236" s="200"/>
      <c r="G236" s="200"/>
      <c r="H236" s="200"/>
      <c r="I236" s="377"/>
      <c r="J236" s="366"/>
      <c r="K236" s="374"/>
      <c r="L236" s="366"/>
      <c r="M236" s="375"/>
      <c r="N236" s="376"/>
      <c r="O236" s="376"/>
      <c r="P236" s="376"/>
      <c r="Q236" s="376"/>
      <c r="R236" s="376"/>
      <c r="S236" s="376"/>
      <c r="T236" s="376"/>
      <c r="U236" s="376"/>
      <c r="V236" s="376"/>
    </row>
    <row r="237" spans="1:22">
      <c r="A237" s="200"/>
      <c r="B237" s="200"/>
      <c r="C237" s="373"/>
      <c r="D237" s="200"/>
      <c r="E237" s="200"/>
      <c r="F237" s="200"/>
      <c r="G237" s="200"/>
      <c r="H237" s="200"/>
      <c r="I237" s="377"/>
      <c r="J237" s="366"/>
      <c r="K237" s="374"/>
      <c r="L237" s="366"/>
      <c r="M237" s="375"/>
      <c r="N237" s="376"/>
      <c r="O237" s="376"/>
      <c r="P237" s="376"/>
      <c r="Q237" s="376"/>
      <c r="R237" s="376"/>
      <c r="S237" s="376"/>
      <c r="T237" s="376"/>
      <c r="U237" s="376"/>
      <c r="V237" s="376"/>
    </row>
    <row r="238" spans="1:22">
      <c r="A238" s="200"/>
      <c r="B238" s="200"/>
      <c r="C238" s="373"/>
      <c r="D238" s="200"/>
      <c r="E238" s="200"/>
      <c r="F238" s="200"/>
      <c r="G238" s="200"/>
      <c r="H238" s="200"/>
      <c r="I238" s="377"/>
      <c r="J238" s="366"/>
      <c r="K238" s="374"/>
      <c r="L238" s="366"/>
      <c r="M238" s="375"/>
      <c r="N238" s="376"/>
      <c r="O238" s="376"/>
      <c r="P238" s="376"/>
      <c r="Q238" s="376"/>
      <c r="R238" s="376"/>
      <c r="S238" s="376"/>
      <c r="T238" s="376"/>
      <c r="U238" s="376"/>
      <c r="V238" s="376"/>
    </row>
    <row r="239" spans="1:22">
      <c r="A239" s="200"/>
      <c r="B239" s="200"/>
      <c r="C239" s="373"/>
      <c r="D239" s="200"/>
      <c r="E239" s="200"/>
      <c r="F239" s="200"/>
      <c r="G239" s="200"/>
      <c r="H239" s="200"/>
      <c r="I239" s="377"/>
      <c r="J239" s="366"/>
      <c r="K239" s="374"/>
      <c r="L239" s="366"/>
      <c r="M239" s="375"/>
      <c r="N239" s="376"/>
      <c r="O239" s="376"/>
      <c r="P239" s="376"/>
      <c r="Q239" s="376"/>
      <c r="R239" s="376"/>
      <c r="S239" s="376"/>
      <c r="T239" s="376"/>
      <c r="U239" s="376"/>
      <c r="V239" s="376"/>
    </row>
    <row r="240" spans="1:22">
      <c r="A240" s="200"/>
      <c r="B240" s="200"/>
      <c r="C240" s="373"/>
      <c r="D240" s="200"/>
      <c r="E240" s="200"/>
      <c r="F240" s="200"/>
      <c r="G240" s="200"/>
      <c r="H240" s="200"/>
      <c r="I240" s="377"/>
      <c r="J240" s="366"/>
      <c r="K240" s="374"/>
      <c r="L240" s="366"/>
      <c r="M240" s="375"/>
      <c r="N240" s="376"/>
      <c r="O240" s="376"/>
      <c r="P240" s="376"/>
      <c r="Q240" s="376"/>
      <c r="R240" s="376"/>
      <c r="S240" s="376"/>
      <c r="T240" s="376"/>
      <c r="U240" s="376"/>
      <c r="V240" s="376"/>
    </row>
    <row r="241" spans="1:22">
      <c r="A241" s="200"/>
      <c r="B241" s="200"/>
      <c r="C241" s="373"/>
      <c r="D241" s="200"/>
      <c r="E241" s="200"/>
      <c r="F241" s="200"/>
      <c r="G241" s="200"/>
      <c r="H241" s="200"/>
      <c r="I241" s="377"/>
      <c r="J241" s="366"/>
      <c r="K241" s="374"/>
      <c r="L241" s="366"/>
      <c r="M241" s="375"/>
      <c r="N241" s="376"/>
      <c r="O241" s="376"/>
      <c r="P241" s="376"/>
      <c r="Q241" s="376"/>
      <c r="R241" s="376"/>
      <c r="S241" s="376"/>
      <c r="T241" s="376"/>
      <c r="U241" s="376"/>
      <c r="V241" s="376"/>
    </row>
    <row r="242" spans="1:22">
      <c r="A242" s="200"/>
      <c r="B242" s="200"/>
      <c r="C242" s="373"/>
      <c r="D242" s="200"/>
      <c r="E242" s="200"/>
      <c r="F242" s="200"/>
      <c r="G242" s="200"/>
      <c r="H242" s="200"/>
      <c r="I242" s="377"/>
      <c r="J242" s="366"/>
      <c r="K242" s="374"/>
      <c r="L242" s="366"/>
      <c r="M242" s="375"/>
      <c r="N242" s="376"/>
      <c r="O242" s="376"/>
      <c r="P242" s="376"/>
      <c r="Q242" s="376"/>
      <c r="R242" s="376"/>
      <c r="S242" s="376"/>
      <c r="T242" s="376"/>
      <c r="U242" s="376"/>
      <c r="V242" s="376"/>
    </row>
    <row r="243" spans="1:22">
      <c r="A243" s="200"/>
      <c r="B243" s="200"/>
      <c r="C243" s="373"/>
      <c r="D243" s="200"/>
      <c r="E243" s="200"/>
      <c r="F243" s="200"/>
      <c r="G243" s="200"/>
      <c r="H243" s="200"/>
      <c r="I243" s="377"/>
      <c r="J243" s="366"/>
      <c r="K243" s="374"/>
      <c r="L243" s="366"/>
      <c r="M243" s="375"/>
      <c r="N243" s="376"/>
      <c r="O243" s="376"/>
      <c r="P243" s="376"/>
      <c r="Q243" s="376"/>
      <c r="R243" s="376"/>
      <c r="S243" s="376"/>
      <c r="T243" s="376"/>
      <c r="U243" s="376"/>
      <c r="V243" s="376"/>
    </row>
    <row r="244" spans="1:22">
      <c r="A244" s="200"/>
      <c r="B244" s="200"/>
      <c r="C244" s="373"/>
      <c r="D244" s="200"/>
      <c r="E244" s="200"/>
      <c r="F244" s="200"/>
      <c r="G244" s="200"/>
      <c r="H244" s="200"/>
      <c r="I244" s="377"/>
      <c r="J244" s="366"/>
      <c r="K244" s="374"/>
      <c r="L244" s="366"/>
      <c r="M244" s="375"/>
      <c r="N244" s="376"/>
      <c r="O244" s="376"/>
      <c r="P244" s="376"/>
      <c r="Q244" s="376"/>
      <c r="R244" s="376"/>
      <c r="S244" s="376"/>
      <c r="T244" s="376"/>
      <c r="U244" s="376"/>
      <c r="V244" s="376"/>
    </row>
    <row r="245" spans="1:22">
      <c r="A245" s="200"/>
      <c r="B245" s="200"/>
      <c r="C245" s="373"/>
      <c r="D245" s="200"/>
      <c r="E245" s="200"/>
      <c r="F245" s="200"/>
      <c r="G245" s="200"/>
      <c r="H245" s="200"/>
      <c r="I245" s="377"/>
      <c r="J245" s="366"/>
      <c r="K245" s="374"/>
      <c r="L245" s="366"/>
      <c r="M245" s="375"/>
      <c r="N245" s="376"/>
      <c r="O245" s="376"/>
      <c r="P245" s="376"/>
      <c r="Q245" s="376"/>
      <c r="R245" s="376"/>
      <c r="S245" s="376"/>
      <c r="T245" s="376"/>
      <c r="U245" s="376"/>
      <c r="V245" s="376"/>
    </row>
    <row r="246" spans="1:22">
      <c r="A246" s="200"/>
      <c r="B246" s="200"/>
      <c r="C246" s="373"/>
      <c r="D246" s="200"/>
      <c r="E246" s="200"/>
      <c r="F246" s="200"/>
      <c r="G246" s="200"/>
      <c r="H246" s="200"/>
      <c r="I246" s="377"/>
      <c r="J246" s="366"/>
      <c r="K246" s="374"/>
      <c r="L246" s="366"/>
      <c r="M246" s="375"/>
      <c r="N246" s="376"/>
      <c r="O246" s="376"/>
      <c r="P246" s="376"/>
      <c r="Q246" s="376"/>
      <c r="R246" s="376"/>
      <c r="S246" s="376"/>
      <c r="T246" s="376"/>
      <c r="U246" s="376"/>
      <c r="V246" s="376"/>
    </row>
    <row r="247" spans="1:22">
      <c r="A247" s="200"/>
      <c r="B247" s="200"/>
      <c r="C247" s="373"/>
      <c r="D247" s="200"/>
      <c r="E247" s="200"/>
      <c r="F247" s="200"/>
      <c r="G247" s="200"/>
      <c r="H247" s="200"/>
      <c r="I247" s="377"/>
      <c r="J247" s="366"/>
      <c r="K247" s="374"/>
      <c r="L247" s="366"/>
      <c r="M247" s="375"/>
      <c r="N247" s="376"/>
      <c r="O247" s="376"/>
      <c r="P247" s="376"/>
      <c r="Q247" s="376"/>
      <c r="R247" s="376"/>
      <c r="S247" s="376"/>
      <c r="T247" s="376"/>
      <c r="U247" s="376"/>
      <c r="V247" s="376"/>
    </row>
    <row r="248" spans="1:22">
      <c r="A248" s="200"/>
      <c r="B248" s="200"/>
      <c r="C248" s="373"/>
      <c r="D248" s="200"/>
      <c r="E248" s="200"/>
      <c r="F248" s="200"/>
      <c r="G248" s="200"/>
      <c r="H248" s="200"/>
      <c r="I248" s="377"/>
      <c r="J248" s="366"/>
      <c r="K248" s="374"/>
      <c r="L248" s="366"/>
      <c r="M248" s="375"/>
      <c r="N248" s="376"/>
      <c r="O248" s="376"/>
      <c r="P248" s="376"/>
      <c r="Q248" s="376"/>
      <c r="R248" s="376"/>
      <c r="S248" s="376"/>
      <c r="T248" s="376"/>
      <c r="U248" s="376"/>
      <c r="V248" s="376"/>
    </row>
    <row r="249" spans="1:22">
      <c r="A249" s="200"/>
      <c r="B249" s="200"/>
      <c r="C249" s="373"/>
      <c r="D249" s="200"/>
      <c r="E249" s="200"/>
      <c r="F249" s="200"/>
      <c r="G249" s="200"/>
      <c r="H249" s="200"/>
      <c r="I249" s="377"/>
      <c r="J249" s="366"/>
      <c r="K249" s="374"/>
      <c r="L249" s="366"/>
      <c r="M249" s="375"/>
      <c r="N249" s="376"/>
      <c r="O249" s="376"/>
      <c r="P249" s="376"/>
      <c r="Q249" s="376"/>
      <c r="R249" s="376"/>
      <c r="S249" s="376"/>
      <c r="T249" s="376"/>
      <c r="U249" s="376"/>
      <c r="V249" s="376"/>
    </row>
    <row r="250" spans="1:22">
      <c r="A250" s="200"/>
      <c r="B250" s="200"/>
      <c r="C250" s="373"/>
      <c r="D250" s="200"/>
      <c r="E250" s="200"/>
      <c r="F250" s="200"/>
      <c r="G250" s="200"/>
      <c r="H250" s="200"/>
      <c r="I250" s="377"/>
      <c r="J250" s="366"/>
      <c r="K250" s="374"/>
      <c r="L250" s="366"/>
      <c r="M250" s="375"/>
      <c r="N250" s="376"/>
      <c r="O250" s="376"/>
      <c r="P250" s="376"/>
      <c r="Q250" s="376"/>
      <c r="R250" s="376"/>
      <c r="S250" s="376"/>
      <c r="T250" s="376"/>
      <c r="U250" s="376"/>
      <c r="V250" s="376"/>
    </row>
    <row r="251" spans="1:22">
      <c r="A251" s="200"/>
      <c r="B251" s="200"/>
      <c r="C251" s="373"/>
      <c r="D251" s="200"/>
      <c r="E251" s="200"/>
      <c r="F251" s="200"/>
      <c r="G251" s="200"/>
      <c r="H251" s="200"/>
      <c r="I251" s="377"/>
      <c r="J251" s="366"/>
      <c r="K251" s="374"/>
      <c r="L251" s="366"/>
      <c r="M251" s="375"/>
      <c r="N251" s="376"/>
      <c r="O251" s="376"/>
      <c r="P251" s="376"/>
      <c r="Q251" s="376"/>
      <c r="R251" s="376"/>
      <c r="S251" s="376"/>
      <c r="T251" s="376"/>
      <c r="U251" s="376"/>
      <c r="V251" s="376"/>
    </row>
    <row r="252" spans="1:22">
      <c r="A252" s="200"/>
      <c r="B252" s="200"/>
      <c r="C252" s="373"/>
      <c r="D252" s="200"/>
      <c r="E252" s="200"/>
      <c r="F252" s="200"/>
      <c r="G252" s="200"/>
      <c r="H252" s="200"/>
      <c r="I252" s="377"/>
      <c r="J252" s="366"/>
      <c r="K252" s="374"/>
      <c r="L252" s="366"/>
      <c r="M252" s="375"/>
      <c r="N252" s="376"/>
      <c r="O252" s="376"/>
      <c r="P252" s="376"/>
      <c r="Q252" s="376"/>
      <c r="R252" s="376"/>
      <c r="S252" s="376"/>
      <c r="T252" s="376"/>
      <c r="U252" s="376"/>
      <c r="V252" s="376"/>
    </row>
    <row r="253" spans="1:22">
      <c r="A253" s="200"/>
      <c r="B253" s="200"/>
      <c r="C253" s="373"/>
      <c r="D253" s="200"/>
      <c r="E253" s="200"/>
      <c r="F253" s="200"/>
      <c r="G253" s="200"/>
      <c r="H253" s="200"/>
      <c r="I253" s="377"/>
      <c r="J253" s="366"/>
      <c r="K253" s="374"/>
      <c r="L253" s="366"/>
      <c r="M253" s="375"/>
      <c r="N253" s="376"/>
      <c r="O253" s="376"/>
      <c r="P253" s="376"/>
      <c r="Q253" s="376"/>
      <c r="R253" s="376"/>
      <c r="S253" s="376"/>
      <c r="T253" s="376"/>
      <c r="U253" s="376"/>
      <c r="V253" s="376"/>
    </row>
    <row r="254" spans="1:22">
      <c r="A254" s="200"/>
      <c r="B254" s="200"/>
      <c r="C254" s="373"/>
      <c r="D254" s="200"/>
      <c r="E254" s="200"/>
      <c r="F254" s="200"/>
      <c r="G254" s="200"/>
      <c r="H254" s="200"/>
      <c r="I254" s="377"/>
      <c r="J254" s="366"/>
      <c r="K254" s="374"/>
      <c r="L254" s="366"/>
      <c r="M254" s="375"/>
      <c r="N254" s="376"/>
      <c r="O254" s="376"/>
      <c r="P254" s="376"/>
      <c r="Q254" s="376"/>
      <c r="R254" s="376"/>
      <c r="S254" s="376"/>
      <c r="T254" s="376"/>
      <c r="U254" s="376"/>
      <c r="V254" s="376"/>
    </row>
    <row r="255" spans="1:22">
      <c r="A255" s="200"/>
      <c r="B255" s="200"/>
      <c r="C255" s="373"/>
      <c r="D255" s="200"/>
      <c r="E255" s="200"/>
      <c r="F255" s="200"/>
      <c r="G255" s="200"/>
      <c r="H255" s="200"/>
      <c r="I255" s="377"/>
      <c r="J255" s="366"/>
      <c r="K255" s="374"/>
      <c r="L255" s="366"/>
      <c r="M255" s="375"/>
      <c r="N255" s="376"/>
      <c r="O255" s="376"/>
      <c r="P255" s="376"/>
      <c r="Q255" s="376"/>
      <c r="R255" s="376"/>
      <c r="S255" s="376"/>
      <c r="T255" s="376"/>
      <c r="U255" s="376"/>
      <c r="V255" s="376"/>
    </row>
    <row r="256" spans="1:22">
      <c r="A256" s="200"/>
      <c r="B256" s="200"/>
      <c r="C256" s="373"/>
      <c r="D256" s="200"/>
      <c r="E256" s="200"/>
      <c r="F256" s="200"/>
      <c r="G256" s="200"/>
      <c r="H256" s="200"/>
      <c r="I256" s="377"/>
      <c r="J256" s="366"/>
      <c r="K256" s="374"/>
      <c r="L256" s="366"/>
      <c r="M256" s="375"/>
      <c r="N256" s="376"/>
      <c r="O256" s="376"/>
      <c r="P256" s="376"/>
      <c r="Q256" s="376"/>
      <c r="R256" s="376"/>
      <c r="S256" s="376"/>
      <c r="T256" s="376"/>
      <c r="U256" s="376"/>
      <c r="V256" s="376"/>
    </row>
    <row r="257" spans="1:22">
      <c r="A257" s="200"/>
      <c r="B257" s="200"/>
      <c r="C257" s="373"/>
      <c r="D257" s="200"/>
      <c r="E257" s="200"/>
      <c r="F257" s="200"/>
      <c r="G257" s="200"/>
      <c r="H257" s="200"/>
      <c r="I257" s="377"/>
      <c r="J257" s="366"/>
      <c r="K257" s="374"/>
      <c r="L257" s="366"/>
      <c r="M257" s="375"/>
      <c r="N257" s="376"/>
      <c r="O257" s="376"/>
      <c r="P257" s="376"/>
      <c r="Q257" s="376"/>
      <c r="R257" s="376"/>
      <c r="S257" s="376"/>
      <c r="T257" s="376"/>
      <c r="U257" s="376"/>
      <c r="V257" s="376"/>
    </row>
    <row r="258" spans="1:22">
      <c r="A258" s="200"/>
      <c r="B258" s="200"/>
      <c r="C258" s="373"/>
      <c r="D258" s="200"/>
      <c r="E258" s="200"/>
      <c r="F258" s="200"/>
      <c r="G258" s="200"/>
      <c r="H258" s="200"/>
      <c r="I258" s="377"/>
      <c r="J258" s="366"/>
      <c r="K258" s="374"/>
      <c r="L258" s="366"/>
      <c r="M258" s="375"/>
      <c r="N258" s="376"/>
      <c r="O258" s="376"/>
      <c r="P258" s="376"/>
      <c r="Q258" s="376"/>
      <c r="R258" s="376"/>
      <c r="S258" s="376"/>
      <c r="T258" s="376"/>
      <c r="U258" s="376"/>
      <c r="V258" s="376"/>
    </row>
    <row r="259" spans="1:22">
      <c r="A259" s="200"/>
      <c r="B259" s="200"/>
      <c r="C259" s="373"/>
      <c r="D259" s="200"/>
      <c r="E259" s="200"/>
      <c r="F259" s="200"/>
      <c r="G259" s="200"/>
      <c r="H259" s="200"/>
      <c r="I259" s="377"/>
      <c r="J259" s="366"/>
      <c r="K259" s="374"/>
      <c r="L259" s="366"/>
      <c r="M259" s="375"/>
      <c r="N259" s="376"/>
      <c r="O259" s="376"/>
      <c r="P259" s="376"/>
      <c r="Q259" s="376"/>
      <c r="R259" s="376"/>
      <c r="S259" s="376"/>
      <c r="T259" s="376"/>
      <c r="U259" s="376"/>
      <c r="V259" s="376"/>
    </row>
    <row r="260" spans="1:22">
      <c r="A260" s="200"/>
      <c r="B260" s="200"/>
      <c r="C260" s="373"/>
      <c r="D260" s="200"/>
      <c r="E260" s="200"/>
      <c r="F260" s="200"/>
      <c r="G260" s="200"/>
      <c r="H260" s="200"/>
      <c r="I260" s="377"/>
      <c r="J260" s="366"/>
      <c r="K260" s="374"/>
      <c r="L260" s="366"/>
      <c r="M260" s="375"/>
      <c r="N260" s="376"/>
      <c r="O260" s="376"/>
      <c r="P260" s="376"/>
      <c r="Q260" s="376"/>
      <c r="R260" s="376"/>
      <c r="S260" s="376"/>
      <c r="T260" s="376"/>
      <c r="U260" s="376"/>
      <c r="V260" s="376"/>
    </row>
    <row r="261" spans="1:22">
      <c r="A261" s="200"/>
      <c r="B261" s="200"/>
      <c r="C261" s="373"/>
      <c r="D261" s="200"/>
      <c r="E261" s="200"/>
      <c r="F261" s="200"/>
      <c r="G261" s="200"/>
      <c r="H261" s="200"/>
      <c r="I261" s="377"/>
      <c r="J261" s="366"/>
      <c r="K261" s="374"/>
      <c r="L261" s="366"/>
      <c r="M261" s="375"/>
      <c r="N261" s="376"/>
      <c r="O261" s="376"/>
      <c r="P261" s="376"/>
      <c r="Q261" s="376"/>
      <c r="R261" s="376"/>
      <c r="S261" s="376"/>
      <c r="T261" s="376"/>
      <c r="U261" s="376"/>
      <c r="V261" s="376"/>
    </row>
    <row r="262" spans="1:22">
      <c r="A262" s="200"/>
      <c r="B262" s="200"/>
      <c r="C262" s="373"/>
      <c r="D262" s="200"/>
      <c r="E262" s="200"/>
      <c r="F262" s="200"/>
      <c r="G262" s="200"/>
      <c r="H262" s="200"/>
      <c r="I262" s="377"/>
      <c r="J262" s="366"/>
      <c r="K262" s="374"/>
      <c r="L262" s="366"/>
      <c r="M262" s="375"/>
      <c r="N262" s="376"/>
      <c r="O262" s="376"/>
      <c r="P262" s="376"/>
      <c r="Q262" s="376"/>
      <c r="R262" s="376"/>
      <c r="S262" s="376"/>
      <c r="T262" s="376"/>
      <c r="U262" s="376"/>
      <c r="V262" s="376"/>
    </row>
    <row r="263" spans="1:22">
      <c r="A263" s="200"/>
      <c r="B263" s="200"/>
      <c r="C263" s="373"/>
      <c r="D263" s="200"/>
      <c r="E263" s="200"/>
      <c r="F263" s="200"/>
      <c r="G263" s="200"/>
      <c r="H263" s="200"/>
      <c r="I263" s="377"/>
      <c r="J263" s="366"/>
      <c r="K263" s="374"/>
      <c r="L263" s="366"/>
      <c r="M263" s="375"/>
      <c r="N263" s="376"/>
      <c r="O263" s="376"/>
      <c r="P263" s="376"/>
      <c r="Q263" s="376"/>
      <c r="R263" s="376"/>
      <c r="S263" s="376"/>
      <c r="T263" s="376"/>
      <c r="U263" s="376"/>
      <c r="V263" s="376"/>
    </row>
    <row r="264" spans="1:22">
      <c r="A264" s="200"/>
      <c r="B264" s="200"/>
      <c r="C264" s="373"/>
      <c r="D264" s="200"/>
      <c r="E264" s="200"/>
      <c r="F264" s="200"/>
      <c r="G264" s="200"/>
      <c r="H264" s="200"/>
      <c r="I264" s="377"/>
      <c r="J264" s="366"/>
      <c r="K264" s="374"/>
      <c r="L264" s="366"/>
      <c r="M264" s="375"/>
      <c r="N264" s="376"/>
      <c r="O264" s="376"/>
      <c r="P264" s="376"/>
      <c r="Q264" s="376"/>
      <c r="R264" s="376"/>
      <c r="S264" s="376"/>
      <c r="T264" s="376"/>
      <c r="U264" s="376"/>
      <c r="V264" s="376"/>
    </row>
    <row r="265" spans="1:22">
      <c r="A265" s="200"/>
      <c r="B265" s="200"/>
      <c r="C265" s="373"/>
      <c r="D265" s="200"/>
      <c r="E265" s="200"/>
      <c r="F265" s="200"/>
      <c r="G265" s="200"/>
      <c r="H265" s="200"/>
      <c r="I265" s="377"/>
      <c r="J265" s="366"/>
      <c r="K265" s="374"/>
      <c r="L265" s="366"/>
      <c r="M265" s="375"/>
      <c r="N265" s="376"/>
      <c r="O265" s="376"/>
      <c r="P265" s="376"/>
      <c r="Q265" s="376"/>
      <c r="R265" s="376"/>
      <c r="S265" s="376"/>
      <c r="T265" s="376"/>
      <c r="U265" s="376"/>
      <c r="V265" s="376"/>
    </row>
    <row r="266" spans="1:22">
      <c r="A266" s="200"/>
      <c r="B266" s="200"/>
      <c r="C266" s="373"/>
      <c r="D266" s="200"/>
      <c r="E266" s="200"/>
      <c r="F266" s="200"/>
      <c r="G266" s="200"/>
      <c r="H266" s="200"/>
      <c r="I266" s="377"/>
      <c r="J266" s="366"/>
      <c r="K266" s="374"/>
      <c r="L266" s="366"/>
      <c r="M266" s="375"/>
      <c r="N266" s="376"/>
      <c r="O266" s="376"/>
      <c r="P266" s="376"/>
      <c r="Q266" s="376"/>
      <c r="R266" s="376"/>
      <c r="S266" s="376"/>
      <c r="T266" s="376"/>
      <c r="U266" s="376"/>
      <c r="V266" s="376"/>
    </row>
    <row r="267" spans="1:22">
      <c r="A267" s="200"/>
      <c r="B267" s="200"/>
      <c r="C267" s="373"/>
      <c r="D267" s="200"/>
      <c r="E267" s="200"/>
      <c r="F267" s="200"/>
      <c r="G267" s="200"/>
      <c r="H267" s="200"/>
      <c r="I267" s="377"/>
      <c r="J267" s="366"/>
      <c r="K267" s="374"/>
      <c r="L267" s="366"/>
      <c r="M267" s="375"/>
      <c r="N267" s="376"/>
      <c r="O267" s="376"/>
      <c r="P267" s="376"/>
      <c r="Q267" s="376"/>
      <c r="R267" s="376"/>
      <c r="S267" s="376"/>
      <c r="T267" s="376"/>
      <c r="U267" s="376"/>
      <c r="V267" s="376"/>
    </row>
    <row r="268" spans="1:22">
      <c r="A268" s="200"/>
      <c r="B268" s="200"/>
      <c r="C268" s="373"/>
      <c r="D268" s="200"/>
      <c r="E268" s="200"/>
      <c r="F268" s="200"/>
      <c r="G268" s="200"/>
      <c r="H268" s="200"/>
      <c r="I268" s="377"/>
      <c r="J268" s="366"/>
      <c r="K268" s="374"/>
      <c r="L268" s="366"/>
      <c r="M268" s="375"/>
      <c r="N268" s="376"/>
      <c r="O268" s="376"/>
      <c r="P268" s="376"/>
      <c r="Q268" s="376"/>
      <c r="R268" s="376"/>
      <c r="S268" s="376"/>
      <c r="T268" s="376"/>
      <c r="U268" s="376"/>
      <c r="V268" s="376"/>
    </row>
    <row r="269" spans="1:22">
      <c r="A269" s="200"/>
      <c r="B269" s="200"/>
      <c r="C269" s="373"/>
      <c r="D269" s="200"/>
      <c r="E269" s="200"/>
      <c r="F269" s="200"/>
      <c r="G269" s="200"/>
      <c r="H269" s="200"/>
      <c r="I269" s="377"/>
      <c r="J269" s="366"/>
      <c r="K269" s="374"/>
      <c r="L269" s="366"/>
      <c r="M269" s="375"/>
      <c r="N269" s="376"/>
      <c r="O269" s="376"/>
      <c r="P269" s="376"/>
      <c r="Q269" s="376"/>
      <c r="R269" s="376"/>
      <c r="S269" s="376"/>
      <c r="T269" s="376"/>
      <c r="U269" s="376"/>
      <c r="V269" s="376"/>
    </row>
    <row r="270" spans="1:22">
      <c r="A270" s="200"/>
      <c r="B270" s="200"/>
      <c r="C270" s="373"/>
      <c r="D270" s="200"/>
      <c r="E270" s="200"/>
      <c r="F270" s="200"/>
      <c r="G270" s="200"/>
      <c r="H270" s="200"/>
      <c r="I270" s="377"/>
      <c r="J270" s="366"/>
      <c r="K270" s="374"/>
      <c r="L270" s="366"/>
      <c r="M270" s="375"/>
      <c r="N270" s="376"/>
      <c r="O270" s="376"/>
      <c r="P270" s="376"/>
      <c r="Q270" s="376"/>
      <c r="R270" s="376"/>
      <c r="S270" s="376"/>
      <c r="T270" s="376"/>
      <c r="U270" s="376"/>
      <c r="V270" s="376"/>
    </row>
    <row r="271" spans="1:22">
      <c r="A271" s="200"/>
      <c r="B271" s="200"/>
      <c r="C271" s="373"/>
      <c r="D271" s="200"/>
      <c r="E271" s="200"/>
      <c r="F271" s="200"/>
      <c r="G271" s="200"/>
      <c r="H271" s="200"/>
      <c r="I271" s="377"/>
      <c r="J271" s="366"/>
      <c r="K271" s="374"/>
      <c r="L271" s="366"/>
      <c r="M271" s="375"/>
      <c r="N271" s="376"/>
      <c r="O271" s="376"/>
      <c r="P271" s="376"/>
      <c r="Q271" s="376"/>
      <c r="R271" s="376"/>
      <c r="S271" s="376"/>
      <c r="T271" s="376"/>
      <c r="U271" s="376"/>
      <c r="V271" s="376"/>
    </row>
    <row r="272" spans="1:22">
      <c r="A272" s="200"/>
      <c r="B272" s="200"/>
      <c r="C272" s="373"/>
      <c r="D272" s="200"/>
      <c r="E272" s="200"/>
      <c r="F272" s="200"/>
      <c r="G272" s="200"/>
      <c r="H272" s="200"/>
      <c r="I272" s="377"/>
      <c r="J272" s="366"/>
      <c r="K272" s="374"/>
      <c r="L272" s="366"/>
      <c r="M272" s="375"/>
      <c r="N272" s="376"/>
      <c r="O272" s="376"/>
      <c r="P272" s="376"/>
      <c r="Q272" s="376"/>
      <c r="R272" s="376"/>
      <c r="S272" s="376"/>
      <c r="T272" s="376"/>
      <c r="U272" s="376"/>
      <c r="V272" s="376"/>
    </row>
    <row r="273" spans="1:22">
      <c r="A273" s="200"/>
      <c r="B273" s="200"/>
      <c r="C273" s="373"/>
      <c r="D273" s="200"/>
      <c r="E273" s="200"/>
      <c r="F273" s="200"/>
      <c r="G273" s="200"/>
      <c r="H273" s="200"/>
      <c r="I273" s="377"/>
      <c r="J273" s="366"/>
      <c r="K273" s="374"/>
      <c r="L273" s="366"/>
      <c r="M273" s="375"/>
      <c r="N273" s="376"/>
      <c r="O273" s="376"/>
      <c r="P273" s="376"/>
      <c r="Q273" s="376"/>
      <c r="R273" s="376"/>
      <c r="S273" s="376"/>
      <c r="T273" s="376"/>
      <c r="U273" s="376"/>
      <c r="V273" s="376"/>
    </row>
    <row r="274" spans="1:22">
      <c r="A274" s="200"/>
      <c r="B274" s="200"/>
      <c r="C274" s="373"/>
      <c r="D274" s="200"/>
      <c r="E274" s="200"/>
      <c r="F274" s="200"/>
      <c r="G274" s="200"/>
      <c r="H274" s="200"/>
      <c r="I274" s="377"/>
      <c r="J274" s="366"/>
      <c r="K274" s="374"/>
      <c r="L274" s="366"/>
      <c r="M274" s="375"/>
      <c r="N274" s="376"/>
      <c r="O274" s="376"/>
      <c r="P274" s="376"/>
      <c r="Q274" s="376"/>
      <c r="R274" s="376"/>
      <c r="S274" s="376"/>
      <c r="T274" s="376"/>
      <c r="U274" s="376"/>
      <c r="V274" s="376"/>
    </row>
    <row r="275" spans="1:22">
      <c r="A275" s="200"/>
      <c r="B275" s="200"/>
      <c r="C275" s="373"/>
      <c r="D275" s="200"/>
      <c r="E275" s="200"/>
      <c r="F275" s="200"/>
      <c r="G275" s="200"/>
      <c r="H275" s="200"/>
      <c r="I275" s="377"/>
      <c r="J275" s="366"/>
      <c r="K275" s="374"/>
      <c r="L275" s="366"/>
      <c r="M275" s="375"/>
      <c r="N275" s="376"/>
      <c r="O275" s="376"/>
      <c r="P275" s="376"/>
      <c r="Q275" s="376"/>
      <c r="R275" s="376"/>
      <c r="S275" s="376"/>
      <c r="T275" s="376"/>
      <c r="U275" s="376"/>
      <c r="V275" s="376"/>
    </row>
    <row r="276" spans="1:22">
      <c r="A276" s="200"/>
      <c r="B276" s="200"/>
      <c r="C276" s="373"/>
      <c r="D276" s="200"/>
      <c r="E276" s="200"/>
      <c r="F276" s="200"/>
      <c r="G276" s="200"/>
      <c r="H276" s="200"/>
      <c r="I276" s="377"/>
      <c r="J276" s="366"/>
      <c r="K276" s="374"/>
      <c r="L276" s="366"/>
      <c r="M276" s="375"/>
      <c r="N276" s="376"/>
      <c r="O276" s="376"/>
      <c r="P276" s="376"/>
      <c r="Q276" s="376"/>
      <c r="R276" s="376"/>
      <c r="S276" s="376"/>
      <c r="T276" s="376"/>
      <c r="U276" s="376"/>
      <c r="V276" s="376"/>
    </row>
    <row r="277" spans="1:22">
      <c r="A277" s="200"/>
      <c r="B277" s="200"/>
      <c r="C277" s="373"/>
      <c r="D277" s="200"/>
      <c r="E277" s="200"/>
      <c r="F277" s="200"/>
      <c r="G277" s="200"/>
      <c r="H277" s="200"/>
      <c r="I277" s="377"/>
      <c r="J277" s="366"/>
      <c r="K277" s="374"/>
      <c r="L277" s="366"/>
      <c r="M277" s="375"/>
      <c r="N277" s="376"/>
      <c r="O277" s="376"/>
      <c r="P277" s="376"/>
      <c r="Q277" s="376"/>
      <c r="R277" s="376"/>
      <c r="S277" s="376"/>
      <c r="T277" s="376"/>
      <c r="U277" s="376"/>
      <c r="V277" s="376"/>
    </row>
    <row r="278" spans="1:22">
      <c r="A278" s="200"/>
      <c r="B278" s="200"/>
      <c r="C278" s="373"/>
      <c r="D278" s="200"/>
      <c r="E278" s="200"/>
      <c r="F278" s="200"/>
      <c r="G278" s="200"/>
      <c r="H278" s="200"/>
      <c r="I278" s="377"/>
      <c r="J278" s="366"/>
      <c r="K278" s="374"/>
      <c r="L278" s="366"/>
      <c r="M278" s="375"/>
      <c r="N278" s="376"/>
      <c r="O278" s="376"/>
      <c r="P278" s="376"/>
      <c r="Q278" s="376"/>
      <c r="R278" s="376"/>
      <c r="S278" s="376"/>
      <c r="T278" s="376"/>
      <c r="U278" s="376"/>
      <c r="V278" s="376"/>
    </row>
    <row r="279" spans="1:22">
      <c r="A279" s="200"/>
      <c r="B279" s="200"/>
      <c r="C279" s="373"/>
      <c r="D279" s="200"/>
      <c r="E279" s="200"/>
      <c r="F279" s="200"/>
      <c r="G279" s="200"/>
      <c r="H279" s="200"/>
      <c r="I279" s="377"/>
      <c r="J279" s="366"/>
      <c r="K279" s="374"/>
      <c r="L279" s="366"/>
      <c r="M279" s="375"/>
      <c r="N279" s="376"/>
      <c r="O279" s="376"/>
      <c r="P279" s="376"/>
      <c r="Q279" s="376"/>
      <c r="R279" s="376"/>
      <c r="S279" s="376"/>
      <c r="T279" s="376"/>
      <c r="U279" s="376"/>
      <c r="V279" s="376"/>
    </row>
    <row r="280" spans="1:22">
      <c r="A280" s="200"/>
      <c r="B280" s="200"/>
      <c r="C280" s="373"/>
      <c r="D280" s="200"/>
      <c r="E280" s="200"/>
      <c r="F280" s="200"/>
      <c r="G280" s="200"/>
      <c r="H280" s="200"/>
      <c r="I280" s="377"/>
      <c r="J280" s="366"/>
      <c r="K280" s="374"/>
      <c r="L280" s="366"/>
      <c r="M280" s="375"/>
      <c r="N280" s="376"/>
      <c r="O280" s="376"/>
      <c r="P280" s="376"/>
      <c r="Q280" s="376"/>
      <c r="R280" s="376"/>
      <c r="S280" s="376"/>
      <c r="T280" s="376"/>
      <c r="U280" s="376"/>
      <c r="V280" s="376"/>
    </row>
    <row r="281" spans="1:22">
      <c r="A281" s="200"/>
      <c r="B281" s="200"/>
      <c r="C281" s="373"/>
      <c r="D281" s="200"/>
      <c r="E281" s="200"/>
      <c r="F281" s="200"/>
      <c r="G281" s="200"/>
      <c r="H281" s="200"/>
      <c r="I281" s="377"/>
      <c r="J281" s="366"/>
      <c r="K281" s="374"/>
      <c r="L281" s="366"/>
      <c r="M281" s="375"/>
      <c r="N281" s="376"/>
      <c r="O281" s="376"/>
      <c r="P281" s="376"/>
      <c r="Q281" s="376"/>
      <c r="R281" s="376"/>
      <c r="S281" s="376"/>
      <c r="T281" s="376"/>
      <c r="U281" s="376"/>
      <c r="V281" s="376"/>
    </row>
    <row r="282" spans="1:22">
      <c r="A282" s="200"/>
      <c r="B282" s="200"/>
      <c r="C282" s="373"/>
      <c r="D282" s="200"/>
      <c r="E282" s="200"/>
      <c r="F282" s="200"/>
      <c r="G282" s="200"/>
      <c r="H282" s="200"/>
      <c r="I282" s="377"/>
      <c r="J282" s="366"/>
      <c r="K282" s="374"/>
      <c r="L282" s="366"/>
      <c r="M282" s="375"/>
      <c r="N282" s="376"/>
      <c r="O282" s="376"/>
      <c r="P282" s="376"/>
      <c r="Q282" s="376"/>
      <c r="R282" s="376"/>
      <c r="S282" s="376"/>
      <c r="T282" s="376"/>
      <c r="U282" s="376"/>
      <c r="V282" s="376"/>
    </row>
    <row r="283" spans="1:22">
      <c r="A283" s="200"/>
      <c r="B283" s="200"/>
      <c r="C283" s="373"/>
      <c r="D283" s="200"/>
      <c r="E283" s="200"/>
      <c r="F283" s="200"/>
      <c r="G283" s="200"/>
      <c r="H283" s="200"/>
      <c r="I283" s="377"/>
      <c r="J283" s="366"/>
      <c r="K283" s="374"/>
      <c r="L283" s="366"/>
      <c r="M283" s="375"/>
      <c r="N283" s="376"/>
      <c r="O283" s="376"/>
      <c r="P283" s="376"/>
      <c r="Q283" s="376"/>
      <c r="R283" s="376"/>
      <c r="S283" s="376"/>
      <c r="T283" s="376"/>
      <c r="U283" s="376"/>
      <c r="V283" s="376"/>
    </row>
    <row r="284" spans="1:22">
      <c r="A284" s="200"/>
      <c r="B284" s="200"/>
      <c r="C284" s="373"/>
      <c r="D284" s="200"/>
      <c r="E284" s="200"/>
      <c r="F284" s="200"/>
      <c r="G284" s="200"/>
      <c r="H284" s="200"/>
      <c r="I284" s="377"/>
      <c r="J284" s="366"/>
      <c r="K284" s="374"/>
      <c r="L284" s="366"/>
      <c r="M284" s="375"/>
      <c r="N284" s="376"/>
      <c r="O284" s="376"/>
      <c r="P284" s="376"/>
      <c r="Q284" s="376"/>
      <c r="R284" s="376"/>
      <c r="S284" s="376"/>
      <c r="T284" s="376"/>
      <c r="U284" s="376"/>
      <c r="V284" s="376"/>
    </row>
    <row r="285" spans="1:22">
      <c r="A285" s="200"/>
      <c r="B285" s="200"/>
      <c r="C285" s="373"/>
      <c r="D285" s="200"/>
      <c r="E285" s="200"/>
      <c r="F285" s="200"/>
      <c r="G285" s="200"/>
      <c r="H285" s="200"/>
      <c r="I285" s="377"/>
      <c r="J285" s="366"/>
      <c r="K285" s="374"/>
      <c r="L285" s="366"/>
      <c r="M285" s="375"/>
      <c r="N285" s="376"/>
      <c r="O285" s="376"/>
      <c r="P285" s="376"/>
      <c r="Q285" s="376"/>
      <c r="R285" s="376"/>
      <c r="S285" s="376"/>
      <c r="T285" s="376"/>
      <c r="U285" s="376"/>
      <c r="V285" s="376"/>
    </row>
    <row r="286" spans="1:22">
      <c r="A286" s="200"/>
      <c r="B286" s="200"/>
      <c r="C286" s="373"/>
      <c r="D286" s="200"/>
      <c r="E286" s="200"/>
      <c r="F286" s="200"/>
      <c r="G286" s="200"/>
      <c r="H286" s="200"/>
      <c r="I286" s="377"/>
      <c r="J286" s="366"/>
      <c r="K286" s="374"/>
      <c r="L286" s="366"/>
      <c r="M286" s="375"/>
      <c r="N286" s="376"/>
      <c r="O286" s="376"/>
      <c r="P286" s="376"/>
      <c r="Q286" s="376"/>
      <c r="R286" s="376"/>
      <c r="S286" s="376"/>
      <c r="T286" s="376"/>
      <c r="U286" s="376"/>
      <c r="V286" s="376"/>
    </row>
    <row r="287" spans="1:22">
      <c r="A287" s="200"/>
      <c r="B287" s="200"/>
      <c r="C287" s="373"/>
      <c r="D287" s="200"/>
      <c r="E287" s="200"/>
      <c r="F287" s="200"/>
      <c r="G287" s="200"/>
      <c r="H287" s="200"/>
      <c r="I287" s="377"/>
      <c r="J287" s="366"/>
      <c r="K287" s="374"/>
      <c r="L287" s="366"/>
      <c r="M287" s="375"/>
      <c r="N287" s="376"/>
      <c r="O287" s="376"/>
      <c r="P287" s="376"/>
      <c r="Q287" s="376"/>
      <c r="R287" s="376"/>
      <c r="S287" s="376"/>
      <c r="T287" s="376"/>
      <c r="U287" s="376"/>
      <c r="V287" s="376"/>
    </row>
    <row r="288" spans="1:22">
      <c r="A288" s="200"/>
      <c r="B288" s="200"/>
      <c r="C288" s="373"/>
      <c r="D288" s="200"/>
      <c r="E288" s="200"/>
      <c r="F288" s="200"/>
      <c r="G288" s="200"/>
      <c r="H288" s="200"/>
      <c r="I288" s="377"/>
      <c r="J288" s="366"/>
      <c r="K288" s="374"/>
      <c r="L288" s="366"/>
      <c r="M288" s="375"/>
      <c r="N288" s="376"/>
      <c r="O288" s="376"/>
      <c r="P288" s="376"/>
      <c r="Q288" s="376"/>
      <c r="R288" s="376"/>
      <c r="S288" s="376"/>
      <c r="T288" s="376"/>
      <c r="U288" s="376"/>
      <c r="V288" s="376"/>
    </row>
    <row r="289" spans="1:22">
      <c r="A289" s="200"/>
      <c r="B289" s="200"/>
      <c r="C289" s="373"/>
      <c r="D289" s="200"/>
      <c r="E289" s="200"/>
      <c r="F289" s="200"/>
      <c r="G289" s="200"/>
      <c r="H289" s="200"/>
      <c r="I289" s="377"/>
      <c r="J289" s="366"/>
      <c r="K289" s="374"/>
      <c r="L289" s="366"/>
      <c r="M289" s="375"/>
      <c r="N289" s="376"/>
      <c r="O289" s="376"/>
      <c r="P289" s="376"/>
      <c r="Q289" s="376"/>
      <c r="R289" s="376"/>
      <c r="S289" s="376"/>
      <c r="T289" s="376"/>
      <c r="U289" s="376"/>
      <c r="V289" s="376"/>
    </row>
    <row r="290" spans="1:22">
      <c r="A290" s="200"/>
      <c r="B290" s="200"/>
      <c r="C290" s="373"/>
      <c r="D290" s="200"/>
      <c r="E290" s="200"/>
      <c r="F290" s="200"/>
      <c r="G290" s="200"/>
      <c r="H290" s="200"/>
      <c r="I290" s="377"/>
      <c r="J290" s="366"/>
      <c r="K290" s="374"/>
      <c r="L290" s="366"/>
      <c r="M290" s="375"/>
      <c r="N290" s="376"/>
      <c r="O290" s="376"/>
      <c r="P290" s="376"/>
      <c r="Q290" s="376"/>
      <c r="R290" s="376"/>
      <c r="S290" s="376"/>
      <c r="T290" s="376"/>
      <c r="U290" s="376"/>
      <c r="V290" s="376"/>
    </row>
    <row r="291" spans="1:22">
      <c r="A291" s="200"/>
      <c r="B291" s="200"/>
      <c r="C291" s="373"/>
      <c r="D291" s="200"/>
      <c r="E291" s="200"/>
      <c r="F291" s="200"/>
      <c r="G291" s="200"/>
      <c r="H291" s="200"/>
      <c r="I291" s="377"/>
      <c r="J291" s="366"/>
      <c r="K291" s="374"/>
      <c r="L291" s="366"/>
      <c r="M291" s="375"/>
      <c r="N291" s="376"/>
      <c r="O291" s="376"/>
      <c r="P291" s="376"/>
      <c r="Q291" s="376"/>
      <c r="R291" s="376"/>
      <c r="S291" s="376"/>
      <c r="T291" s="376"/>
      <c r="U291" s="376"/>
      <c r="V291" s="376"/>
    </row>
    <row r="292" spans="1:22">
      <c r="A292" s="200"/>
      <c r="B292" s="200"/>
      <c r="C292" s="373"/>
      <c r="D292" s="200"/>
      <c r="E292" s="200"/>
      <c r="F292" s="200"/>
      <c r="G292" s="200"/>
      <c r="H292" s="200"/>
      <c r="I292" s="377"/>
      <c r="J292" s="366"/>
      <c r="K292" s="374"/>
      <c r="L292" s="366"/>
      <c r="M292" s="375"/>
      <c r="N292" s="376"/>
      <c r="O292" s="376"/>
      <c r="P292" s="376"/>
      <c r="Q292" s="376"/>
      <c r="R292" s="376"/>
      <c r="S292" s="376"/>
      <c r="T292" s="376"/>
      <c r="U292" s="376"/>
      <c r="V292" s="376"/>
    </row>
    <row r="293" spans="1:22">
      <c r="A293" s="200"/>
      <c r="B293" s="200"/>
      <c r="C293" s="373"/>
      <c r="D293" s="200"/>
      <c r="E293" s="200"/>
      <c r="F293" s="200"/>
      <c r="G293" s="200"/>
      <c r="H293" s="200"/>
      <c r="I293" s="377"/>
      <c r="J293" s="366"/>
      <c r="K293" s="374"/>
      <c r="L293" s="366"/>
      <c r="M293" s="375"/>
      <c r="N293" s="376"/>
      <c r="O293" s="376"/>
      <c r="P293" s="376"/>
      <c r="Q293" s="376"/>
      <c r="R293" s="376"/>
      <c r="S293" s="376"/>
      <c r="T293" s="376"/>
      <c r="U293" s="376"/>
      <c r="V293" s="376"/>
    </row>
    <row r="294" spans="1:22">
      <c r="A294" s="200"/>
      <c r="B294" s="200"/>
      <c r="C294" s="373"/>
      <c r="D294" s="200"/>
      <c r="E294" s="200"/>
      <c r="F294" s="200"/>
      <c r="G294" s="200"/>
      <c r="H294" s="200"/>
      <c r="I294" s="377"/>
      <c r="J294" s="366"/>
      <c r="K294" s="374"/>
      <c r="L294" s="366"/>
      <c r="M294" s="375"/>
      <c r="N294" s="376"/>
      <c r="O294" s="376"/>
      <c r="P294" s="376"/>
      <c r="Q294" s="376"/>
      <c r="R294" s="376"/>
      <c r="S294" s="376"/>
      <c r="T294" s="376"/>
      <c r="U294" s="376"/>
      <c r="V294" s="376"/>
    </row>
    <row r="295" spans="1:22">
      <c r="A295" s="200"/>
      <c r="B295" s="200"/>
      <c r="C295" s="373"/>
      <c r="D295" s="200"/>
      <c r="E295" s="200"/>
      <c r="F295" s="200"/>
      <c r="G295" s="200"/>
      <c r="H295" s="200"/>
      <c r="I295" s="377"/>
      <c r="J295" s="366"/>
      <c r="K295" s="374"/>
      <c r="L295" s="366"/>
      <c r="M295" s="375"/>
      <c r="N295" s="376"/>
      <c r="O295" s="376"/>
      <c r="P295" s="376"/>
      <c r="Q295" s="376"/>
      <c r="R295" s="376"/>
      <c r="S295" s="376"/>
      <c r="T295" s="376"/>
      <c r="U295" s="376"/>
      <c r="V295" s="376"/>
    </row>
    <row r="296" spans="1:22">
      <c r="A296" s="200"/>
      <c r="B296" s="200"/>
      <c r="C296" s="373"/>
      <c r="D296" s="200"/>
      <c r="E296" s="200"/>
      <c r="F296" s="200"/>
      <c r="G296" s="200"/>
      <c r="H296" s="200"/>
      <c r="I296" s="377"/>
      <c r="J296" s="366"/>
      <c r="K296" s="374"/>
      <c r="L296" s="366"/>
      <c r="M296" s="375"/>
      <c r="N296" s="376"/>
      <c r="O296" s="376"/>
      <c r="P296" s="376"/>
      <c r="Q296" s="376"/>
      <c r="R296" s="376"/>
      <c r="S296" s="376"/>
      <c r="T296" s="376"/>
      <c r="U296" s="376"/>
      <c r="V296" s="376"/>
    </row>
    <row r="297" spans="1:22">
      <c r="A297" s="200"/>
      <c r="B297" s="200"/>
      <c r="C297" s="373"/>
      <c r="D297" s="200"/>
      <c r="E297" s="200"/>
      <c r="F297" s="200"/>
      <c r="G297" s="200"/>
      <c r="H297" s="200"/>
      <c r="I297" s="377"/>
      <c r="J297" s="366"/>
      <c r="K297" s="374"/>
      <c r="L297" s="366"/>
      <c r="M297" s="375"/>
      <c r="N297" s="376"/>
      <c r="O297" s="376"/>
      <c r="P297" s="376"/>
      <c r="Q297" s="376"/>
      <c r="R297" s="376"/>
      <c r="S297" s="376"/>
      <c r="T297" s="376"/>
      <c r="U297" s="376"/>
      <c r="V297" s="376"/>
    </row>
    <row r="298" spans="1:22">
      <c r="A298" s="200"/>
      <c r="B298" s="200"/>
      <c r="C298" s="373"/>
      <c r="D298" s="200"/>
      <c r="E298" s="200"/>
      <c r="F298" s="200"/>
      <c r="G298" s="200"/>
      <c r="H298" s="200"/>
      <c r="I298" s="377"/>
      <c r="J298" s="366"/>
      <c r="K298" s="374"/>
      <c r="L298" s="366"/>
      <c r="M298" s="375"/>
      <c r="N298" s="376"/>
      <c r="O298" s="376"/>
      <c r="P298" s="376"/>
      <c r="Q298" s="376"/>
      <c r="R298" s="376"/>
      <c r="S298" s="376"/>
      <c r="T298" s="376"/>
      <c r="U298" s="376"/>
      <c r="V298" s="376"/>
    </row>
    <row r="299" spans="1:22">
      <c r="A299" s="200"/>
      <c r="B299" s="200"/>
      <c r="C299" s="373"/>
      <c r="D299" s="200"/>
      <c r="E299" s="200"/>
      <c r="F299" s="200"/>
      <c r="G299" s="200"/>
      <c r="H299" s="200"/>
      <c r="I299" s="377"/>
      <c r="J299" s="366"/>
      <c r="K299" s="374"/>
      <c r="L299" s="366"/>
      <c r="M299" s="375"/>
      <c r="N299" s="376"/>
      <c r="O299" s="376"/>
      <c r="P299" s="376"/>
      <c r="Q299" s="376"/>
      <c r="R299" s="376"/>
      <c r="S299" s="376"/>
      <c r="T299" s="376"/>
      <c r="U299" s="376"/>
      <c r="V299" s="376"/>
    </row>
    <row r="300" spans="1:22">
      <c r="A300" s="200"/>
      <c r="B300" s="200"/>
      <c r="C300" s="373"/>
      <c r="D300" s="200"/>
      <c r="E300" s="200"/>
      <c r="F300" s="200"/>
      <c r="G300" s="200"/>
      <c r="H300" s="200"/>
      <c r="I300" s="377"/>
      <c r="J300" s="366"/>
      <c r="K300" s="374"/>
      <c r="L300" s="366"/>
      <c r="M300" s="375"/>
      <c r="N300" s="376"/>
      <c r="O300" s="376"/>
      <c r="P300" s="376"/>
      <c r="Q300" s="376"/>
      <c r="R300" s="376"/>
      <c r="S300" s="376"/>
      <c r="T300" s="376"/>
      <c r="U300" s="376"/>
      <c r="V300" s="376"/>
    </row>
    <row r="301" spans="1:22">
      <c r="A301" s="200"/>
      <c r="B301" s="200"/>
      <c r="C301" s="373"/>
      <c r="D301" s="200"/>
      <c r="E301" s="200"/>
      <c r="F301" s="200"/>
      <c r="G301" s="200"/>
      <c r="H301" s="200"/>
      <c r="I301" s="377"/>
      <c r="J301" s="366"/>
      <c r="K301" s="374"/>
      <c r="L301" s="366"/>
      <c r="M301" s="375"/>
      <c r="N301" s="376"/>
      <c r="O301" s="376"/>
      <c r="P301" s="376"/>
      <c r="Q301" s="376"/>
      <c r="R301" s="376"/>
      <c r="S301" s="376"/>
      <c r="T301" s="376"/>
      <c r="U301" s="376"/>
      <c r="V301" s="376"/>
    </row>
    <row r="302" spans="1:22">
      <c r="A302" s="200"/>
      <c r="B302" s="200"/>
      <c r="C302" s="373"/>
      <c r="D302" s="200"/>
      <c r="E302" s="200"/>
      <c r="F302" s="200"/>
      <c r="G302" s="200"/>
      <c r="H302" s="200"/>
      <c r="I302" s="377"/>
      <c r="J302" s="366"/>
      <c r="K302" s="374"/>
      <c r="L302" s="366"/>
      <c r="M302" s="375"/>
      <c r="N302" s="376"/>
      <c r="O302" s="376"/>
      <c r="P302" s="376"/>
      <c r="Q302" s="376"/>
      <c r="R302" s="376"/>
      <c r="S302" s="376"/>
      <c r="T302" s="376"/>
      <c r="U302" s="376"/>
      <c r="V302" s="376"/>
    </row>
    <row r="303" spans="1:22">
      <c r="A303" s="200"/>
      <c r="B303" s="200"/>
      <c r="C303" s="373"/>
      <c r="D303" s="200"/>
      <c r="E303" s="200"/>
      <c r="F303" s="200"/>
      <c r="G303" s="200"/>
      <c r="H303" s="200"/>
      <c r="I303" s="377"/>
      <c r="J303" s="366"/>
      <c r="K303" s="374"/>
      <c r="L303" s="366"/>
      <c r="M303" s="375"/>
      <c r="N303" s="376"/>
      <c r="O303" s="376"/>
      <c r="P303" s="376"/>
      <c r="Q303" s="376"/>
      <c r="R303" s="376"/>
      <c r="S303" s="376"/>
      <c r="T303" s="376"/>
      <c r="U303" s="376"/>
      <c r="V303" s="376"/>
    </row>
    <row r="304" spans="1:22">
      <c r="A304" s="200"/>
      <c r="B304" s="200"/>
      <c r="C304" s="373"/>
      <c r="D304" s="200"/>
      <c r="E304" s="200"/>
      <c r="F304" s="200"/>
      <c r="G304" s="200"/>
      <c r="H304" s="200"/>
      <c r="I304" s="377"/>
      <c r="J304" s="366"/>
      <c r="K304" s="374"/>
      <c r="L304" s="366"/>
      <c r="M304" s="375"/>
      <c r="N304" s="376"/>
      <c r="O304" s="376"/>
      <c r="P304" s="376"/>
      <c r="Q304" s="376"/>
      <c r="R304" s="376"/>
      <c r="S304" s="376"/>
      <c r="T304" s="376"/>
      <c r="U304" s="376"/>
      <c r="V304" s="376"/>
    </row>
    <row r="305" spans="1:22">
      <c r="A305" s="200"/>
      <c r="B305" s="200"/>
      <c r="C305" s="373"/>
      <c r="D305" s="200"/>
      <c r="E305" s="200"/>
      <c r="F305" s="200"/>
      <c r="G305" s="200"/>
      <c r="H305" s="200"/>
      <c r="I305" s="377"/>
      <c r="J305" s="366"/>
      <c r="K305" s="374"/>
      <c r="L305" s="366"/>
      <c r="M305" s="375"/>
      <c r="N305" s="376"/>
      <c r="O305" s="376"/>
      <c r="P305" s="376"/>
      <c r="Q305" s="376"/>
      <c r="R305" s="376"/>
      <c r="S305" s="376"/>
      <c r="T305" s="376"/>
      <c r="U305" s="376"/>
      <c r="V305" s="376"/>
    </row>
    <row r="306" spans="1:22">
      <c r="A306" s="200"/>
      <c r="B306" s="200"/>
      <c r="C306" s="373"/>
      <c r="D306" s="200"/>
      <c r="E306" s="200"/>
      <c r="F306" s="200"/>
      <c r="G306" s="200"/>
      <c r="H306" s="200"/>
      <c r="I306" s="377"/>
      <c r="J306" s="366"/>
      <c r="K306" s="374"/>
      <c r="L306" s="366"/>
      <c r="M306" s="375"/>
      <c r="N306" s="376"/>
      <c r="O306" s="376"/>
      <c r="P306" s="376"/>
      <c r="Q306" s="376"/>
      <c r="R306" s="376"/>
      <c r="S306" s="376"/>
      <c r="T306" s="376"/>
      <c r="U306" s="376"/>
      <c r="V306" s="376"/>
    </row>
    <row r="307" spans="1:22">
      <c r="A307" s="200"/>
      <c r="B307" s="200"/>
      <c r="C307" s="373"/>
      <c r="D307" s="200"/>
      <c r="E307" s="200"/>
      <c r="F307" s="200"/>
      <c r="G307" s="200"/>
      <c r="H307" s="200"/>
      <c r="I307" s="377"/>
      <c r="J307" s="366"/>
      <c r="K307" s="374"/>
      <c r="L307" s="366"/>
      <c r="M307" s="375"/>
      <c r="N307" s="376"/>
      <c r="O307" s="376"/>
      <c r="P307" s="376"/>
      <c r="Q307" s="376"/>
      <c r="R307" s="376"/>
      <c r="S307" s="376"/>
      <c r="T307" s="376"/>
      <c r="U307" s="376"/>
      <c r="V307" s="376"/>
    </row>
    <row r="308" spans="1:22">
      <c r="A308" s="200"/>
      <c r="B308" s="200"/>
      <c r="C308" s="373"/>
      <c r="D308" s="200"/>
      <c r="E308" s="200"/>
      <c r="F308" s="200"/>
      <c r="G308" s="200"/>
      <c r="H308" s="200"/>
      <c r="I308" s="377"/>
      <c r="J308" s="366"/>
      <c r="K308" s="374"/>
      <c r="L308" s="366"/>
      <c r="M308" s="375"/>
      <c r="N308" s="376"/>
      <c r="O308" s="376"/>
      <c r="P308" s="376"/>
      <c r="Q308" s="376"/>
      <c r="R308" s="376"/>
      <c r="S308" s="376"/>
      <c r="T308" s="376"/>
      <c r="U308" s="376"/>
      <c r="V308" s="376"/>
    </row>
    <row r="309" spans="1:22">
      <c r="A309" s="200"/>
      <c r="B309" s="200"/>
      <c r="C309" s="373"/>
      <c r="D309" s="200"/>
      <c r="E309" s="200"/>
      <c r="F309" s="200"/>
      <c r="G309" s="200"/>
      <c r="H309" s="200"/>
      <c r="I309" s="377"/>
      <c r="J309" s="366"/>
      <c r="K309" s="374"/>
      <c r="L309" s="366"/>
      <c r="M309" s="375"/>
      <c r="N309" s="376"/>
      <c r="O309" s="376"/>
      <c r="P309" s="376"/>
      <c r="Q309" s="376"/>
      <c r="R309" s="376"/>
      <c r="S309" s="376"/>
      <c r="T309" s="376"/>
      <c r="U309" s="376"/>
      <c r="V309" s="376"/>
    </row>
    <row r="310" spans="1:22">
      <c r="A310" s="200"/>
      <c r="B310" s="200"/>
      <c r="C310" s="373"/>
      <c r="D310" s="200"/>
      <c r="E310" s="200"/>
      <c r="F310" s="200"/>
      <c r="G310" s="200"/>
      <c r="H310" s="200"/>
      <c r="I310" s="377"/>
      <c r="J310" s="366"/>
      <c r="K310" s="374"/>
      <c r="L310" s="366"/>
      <c r="M310" s="375"/>
      <c r="N310" s="376"/>
      <c r="O310" s="376"/>
      <c r="P310" s="376"/>
      <c r="Q310" s="376"/>
      <c r="R310" s="376"/>
      <c r="S310" s="376"/>
      <c r="T310" s="376"/>
      <c r="U310" s="376"/>
      <c r="V310" s="376"/>
    </row>
    <row r="311" spans="1:22">
      <c r="A311" s="200"/>
      <c r="B311" s="200"/>
      <c r="C311" s="373"/>
      <c r="D311" s="200"/>
      <c r="E311" s="200"/>
      <c r="F311" s="200"/>
      <c r="G311" s="200"/>
      <c r="H311" s="200"/>
      <c r="I311" s="377"/>
      <c r="J311" s="366"/>
      <c r="K311" s="374"/>
      <c r="L311" s="366"/>
      <c r="M311" s="375"/>
      <c r="N311" s="376"/>
      <c r="O311" s="376"/>
      <c r="P311" s="376"/>
      <c r="Q311" s="376"/>
      <c r="R311" s="376"/>
      <c r="S311" s="376"/>
      <c r="T311" s="376"/>
      <c r="U311" s="376"/>
      <c r="V311" s="376"/>
    </row>
    <row r="312" spans="1:22">
      <c r="A312" s="200"/>
      <c r="B312" s="200"/>
      <c r="C312" s="373"/>
      <c r="D312" s="200"/>
      <c r="E312" s="200"/>
      <c r="F312" s="200"/>
      <c r="G312" s="200"/>
      <c r="H312" s="200"/>
      <c r="I312" s="377"/>
      <c r="J312" s="366"/>
      <c r="K312" s="374"/>
      <c r="L312" s="366"/>
      <c r="M312" s="375"/>
      <c r="N312" s="376"/>
      <c r="O312" s="376"/>
      <c r="P312" s="376"/>
      <c r="Q312" s="376"/>
      <c r="R312" s="376"/>
      <c r="S312" s="376"/>
      <c r="T312" s="376"/>
      <c r="U312" s="376"/>
      <c r="V312" s="376"/>
    </row>
    <row r="313" spans="1:22">
      <c r="A313" s="200"/>
      <c r="B313" s="200"/>
      <c r="C313" s="373"/>
      <c r="D313" s="200"/>
      <c r="E313" s="200"/>
      <c r="F313" s="200"/>
      <c r="G313" s="200"/>
      <c r="H313" s="200"/>
      <c r="I313" s="377"/>
      <c r="J313" s="366"/>
      <c r="K313" s="374"/>
      <c r="L313" s="366"/>
      <c r="M313" s="375"/>
      <c r="N313" s="376"/>
      <c r="O313" s="376"/>
      <c r="P313" s="376"/>
      <c r="Q313" s="376"/>
      <c r="R313" s="376"/>
      <c r="S313" s="376"/>
      <c r="T313" s="376"/>
      <c r="U313" s="376"/>
      <c r="V313" s="376"/>
    </row>
    <row r="314" spans="1:22">
      <c r="A314" s="200"/>
      <c r="B314" s="200"/>
      <c r="C314" s="373"/>
      <c r="D314" s="200"/>
      <c r="E314" s="200"/>
      <c r="F314" s="200"/>
      <c r="G314" s="200"/>
      <c r="H314" s="200"/>
      <c r="I314" s="377"/>
      <c r="J314" s="366"/>
      <c r="K314" s="374"/>
      <c r="L314" s="366"/>
      <c r="M314" s="375"/>
      <c r="N314" s="376"/>
      <c r="O314" s="376"/>
      <c r="P314" s="376"/>
      <c r="Q314" s="376"/>
      <c r="R314" s="376"/>
      <c r="S314" s="376"/>
      <c r="T314" s="376"/>
      <c r="U314" s="376"/>
      <c r="V314" s="376"/>
    </row>
    <row r="315" spans="1:22">
      <c r="A315" s="200"/>
      <c r="B315" s="200"/>
      <c r="C315" s="373"/>
      <c r="D315" s="200"/>
      <c r="E315" s="200"/>
      <c r="F315" s="200"/>
      <c r="G315" s="200"/>
      <c r="H315" s="200"/>
      <c r="I315" s="377"/>
      <c r="J315" s="366"/>
      <c r="K315" s="374"/>
      <c r="L315" s="366"/>
      <c r="M315" s="375"/>
      <c r="N315" s="376"/>
      <c r="O315" s="376"/>
      <c r="P315" s="376"/>
      <c r="Q315" s="376"/>
      <c r="R315" s="376"/>
      <c r="S315" s="376"/>
      <c r="T315" s="376"/>
      <c r="U315" s="376"/>
      <c r="V315" s="376"/>
    </row>
    <row r="316" spans="1:22">
      <c r="A316" s="200"/>
      <c r="B316" s="200"/>
      <c r="C316" s="373"/>
      <c r="D316" s="200"/>
      <c r="E316" s="200"/>
      <c r="F316" s="200"/>
      <c r="G316" s="200"/>
      <c r="H316" s="200"/>
      <c r="I316" s="377"/>
      <c r="J316" s="366"/>
      <c r="K316" s="374"/>
      <c r="L316" s="366"/>
      <c r="M316" s="375"/>
      <c r="N316" s="376"/>
      <c r="O316" s="376"/>
      <c r="P316" s="376"/>
      <c r="Q316" s="376"/>
      <c r="R316" s="376"/>
      <c r="S316" s="376"/>
      <c r="T316" s="376"/>
      <c r="U316" s="376"/>
      <c r="V316" s="376"/>
    </row>
    <row r="317" spans="1:22">
      <c r="A317" s="200"/>
      <c r="B317" s="200"/>
      <c r="C317" s="373"/>
      <c r="D317" s="200"/>
      <c r="E317" s="200"/>
      <c r="F317" s="200"/>
      <c r="G317" s="200"/>
      <c r="H317" s="200"/>
      <c r="I317" s="377"/>
      <c r="J317" s="366"/>
      <c r="K317" s="374"/>
      <c r="L317" s="366"/>
      <c r="M317" s="375"/>
      <c r="N317" s="376"/>
      <c r="O317" s="376"/>
      <c r="P317" s="376"/>
      <c r="Q317" s="376"/>
      <c r="R317" s="376"/>
      <c r="S317" s="376"/>
      <c r="T317" s="376"/>
      <c r="U317" s="376"/>
      <c r="V317" s="376"/>
    </row>
    <row r="318" spans="1:22">
      <c r="A318" s="200"/>
      <c r="B318" s="200"/>
      <c r="C318" s="373"/>
      <c r="D318" s="200"/>
      <c r="E318" s="200"/>
      <c r="F318" s="200"/>
      <c r="G318" s="200"/>
      <c r="H318" s="200"/>
      <c r="I318" s="377"/>
      <c r="J318" s="366"/>
      <c r="K318" s="374"/>
      <c r="L318" s="366"/>
      <c r="M318" s="375"/>
      <c r="N318" s="376"/>
      <c r="O318" s="376"/>
      <c r="P318" s="376"/>
      <c r="Q318" s="376"/>
      <c r="R318" s="376"/>
      <c r="S318" s="376"/>
      <c r="T318" s="376"/>
      <c r="U318" s="376"/>
      <c r="V318" s="376"/>
    </row>
    <row r="319" spans="1:22">
      <c r="A319" s="200"/>
      <c r="B319" s="200"/>
      <c r="C319" s="373"/>
      <c r="D319" s="200"/>
      <c r="E319" s="200"/>
      <c r="F319" s="200"/>
      <c r="G319" s="200"/>
      <c r="H319" s="200"/>
      <c r="I319" s="377"/>
      <c r="J319" s="366"/>
      <c r="K319" s="374"/>
      <c r="L319" s="366"/>
      <c r="M319" s="375"/>
      <c r="N319" s="376"/>
      <c r="O319" s="376"/>
      <c r="P319" s="376"/>
      <c r="Q319" s="376"/>
      <c r="R319" s="376"/>
      <c r="S319" s="376"/>
      <c r="T319" s="376"/>
      <c r="U319" s="376"/>
      <c r="V319" s="376"/>
    </row>
    <row r="320" spans="1:22">
      <c r="A320" s="200"/>
      <c r="B320" s="200"/>
      <c r="C320" s="373"/>
      <c r="D320" s="200"/>
      <c r="E320" s="200"/>
      <c r="F320" s="200"/>
      <c r="G320" s="200"/>
      <c r="H320" s="200"/>
      <c r="I320" s="377"/>
      <c r="J320" s="366"/>
      <c r="K320" s="374"/>
      <c r="L320" s="366"/>
      <c r="M320" s="375"/>
      <c r="N320" s="376"/>
      <c r="O320" s="376"/>
      <c r="P320" s="376"/>
      <c r="Q320" s="376"/>
      <c r="R320" s="376"/>
      <c r="S320" s="376"/>
      <c r="T320" s="376"/>
      <c r="U320" s="376"/>
      <c r="V320" s="376"/>
    </row>
    <row r="321" spans="1:22">
      <c r="A321" s="200"/>
      <c r="B321" s="200"/>
      <c r="C321" s="373"/>
      <c r="D321" s="200"/>
      <c r="E321" s="200"/>
      <c r="F321" s="200"/>
      <c r="G321" s="200"/>
      <c r="H321" s="200"/>
      <c r="I321" s="377"/>
      <c r="J321" s="366"/>
      <c r="K321" s="374"/>
      <c r="L321" s="366"/>
      <c r="M321" s="375"/>
      <c r="N321" s="376"/>
      <c r="O321" s="376"/>
      <c r="P321" s="376"/>
      <c r="Q321" s="376"/>
      <c r="R321" s="376"/>
      <c r="S321" s="376"/>
      <c r="T321" s="376"/>
      <c r="U321" s="376"/>
      <c r="V321" s="376"/>
    </row>
    <row r="322" spans="1:22">
      <c r="A322" s="200"/>
      <c r="B322" s="200"/>
      <c r="C322" s="373"/>
      <c r="D322" s="200"/>
      <c r="E322" s="200"/>
      <c r="F322" s="200"/>
      <c r="G322" s="200"/>
      <c r="H322" s="200"/>
      <c r="I322" s="377"/>
      <c r="J322" s="366"/>
      <c r="K322" s="374"/>
      <c r="L322" s="366"/>
      <c r="M322" s="375"/>
      <c r="N322" s="376"/>
      <c r="O322" s="376"/>
      <c r="P322" s="376"/>
      <c r="Q322" s="376"/>
      <c r="R322" s="376"/>
      <c r="S322" s="376"/>
      <c r="T322" s="376"/>
      <c r="U322" s="376"/>
      <c r="V322" s="376"/>
    </row>
    <row r="323" spans="1:22">
      <c r="A323" s="200"/>
      <c r="B323" s="200"/>
      <c r="C323" s="373"/>
      <c r="D323" s="200"/>
      <c r="E323" s="200"/>
      <c r="F323" s="200"/>
      <c r="G323" s="200"/>
      <c r="H323" s="200"/>
      <c r="I323" s="377"/>
      <c r="J323" s="366"/>
      <c r="K323" s="374"/>
      <c r="L323" s="366"/>
      <c r="M323" s="375"/>
      <c r="N323" s="376"/>
      <c r="O323" s="376"/>
      <c r="P323" s="376"/>
      <c r="Q323" s="376"/>
      <c r="R323" s="376"/>
      <c r="S323" s="376"/>
      <c r="T323" s="376"/>
      <c r="U323" s="376"/>
      <c r="V323" s="376"/>
    </row>
    <row r="324" spans="1:22">
      <c r="A324" s="200"/>
      <c r="B324" s="200"/>
      <c r="C324" s="373"/>
      <c r="D324" s="200"/>
      <c r="E324" s="200"/>
      <c r="F324" s="200"/>
      <c r="G324" s="200"/>
      <c r="H324" s="200"/>
      <c r="I324" s="377"/>
      <c r="J324" s="366"/>
      <c r="K324" s="374"/>
      <c r="L324" s="366"/>
      <c r="M324" s="375"/>
      <c r="N324" s="376"/>
      <c r="O324" s="376"/>
      <c r="P324" s="376"/>
      <c r="Q324" s="376"/>
      <c r="R324" s="376"/>
      <c r="S324" s="376"/>
      <c r="T324" s="376"/>
      <c r="U324" s="376"/>
      <c r="V324" s="376"/>
    </row>
    <row r="325" spans="1:22">
      <c r="A325" s="200"/>
      <c r="B325" s="200"/>
      <c r="C325" s="373"/>
      <c r="D325" s="200"/>
      <c r="E325" s="200"/>
      <c r="F325" s="200"/>
      <c r="G325" s="200"/>
      <c r="H325" s="200"/>
      <c r="I325" s="377"/>
      <c r="J325" s="366"/>
      <c r="K325" s="374"/>
      <c r="L325" s="366"/>
      <c r="M325" s="375"/>
      <c r="N325" s="376"/>
      <c r="O325" s="376"/>
      <c r="P325" s="376"/>
      <c r="Q325" s="376"/>
      <c r="R325" s="376"/>
      <c r="S325" s="376"/>
      <c r="T325" s="376"/>
      <c r="U325" s="376"/>
      <c r="V325" s="376"/>
    </row>
    <row r="326" spans="1:22">
      <c r="A326" s="200"/>
      <c r="B326" s="200"/>
      <c r="C326" s="373"/>
      <c r="D326" s="200"/>
      <c r="E326" s="200"/>
      <c r="F326" s="200"/>
      <c r="G326" s="200"/>
      <c r="H326" s="200"/>
      <c r="I326" s="377"/>
      <c r="J326" s="366"/>
      <c r="K326" s="374"/>
      <c r="L326" s="366"/>
      <c r="M326" s="375"/>
      <c r="N326" s="376"/>
      <c r="O326" s="376"/>
      <c r="P326" s="376"/>
      <c r="Q326" s="376"/>
      <c r="R326" s="376"/>
      <c r="S326" s="376"/>
      <c r="T326" s="376"/>
      <c r="U326" s="376"/>
      <c r="V326" s="376"/>
    </row>
    <row r="327" spans="1:22">
      <c r="A327" s="200"/>
      <c r="B327" s="200"/>
      <c r="C327" s="373"/>
      <c r="D327" s="200"/>
      <c r="E327" s="200"/>
      <c r="F327" s="200"/>
      <c r="G327" s="200"/>
      <c r="H327" s="200"/>
      <c r="I327" s="377"/>
      <c r="J327" s="366"/>
      <c r="K327" s="374"/>
      <c r="L327" s="366"/>
      <c r="M327" s="375"/>
      <c r="N327" s="376"/>
      <c r="O327" s="376"/>
      <c r="P327" s="376"/>
      <c r="Q327" s="376"/>
      <c r="R327" s="376"/>
      <c r="S327" s="376"/>
      <c r="T327" s="376"/>
      <c r="U327" s="376"/>
      <c r="V327" s="376"/>
    </row>
    <row r="328" spans="1:22">
      <c r="A328" s="200"/>
      <c r="B328" s="200"/>
      <c r="C328" s="373"/>
      <c r="D328" s="200"/>
      <c r="E328" s="200"/>
      <c r="F328" s="200"/>
      <c r="G328" s="200"/>
      <c r="H328" s="200"/>
      <c r="I328" s="377"/>
      <c r="J328" s="366"/>
      <c r="K328" s="374"/>
      <c r="L328" s="366"/>
      <c r="M328" s="375"/>
      <c r="N328" s="376"/>
      <c r="O328" s="376"/>
      <c r="P328" s="376"/>
      <c r="Q328" s="376"/>
      <c r="R328" s="376"/>
      <c r="S328" s="376"/>
      <c r="T328" s="376"/>
      <c r="U328" s="376"/>
      <c r="V328" s="376"/>
    </row>
    <row r="329" spans="1:22">
      <c r="A329" s="200"/>
      <c r="B329" s="200"/>
      <c r="C329" s="373"/>
      <c r="D329" s="200"/>
      <c r="E329" s="200"/>
      <c r="F329" s="200"/>
      <c r="G329" s="200"/>
      <c r="H329" s="200"/>
      <c r="I329" s="377"/>
      <c r="J329" s="366"/>
      <c r="K329" s="374"/>
      <c r="L329" s="366"/>
      <c r="M329" s="375"/>
      <c r="N329" s="376"/>
      <c r="O329" s="376"/>
      <c r="P329" s="376"/>
      <c r="Q329" s="376"/>
      <c r="R329" s="376"/>
      <c r="S329" s="376"/>
      <c r="T329" s="376"/>
      <c r="U329" s="376"/>
      <c r="V329" s="376"/>
    </row>
    <row r="330" spans="1:22">
      <c r="A330" s="200"/>
      <c r="B330" s="200"/>
      <c r="C330" s="373"/>
      <c r="D330" s="200"/>
      <c r="E330" s="200"/>
      <c r="F330" s="200"/>
      <c r="G330" s="200"/>
      <c r="H330" s="200"/>
      <c r="I330" s="377"/>
      <c r="J330" s="366"/>
      <c r="K330" s="374"/>
      <c r="L330" s="366"/>
      <c r="M330" s="375"/>
      <c r="N330" s="376"/>
      <c r="O330" s="376"/>
      <c r="P330" s="376"/>
      <c r="Q330" s="376"/>
      <c r="R330" s="376"/>
      <c r="S330" s="376"/>
      <c r="T330" s="376"/>
      <c r="U330" s="376"/>
      <c r="V330" s="376"/>
    </row>
    <row r="331" spans="1:22">
      <c r="A331" s="200"/>
      <c r="B331" s="200"/>
      <c r="C331" s="373"/>
      <c r="D331" s="200"/>
      <c r="E331" s="200"/>
      <c r="F331" s="200"/>
      <c r="G331" s="200"/>
      <c r="H331" s="200"/>
      <c r="I331" s="377"/>
      <c r="J331" s="366"/>
      <c r="K331" s="374"/>
      <c r="L331" s="366"/>
      <c r="M331" s="375"/>
      <c r="N331" s="376"/>
      <c r="O331" s="376"/>
      <c r="P331" s="376"/>
      <c r="Q331" s="376"/>
      <c r="R331" s="376"/>
      <c r="S331" s="376"/>
      <c r="T331" s="376"/>
      <c r="U331" s="376"/>
      <c r="V331" s="376"/>
    </row>
    <row r="332" spans="1:22">
      <c r="A332" s="200"/>
      <c r="B332" s="200"/>
      <c r="C332" s="373"/>
      <c r="D332" s="200"/>
      <c r="E332" s="200"/>
      <c r="F332" s="200"/>
      <c r="G332" s="200"/>
      <c r="H332" s="200"/>
      <c r="I332" s="377"/>
      <c r="J332" s="366"/>
      <c r="K332" s="374"/>
      <c r="L332" s="366"/>
      <c r="M332" s="375"/>
      <c r="N332" s="376"/>
      <c r="O332" s="376"/>
      <c r="P332" s="376"/>
      <c r="Q332" s="376"/>
      <c r="R332" s="376"/>
      <c r="S332" s="376"/>
      <c r="T332" s="376"/>
      <c r="U332" s="376"/>
      <c r="V332" s="376"/>
    </row>
    <row r="333" spans="1:22">
      <c r="A333" s="200"/>
      <c r="B333" s="200"/>
      <c r="C333" s="373"/>
      <c r="D333" s="200"/>
      <c r="E333" s="200"/>
      <c r="F333" s="200"/>
      <c r="G333" s="200"/>
      <c r="H333" s="200"/>
      <c r="I333" s="377"/>
      <c r="J333" s="366"/>
      <c r="K333" s="374"/>
      <c r="L333" s="366"/>
      <c r="M333" s="375"/>
      <c r="N333" s="376"/>
      <c r="O333" s="376"/>
      <c r="P333" s="376"/>
      <c r="Q333" s="376"/>
      <c r="R333" s="376"/>
      <c r="S333" s="376"/>
      <c r="T333" s="376"/>
      <c r="U333" s="376"/>
      <c r="V333" s="376"/>
    </row>
    <row r="334" spans="1:22">
      <c r="A334" s="200"/>
      <c r="B334" s="200"/>
      <c r="C334" s="373"/>
      <c r="D334" s="200"/>
      <c r="E334" s="200"/>
      <c r="F334" s="200"/>
      <c r="G334" s="200"/>
      <c r="H334" s="200"/>
      <c r="I334" s="377"/>
      <c r="J334" s="366"/>
      <c r="K334" s="374"/>
      <c r="L334" s="366"/>
      <c r="M334" s="375"/>
      <c r="N334" s="376"/>
      <c r="O334" s="376"/>
      <c r="P334" s="376"/>
      <c r="Q334" s="376"/>
      <c r="R334" s="376"/>
      <c r="S334" s="376"/>
      <c r="T334" s="376"/>
      <c r="U334" s="376"/>
      <c r="V334" s="376"/>
    </row>
    <row r="335" spans="1:22">
      <c r="A335" s="200"/>
      <c r="B335" s="200"/>
      <c r="C335" s="373"/>
      <c r="D335" s="200"/>
      <c r="E335" s="200"/>
      <c r="F335" s="200"/>
      <c r="G335" s="200"/>
      <c r="H335" s="200"/>
      <c r="I335" s="377"/>
      <c r="J335" s="366"/>
      <c r="K335" s="374"/>
      <c r="L335" s="366"/>
      <c r="M335" s="375"/>
      <c r="N335" s="376"/>
      <c r="O335" s="376"/>
      <c r="P335" s="376"/>
      <c r="Q335" s="376"/>
      <c r="R335" s="376"/>
      <c r="S335" s="376"/>
      <c r="T335" s="376"/>
      <c r="U335" s="376"/>
      <c r="V335" s="376"/>
    </row>
    <row r="336" spans="1:22">
      <c r="A336" s="200"/>
      <c r="B336" s="200"/>
      <c r="C336" s="373"/>
      <c r="D336" s="200"/>
      <c r="E336" s="200"/>
      <c r="F336" s="200"/>
      <c r="G336" s="200"/>
      <c r="H336" s="200"/>
      <c r="I336" s="377"/>
      <c r="J336" s="366"/>
      <c r="K336" s="374"/>
      <c r="L336" s="366"/>
      <c r="M336" s="375"/>
      <c r="N336" s="376"/>
      <c r="O336" s="376"/>
      <c r="P336" s="376"/>
      <c r="Q336" s="376"/>
      <c r="R336" s="376"/>
      <c r="S336" s="376"/>
      <c r="T336" s="376"/>
      <c r="U336" s="376"/>
      <c r="V336" s="376"/>
    </row>
    <row r="337" spans="1:22">
      <c r="A337" s="200"/>
      <c r="B337" s="200"/>
      <c r="C337" s="373"/>
      <c r="D337" s="200"/>
      <c r="E337" s="200"/>
      <c r="F337" s="200"/>
      <c r="G337" s="200"/>
      <c r="H337" s="200"/>
      <c r="I337" s="377"/>
      <c r="J337" s="366"/>
      <c r="K337" s="374"/>
      <c r="L337" s="366"/>
      <c r="M337" s="375"/>
      <c r="N337" s="376"/>
      <c r="O337" s="376"/>
      <c r="P337" s="376"/>
      <c r="Q337" s="376"/>
      <c r="R337" s="376"/>
      <c r="S337" s="376"/>
      <c r="T337" s="376"/>
      <c r="U337" s="376"/>
      <c r="V337" s="376"/>
    </row>
    <row r="338" spans="1:22">
      <c r="A338" s="200"/>
      <c r="B338" s="200"/>
      <c r="C338" s="373"/>
      <c r="D338" s="200"/>
      <c r="E338" s="200"/>
      <c r="F338" s="200"/>
      <c r="G338" s="200"/>
      <c r="H338" s="200"/>
      <c r="I338" s="377"/>
      <c r="J338" s="366"/>
      <c r="K338" s="374"/>
      <c r="L338" s="366"/>
      <c r="M338" s="375"/>
      <c r="N338" s="376"/>
      <c r="O338" s="376"/>
      <c r="P338" s="376"/>
      <c r="Q338" s="376"/>
      <c r="R338" s="376"/>
      <c r="S338" s="376"/>
      <c r="T338" s="376"/>
      <c r="U338" s="376"/>
      <c r="V338" s="376"/>
    </row>
    <row r="339" spans="1:22">
      <c r="A339" s="200"/>
      <c r="B339" s="200"/>
      <c r="C339" s="373"/>
      <c r="D339" s="200"/>
      <c r="E339" s="200"/>
      <c r="F339" s="200"/>
      <c r="G339" s="200"/>
      <c r="H339" s="200"/>
      <c r="I339" s="377"/>
      <c r="J339" s="366"/>
      <c r="K339" s="374"/>
      <c r="L339" s="366"/>
      <c r="M339" s="375"/>
      <c r="N339" s="376"/>
      <c r="O339" s="376"/>
      <c r="P339" s="376"/>
      <c r="Q339" s="376"/>
      <c r="R339" s="376"/>
      <c r="S339" s="376"/>
      <c r="T339" s="376"/>
      <c r="U339" s="376"/>
      <c r="V339" s="376"/>
    </row>
    <row r="340" spans="1:22">
      <c r="A340" s="200"/>
      <c r="B340" s="200"/>
      <c r="C340" s="373"/>
      <c r="D340" s="200"/>
      <c r="E340" s="200"/>
      <c r="F340" s="200"/>
      <c r="G340" s="200"/>
      <c r="H340" s="200"/>
      <c r="I340" s="377"/>
      <c r="J340" s="366"/>
      <c r="K340" s="374"/>
      <c r="L340" s="366"/>
      <c r="M340" s="375"/>
      <c r="N340" s="376"/>
      <c r="O340" s="376"/>
      <c r="P340" s="376"/>
      <c r="Q340" s="376"/>
      <c r="R340" s="376"/>
      <c r="S340" s="376"/>
      <c r="T340" s="376"/>
      <c r="U340" s="376"/>
      <c r="V340" s="376"/>
    </row>
    <row r="341" spans="1:22">
      <c r="A341" s="200"/>
      <c r="B341" s="200"/>
      <c r="C341" s="373"/>
      <c r="D341" s="200"/>
      <c r="E341" s="200"/>
      <c r="F341" s="200"/>
      <c r="G341" s="200"/>
      <c r="H341" s="200"/>
      <c r="I341" s="377"/>
      <c r="J341" s="366"/>
      <c r="K341" s="374"/>
      <c r="L341" s="366"/>
      <c r="M341" s="375"/>
      <c r="N341" s="376"/>
      <c r="O341" s="376"/>
      <c r="P341" s="376"/>
      <c r="Q341" s="376"/>
      <c r="R341" s="376"/>
      <c r="S341" s="376"/>
      <c r="T341" s="376"/>
      <c r="U341" s="376"/>
      <c r="V341" s="376"/>
    </row>
    <row r="342" spans="1:22">
      <c r="A342" s="200"/>
      <c r="B342" s="200"/>
      <c r="C342" s="373"/>
      <c r="D342" s="200"/>
      <c r="E342" s="200"/>
      <c r="F342" s="200"/>
      <c r="G342" s="200"/>
      <c r="H342" s="200"/>
      <c r="I342" s="377"/>
      <c r="J342" s="366"/>
      <c r="K342" s="374"/>
      <c r="L342" s="366"/>
      <c r="M342" s="375"/>
      <c r="N342" s="376"/>
      <c r="O342" s="376"/>
      <c r="P342" s="376"/>
      <c r="Q342" s="376"/>
      <c r="R342" s="376"/>
      <c r="S342" s="376"/>
      <c r="T342" s="376"/>
      <c r="U342" s="376"/>
      <c r="V342" s="376"/>
    </row>
    <row r="343" spans="1:22">
      <c r="A343" s="200"/>
      <c r="B343" s="200"/>
      <c r="C343" s="373"/>
      <c r="D343" s="200"/>
      <c r="E343" s="200"/>
      <c r="F343" s="200"/>
      <c r="G343" s="200"/>
      <c r="H343" s="200"/>
      <c r="I343" s="377"/>
      <c r="J343" s="366"/>
      <c r="K343" s="374"/>
      <c r="L343" s="366"/>
      <c r="M343" s="375"/>
      <c r="N343" s="376"/>
      <c r="O343" s="376"/>
      <c r="P343" s="376"/>
      <c r="Q343" s="376"/>
      <c r="R343" s="376"/>
      <c r="S343" s="376"/>
      <c r="T343" s="376"/>
      <c r="U343" s="376"/>
      <c r="V343" s="376"/>
    </row>
    <row r="344" spans="1:22">
      <c r="A344" s="200"/>
      <c r="B344" s="200"/>
      <c r="C344" s="373"/>
      <c r="D344" s="200"/>
      <c r="E344" s="200"/>
      <c r="F344" s="200"/>
      <c r="G344" s="200"/>
      <c r="H344" s="200"/>
      <c r="I344" s="377"/>
      <c r="J344" s="366"/>
      <c r="K344" s="374"/>
      <c r="L344" s="366"/>
      <c r="M344" s="375"/>
      <c r="N344" s="376"/>
      <c r="O344" s="376"/>
      <c r="P344" s="376"/>
      <c r="Q344" s="376"/>
      <c r="R344" s="376"/>
      <c r="S344" s="376"/>
      <c r="T344" s="376"/>
      <c r="U344" s="376"/>
      <c r="V344" s="376"/>
    </row>
    <row r="345" spans="1:22">
      <c r="A345" s="200"/>
      <c r="B345" s="200"/>
      <c r="C345" s="373"/>
      <c r="D345" s="200"/>
      <c r="E345" s="200"/>
      <c r="F345" s="200"/>
      <c r="G345" s="200"/>
      <c r="H345" s="200"/>
      <c r="I345" s="377"/>
      <c r="J345" s="366"/>
      <c r="K345" s="374"/>
      <c r="L345" s="366"/>
      <c r="M345" s="375"/>
      <c r="N345" s="376"/>
      <c r="O345" s="376"/>
      <c r="P345" s="376"/>
      <c r="Q345" s="376"/>
      <c r="R345" s="376"/>
      <c r="S345" s="376"/>
      <c r="T345" s="376"/>
      <c r="U345" s="376"/>
      <c r="V345" s="376"/>
    </row>
    <row r="346" spans="1:22">
      <c r="A346" s="200"/>
      <c r="B346" s="200"/>
      <c r="C346" s="373"/>
      <c r="D346" s="200"/>
      <c r="E346" s="200"/>
      <c r="F346" s="200"/>
      <c r="G346" s="200"/>
      <c r="H346" s="200"/>
      <c r="I346" s="377"/>
      <c r="J346" s="366"/>
      <c r="K346" s="374"/>
      <c r="L346" s="366"/>
      <c r="M346" s="375"/>
      <c r="N346" s="376"/>
      <c r="O346" s="376"/>
      <c r="P346" s="376"/>
      <c r="Q346" s="376"/>
      <c r="R346" s="376"/>
      <c r="S346" s="376"/>
      <c r="T346" s="376"/>
      <c r="U346" s="376"/>
      <c r="V346" s="376"/>
    </row>
    <row r="347" spans="1:22">
      <c r="A347" s="200"/>
      <c r="B347" s="200"/>
      <c r="C347" s="373"/>
      <c r="D347" s="200"/>
      <c r="E347" s="200"/>
      <c r="F347" s="200"/>
      <c r="G347" s="200"/>
      <c r="H347" s="200"/>
      <c r="I347" s="377"/>
      <c r="J347" s="366"/>
      <c r="K347" s="374"/>
      <c r="L347" s="366"/>
      <c r="M347" s="375"/>
      <c r="N347" s="376"/>
      <c r="O347" s="376"/>
      <c r="P347" s="376"/>
      <c r="Q347" s="376"/>
      <c r="R347" s="376"/>
      <c r="S347" s="376"/>
      <c r="T347" s="376"/>
      <c r="U347" s="376"/>
      <c r="V347" s="376"/>
    </row>
    <row r="348" spans="1:22">
      <c r="A348" s="200"/>
      <c r="B348" s="200"/>
      <c r="C348" s="373"/>
      <c r="D348" s="200"/>
      <c r="E348" s="200"/>
      <c r="F348" s="200"/>
      <c r="G348" s="200"/>
      <c r="H348" s="200"/>
      <c r="I348" s="377"/>
      <c r="J348" s="366"/>
      <c r="K348" s="374"/>
      <c r="L348" s="366"/>
      <c r="M348" s="375"/>
      <c r="N348" s="376"/>
      <c r="O348" s="376"/>
      <c r="P348" s="376"/>
      <c r="Q348" s="376"/>
      <c r="R348" s="376"/>
      <c r="S348" s="376"/>
      <c r="T348" s="376"/>
      <c r="U348" s="376"/>
      <c r="V348" s="376"/>
    </row>
    <row r="349" spans="1:22">
      <c r="A349" s="200"/>
      <c r="B349" s="200"/>
      <c r="C349" s="373"/>
      <c r="D349" s="200"/>
      <c r="E349" s="200"/>
      <c r="F349" s="200"/>
      <c r="G349" s="200"/>
      <c r="H349" s="200"/>
      <c r="I349" s="377"/>
      <c r="J349" s="366"/>
      <c r="K349" s="374"/>
      <c r="L349" s="366"/>
      <c r="M349" s="375"/>
      <c r="N349" s="376"/>
      <c r="O349" s="376"/>
      <c r="P349" s="376"/>
      <c r="Q349" s="376"/>
      <c r="R349" s="376"/>
      <c r="S349" s="376"/>
      <c r="T349" s="376"/>
      <c r="U349" s="376"/>
      <c r="V349" s="376"/>
    </row>
    <row r="350" spans="1:22">
      <c r="A350" s="200"/>
      <c r="B350" s="200"/>
      <c r="C350" s="373"/>
      <c r="D350" s="200"/>
      <c r="E350" s="200"/>
      <c r="F350" s="200"/>
      <c r="G350" s="200"/>
      <c r="H350" s="200"/>
      <c r="I350" s="377"/>
      <c r="J350" s="366"/>
      <c r="K350" s="374"/>
      <c r="L350" s="366"/>
      <c r="M350" s="375"/>
      <c r="N350" s="376"/>
      <c r="O350" s="376"/>
      <c r="P350" s="376"/>
      <c r="Q350" s="376"/>
      <c r="R350" s="376"/>
      <c r="S350" s="376"/>
      <c r="T350" s="376"/>
      <c r="U350" s="376"/>
      <c r="V350" s="376"/>
    </row>
    <row r="351" spans="1:22">
      <c r="A351" s="200"/>
      <c r="B351" s="200"/>
      <c r="C351" s="373"/>
      <c r="D351" s="200"/>
      <c r="E351" s="200"/>
      <c r="F351" s="200"/>
      <c r="G351" s="200"/>
      <c r="H351" s="200"/>
      <c r="I351" s="377"/>
      <c r="J351" s="366"/>
      <c r="K351" s="374"/>
      <c r="L351" s="366"/>
      <c r="M351" s="375"/>
      <c r="N351" s="376"/>
      <c r="O351" s="376"/>
      <c r="P351" s="376"/>
      <c r="Q351" s="376"/>
      <c r="R351" s="376"/>
      <c r="S351" s="376"/>
      <c r="T351" s="376"/>
      <c r="U351" s="376"/>
      <c r="V351" s="376"/>
    </row>
    <row r="352" spans="1:22">
      <c r="A352" s="200"/>
      <c r="B352" s="200"/>
      <c r="C352" s="373"/>
      <c r="D352" s="200"/>
      <c r="E352" s="200"/>
      <c r="F352" s="200"/>
      <c r="G352" s="200"/>
      <c r="H352" s="200"/>
      <c r="I352" s="377"/>
      <c r="J352" s="366"/>
      <c r="K352" s="374"/>
      <c r="L352" s="366"/>
      <c r="M352" s="375"/>
      <c r="N352" s="376"/>
      <c r="O352" s="376"/>
      <c r="P352" s="376"/>
      <c r="Q352" s="376"/>
      <c r="R352" s="376"/>
      <c r="S352" s="376"/>
      <c r="T352" s="376"/>
      <c r="U352" s="376"/>
      <c r="V352" s="376"/>
    </row>
    <row r="353" spans="1:22">
      <c r="A353" s="200"/>
      <c r="B353" s="200"/>
      <c r="C353" s="373"/>
      <c r="D353" s="200"/>
      <c r="E353" s="200"/>
      <c r="F353" s="200"/>
      <c r="G353" s="200"/>
      <c r="H353" s="200"/>
      <c r="I353" s="377"/>
      <c r="J353" s="366"/>
      <c r="K353" s="374"/>
      <c r="L353" s="366"/>
      <c r="M353" s="375"/>
      <c r="N353" s="376"/>
      <c r="O353" s="376"/>
      <c r="P353" s="376"/>
      <c r="Q353" s="376"/>
      <c r="R353" s="376"/>
      <c r="S353" s="376"/>
      <c r="T353" s="376"/>
      <c r="U353" s="376"/>
      <c r="V353" s="376"/>
    </row>
    <row r="354" spans="1:22">
      <c r="A354" s="200"/>
      <c r="B354" s="200"/>
      <c r="C354" s="373"/>
      <c r="D354" s="200"/>
      <c r="E354" s="200"/>
      <c r="F354" s="200"/>
      <c r="G354" s="200"/>
      <c r="H354" s="200"/>
      <c r="I354" s="377"/>
      <c r="J354" s="366"/>
      <c r="K354" s="374"/>
      <c r="L354" s="366"/>
      <c r="M354" s="375"/>
      <c r="N354" s="376"/>
      <c r="O354" s="376"/>
      <c r="P354" s="376"/>
      <c r="Q354" s="376"/>
      <c r="R354" s="376"/>
      <c r="S354" s="376"/>
      <c r="T354" s="376"/>
      <c r="U354" s="376"/>
      <c r="V354" s="376"/>
    </row>
    <row r="355" spans="1:22">
      <c r="A355" s="200"/>
      <c r="B355" s="200"/>
      <c r="C355" s="373"/>
      <c r="D355" s="200"/>
      <c r="E355" s="200"/>
      <c r="F355" s="200"/>
      <c r="G355" s="200"/>
      <c r="H355" s="200"/>
      <c r="I355" s="377"/>
      <c r="J355" s="366"/>
      <c r="K355" s="374"/>
      <c r="L355" s="366"/>
      <c r="M355" s="375"/>
      <c r="N355" s="376"/>
      <c r="O355" s="376"/>
      <c r="P355" s="376"/>
      <c r="Q355" s="376"/>
      <c r="R355" s="376"/>
      <c r="S355" s="376"/>
      <c r="T355" s="376"/>
      <c r="U355" s="376"/>
      <c r="V355" s="376"/>
    </row>
    <row r="356" spans="1:22">
      <c r="A356" s="200"/>
      <c r="B356" s="200"/>
      <c r="C356" s="373"/>
      <c r="D356" s="200"/>
      <c r="E356" s="200"/>
      <c r="F356" s="200"/>
      <c r="G356" s="200"/>
      <c r="H356" s="200"/>
      <c r="I356" s="377"/>
      <c r="J356" s="366"/>
      <c r="K356" s="374"/>
      <c r="L356" s="366"/>
      <c r="M356" s="375"/>
      <c r="N356" s="376"/>
      <c r="O356" s="376"/>
      <c r="P356" s="376"/>
      <c r="Q356" s="376"/>
      <c r="R356" s="376"/>
      <c r="S356" s="376"/>
      <c r="T356" s="376"/>
      <c r="U356" s="376"/>
      <c r="V356" s="376"/>
    </row>
    <row r="357" spans="1:22">
      <c r="A357" s="200"/>
      <c r="B357" s="200"/>
      <c r="C357" s="373"/>
      <c r="D357" s="200"/>
      <c r="E357" s="200"/>
      <c r="F357" s="200"/>
      <c r="G357" s="200"/>
      <c r="H357" s="200"/>
      <c r="I357" s="377"/>
      <c r="J357" s="366"/>
      <c r="K357" s="374"/>
      <c r="L357" s="366"/>
      <c r="M357" s="375"/>
      <c r="N357" s="376"/>
      <c r="O357" s="376"/>
      <c r="P357" s="376"/>
      <c r="Q357" s="376"/>
      <c r="R357" s="376"/>
      <c r="S357" s="376"/>
      <c r="T357" s="376"/>
      <c r="U357" s="376"/>
      <c r="V357" s="376"/>
    </row>
    <row r="358" spans="1:22">
      <c r="A358" s="200"/>
      <c r="B358" s="200"/>
      <c r="C358" s="373"/>
      <c r="D358" s="200"/>
      <c r="E358" s="200"/>
      <c r="F358" s="200"/>
      <c r="G358" s="200"/>
      <c r="H358" s="200"/>
      <c r="I358" s="377"/>
      <c r="J358" s="366"/>
      <c r="K358" s="374"/>
      <c r="L358" s="366"/>
      <c r="M358" s="375"/>
      <c r="N358" s="376"/>
      <c r="O358" s="376"/>
      <c r="P358" s="376"/>
      <c r="Q358" s="376"/>
      <c r="R358" s="376"/>
      <c r="S358" s="376"/>
      <c r="T358" s="376"/>
      <c r="U358" s="376"/>
      <c r="V358" s="376"/>
    </row>
    <row r="359" spans="1:22">
      <c r="A359" s="200"/>
      <c r="B359" s="200"/>
      <c r="C359" s="373"/>
      <c r="D359" s="200"/>
      <c r="E359" s="200"/>
      <c r="F359" s="200"/>
      <c r="G359" s="200"/>
      <c r="H359" s="200"/>
      <c r="I359" s="377"/>
      <c r="J359" s="366"/>
      <c r="K359" s="374"/>
      <c r="L359" s="366"/>
      <c r="M359" s="375"/>
      <c r="N359" s="376"/>
      <c r="O359" s="376"/>
      <c r="P359" s="376"/>
      <c r="Q359" s="376"/>
      <c r="R359" s="376"/>
      <c r="S359" s="376"/>
      <c r="T359" s="376"/>
      <c r="U359" s="376"/>
      <c r="V359" s="376"/>
    </row>
    <row r="360" spans="1:22">
      <c r="A360" s="200"/>
      <c r="B360" s="200"/>
      <c r="C360" s="373"/>
      <c r="D360" s="200"/>
      <c r="E360" s="200"/>
      <c r="F360" s="200"/>
      <c r="G360" s="200"/>
      <c r="H360" s="200"/>
      <c r="I360" s="377"/>
      <c r="J360" s="366"/>
      <c r="K360" s="374"/>
      <c r="L360" s="366"/>
      <c r="M360" s="375"/>
      <c r="N360" s="376"/>
      <c r="O360" s="376"/>
      <c r="P360" s="376"/>
      <c r="Q360" s="376"/>
      <c r="R360" s="376"/>
      <c r="S360" s="376"/>
      <c r="T360" s="376"/>
      <c r="U360" s="376"/>
      <c r="V360" s="376"/>
    </row>
    <row r="361" spans="1:22">
      <c r="A361" s="200"/>
      <c r="B361" s="200"/>
      <c r="C361" s="373"/>
      <c r="D361" s="200"/>
      <c r="E361" s="200"/>
      <c r="F361" s="200"/>
      <c r="G361" s="200"/>
      <c r="H361" s="200"/>
      <c r="I361" s="377"/>
      <c r="J361" s="366"/>
      <c r="K361" s="374"/>
      <c r="L361" s="366"/>
      <c r="M361" s="375"/>
      <c r="N361" s="376"/>
      <c r="O361" s="376"/>
      <c r="P361" s="376"/>
      <c r="Q361" s="376"/>
      <c r="R361" s="376"/>
      <c r="S361" s="376"/>
      <c r="T361" s="376"/>
      <c r="U361" s="376"/>
      <c r="V361" s="376"/>
    </row>
    <row r="362" spans="1:22">
      <c r="A362" s="200"/>
      <c r="B362" s="200"/>
      <c r="C362" s="373"/>
      <c r="D362" s="200"/>
      <c r="E362" s="200"/>
      <c r="F362" s="200"/>
      <c r="G362" s="200"/>
      <c r="H362" s="200"/>
      <c r="I362" s="377"/>
      <c r="J362" s="366"/>
      <c r="K362" s="374"/>
      <c r="L362" s="366"/>
      <c r="M362" s="375"/>
      <c r="N362" s="376"/>
      <c r="O362" s="376"/>
      <c r="P362" s="376"/>
      <c r="Q362" s="376"/>
      <c r="R362" s="376"/>
      <c r="S362" s="376"/>
      <c r="T362" s="376"/>
      <c r="U362" s="376"/>
      <c r="V362" s="376"/>
    </row>
    <row r="363" spans="1:22">
      <c r="A363" s="200"/>
      <c r="B363" s="200"/>
      <c r="C363" s="373"/>
      <c r="D363" s="200"/>
      <c r="E363" s="200"/>
      <c r="F363" s="200"/>
      <c r="G363" s="200"/>
      <c r="H363" s="200"/>
      <c r="I363" s="377"/>
      <c r="J363" s="366"/>
      <c r="K363" s="374"/>
      <c r="L363" s="366"/>
      <c r="M363" s="375"/>
      <c r="N363" s="376"/>
      <c r="O363" s="376"/>
      <c r="P363" s="376"/>
      <c r="Q363" s="376"/>
      <c r="R363" s="376"/>
      <c r="S363" s="376"/>
      <c r="T363" s="376"/>
      <c r="U363" s="376"/>
      <c r="V363" s="376"/>
    </row>
    <row r="364" spans="1:22">
      <c r="A364" s="200"/>
      <c r="B364" s="200"/>
      <c r="C364" s="373"/>
      <c r="D364" s="200"/>
      <c r="E364" s="200"/>
      <c r="F364" s="200"/>
      <c r="G364" s="200"/>
      <c r="H364" s="200"/>
      <c r="I364" s="377"/>
      <c r="J364" s="366"/>
      <c r="K364" s="374"/>
      <c r="L364" s="366"/>
      <c r="M364" s="375"/>
      <c r="N364" s="376"/>
      <c r="O364" s="376"/>
      <c r="P364" s="376"/>
      <c r="Q364" s="376"/>
      <c r="R364" s="376"/>
      <c r="S364" s="376"/>
      <c r="T364" s="376"/>
      <c r="U364" s="376"/>
      <c r="V364" s="376"/>
    </row>
    <row r="365" spans="1:22">
      <c r="A365" s="200"/>
      <c r="B365" s="200"/>
      <c r="C365" s="373"/>
      <c r="D365" s="200"/>
      <c r="E365" s="200"/>
      <c r="F365" s="200"/>
      <c r="G365" s="200"/>
      <c r="H365" s="200"/>
      <c r="I365" s="377"/>
      <c r="J365" s="366"/>
      <c r="K365" s="374"/>
      <c r="L365" s="366"/>
      <c r="M365" s="375"/>
      <c r="N365" s="376"/>
      <c r="O365" s="376"/>
      <c r="P365" s="376"/>
      <c r="Q365" s="376"/>
      <c r="R365" s="376"/>
      <c r="S365" s="376"/>
      <c r="T365" s="376"/>
      <c r="U365" s="376"/>
      <c r="V365" s="376"/>
    </row>
    <row r="366" spans="1:22">
      <c r="A366" s="200"/>
      <c r="B366" s="200"/>
      <c r="C366" s="373"/>
      <c r="D366" s="200"/>
      <c r="E366" s="200"/>
      <c r="F366" s="200"/>
      <c r="G366" s="200"/>
      <c r="H366" s="200"/>
      <c r="I366" s="377"/>
      <c r="J366" s="366"/>
      <c r="K366" s="374"/>
      <c r="L366" s="366"/>
      <c r="M366" s="375"/>
      <c r="N366" s="376"/>
      <c r="O366" s="376"/>
      <c r="P366" s="376"/>
      <c r="Q366" s="376"/>
      <c r="R366" s="376"/>
      <c r="S366" s="376"/>
      <c r="T366" s="376"/>
      <c r="U366" s="376"/>
      <c r="V366" s="376"/>
    </row>
    <row r="367" spans="1:22">
      <c r="A367" s="200"/>
      <c r="B367" s="200"/>
      <c r="C367" s="373"/>
      <c r="D367" s="200"/>
      <c r="E367" s="200"/>
      <c r="F367" s="200"/>
      <c r="G367" s="200"/>
      <c r="H367" s="200"/>
      <c r="I367" s="377"/>
      <c r="J367" s="366"/>
      <c r="K367" s="374"/>
      <c r="L367" s="366"/>
      <c r="M367" s="375"/>
      <c r="N367" s="376"/>
      <c r="O367" s="376"/>
      <c r="P367" s="376"/>
      <c r="Q367" s="376"/>
      <c r="R367" s="376"/>
      <c r="S367" s="376"/>
      <c r="T367" s="376"/>
      <c r="U367" s="376"/>
      <c r="V367" s="376"/>
    </row>
    <row r="368" spans="1:22">
      <c r="A368" s="200"/>
      <c r="B368" s="200"/>
      <c r="C368" s="373"/>
      <c r="D368" s="200"/>
      <c r="E368" s="200"/>
      <c r="F368" s="200"/>
      <c r="G368" s="200"/>
      <c r="H368" s="200"/>
      <c r="I368" s="377"/>
      <c r="J368" s="366"/>
      <c r="K368" s="374"/>
      <c r="L368" s="366"/>
      <c r="M368" s="375"/>
      <c r="N368" s="376"/>
      <c r="O368" s="376"/>
      <c r="P368" s="376"/>
      <c r="Q368" s="376"/>
      <c r="R368" s="376"/>
      <c r="S368" s="376"/>
      <c r="T368" s="376"/>
      <c r="U368" s="376"/>
      <c r="V368" s="376"/>
    </row>
    <row r="369" spans="1:22">
      <c r="A369" s="200"/>
      <c r="B369" s="200"/>
      <c r="C369" s="373"/>
      <c r="D369" s="200"/>
      <c r="E369" s="200"/>
      <c r="F369" s="200"/>
      <c r="G369" s="200"/>
      <c r="H369" s="200"/>
      <c r="I369" s="377"/>
      <c r="J369" s="366"/>
      <c r="K369" s="374"/>
      <c r="L369" s="366"/>
      <c r="M369" s="375"/>
      <c r="N369" s="376"/>
      <c r="O369" s="376"/>
      <c r="P369" s="376"/>
      <c r="Q369" s="376"/>
      <c r="R369" s="376"/>
      <c r="S369" s="376"/>
      <c r="T369" s="376"/>
      <c r="U369" s="376"/>
      <c r="V369" s="376"/>
    </row>
    <row r="370" spans="1:22">
      <c r="A370" s="200"/>
      <c r="B370" s="200"/>
      <c r="C370" s="373"/>
      <c r="D370" s="200"/>
      <c r="E370" s="200"/>
      <c r="F370" s="200"/>
      <c r="G370" s="200"/>
      <c r="H370" s="200"/>
      <c r="I370" s="377"/>
      <c r="J370" s="366"/>
      <c r="K370" s="374"/>
      <c r="L370" s="366"/>
      <c r="M370" s="375"/>
      <c r="N370" s="376"/>
      <c r="O370" s="376"/>
      <c r="P370" s="376"/>
      <c r="Q370" s="376"/>
      <c r="R370" s="376"/>
      <c r="S370" s="376"/>
      <c r="T370" s="376"/>
      <c r="U370" s="376"/>
      <c r="V370" s="376"/>
    </row>
    <row r="371" spans="1:22">
      <c r="A371" s="200"/>
      <c r="B371" s="200"/>
      <c r="C371" s="373"/>
      <c r="D371" s="200"/>
      <c r="E371" s="200"/>
      <c r="F371" s="200"/>
      <c r="G371" s="200"/>
      <c r="H371" s="200"/>
      <c r="I371" s="377"/>
      <c r="J371" s="366"/>
      <c r="K371" s="374"/>
      <c r="L371" s="366"/>
      <c r="M371" s="375"/>
      <c r="N371" s="376"/>
      <c r="O371" s="376"/>
      <c r="P371" s="376"/>
      <c r="Q371" s="376"/>
      <c r="R371" s="376"/>
      <c r="S371" s="376"/>
      <c r="T371" s="376"/>
      <c r="U371" s="376"/>
      <c r="V371" s="376"/>
    </row>
    <row r="372" spans="1:22">
      <c r="A372" s="200"/>
      <c r="B372" s="200"/>
      <c r="C372" s="373"/>
      <c r="D372" s="200"/>
      <c r="E372" s="200"/>
      <c r="F372" s="200"/>
      <c r="G372" s="200"/>
      <c r="H372" s="200"/>
      <c r="I372" s="377"/>
      <c r="J372" s="366"/>
      <c r="K372" s="374"/>
      <c r="L372" s="366"/>
      <c r="M372" s="375"/>
      <c r="N372" s="376"/>
      <c r="O372" s="376"/>
      <c r="P372" s="376"/>
      <c r="Q372" s="376"/>
      <c r="R372" s="376"/>
      <c r="S372" s="376"/>
      <c r="T372" s="376"/>
      <c r="U372" s="376"/>
      <c r="V372" s="376"/>
    </row>
    <row r="373" spans="1:22">
      <c r="A373" s="200"/>
      <c r="B373" s="200"/>
      <c r="C373" s="373"/>
      <c r="D373" s="200"/>
      <c r="E373" s="200"/>
      <c r="F373" s="200"/>
      <c r="G373" s="200"/>
      <c r="H373" s="200"/>
      <c r="I373" s="377"/>
      <c r="J373" s="366"/>
      <c r="K373" s="374"/>
      <c r="L373" s="366"/>
      <c r="M373" s="375"/>
      <c r="N373" s="376"/>
      <c r="O373" s="376"/>
      <c r="P373" s="376"/>
      <c r="Q373" s="376"/>
      <c r="R373" s="376"/>
      <c r="S373" s="376"/>
      <c r="T373" s="376"/>
      <c r="U373" s="376"/>
      <c r="V373" s="376"/>
    </row>
    <row r="374" spans="1:22">
      <c r="A374" s="200"/>
      <c r="B374" s="200"/>
      <c r="C374" s="373"/>
      <c r="D374" s="200"/>
      <c r="E374" s="200"/>
      <c r="F374" s="200"/>
      <c r="G374" s="200"/>
      <c r="H374" s="200"/>
      <c r="I374" s="377"/>
      <c r="J374" s="366"/>
      <c r="K374" s="374"/>
      <c r="L374" s="366"/>
      <c r="M374" s="375"/>
      <c r="N374" s="376"/>
      <c r="O374" s="376"/>
      <c r="P374" s="376"/>
      <c r="Q374" s="376"/>
      <c r="R374" s="376"/>
      <c r="S374" s="376"/>
      <c r="T374" s="376"/>
      <c r="U374" s="376"/>
      <c r="V374" s="376"/>
    </row>
    <row r="375" spans="1:22">
      <c r="A375" s="200"/>
      <c r="B375" s="200"/>
      <c r="C375" s="373"/>
      <c r="D375" s="200"/>
      <c r="E375" s="200"/>
      <c r="F375" s="200"/>
      <c r="G375" s="200"/>
      <c r="H375" s="200"/>
      <c r="I375" s="377"/>
      <c r="J375" s="366"/>
      <c r="K375" s="374"/>
      <c r="L375" s="366"/>
      <c r="M375" s="375"/>
      <c r="N375" s="376"/>
      <c r="O375" s="376"/>
      <c r="P375" s="376"/>
      <c r="Q375" s="376"/>
      <c r="R375" s="376"/>
      <c r="S375" s="376"/>
      <c r="T375" s="376"/>
      <c r="U375" s="376"/>
      <c r="V375" s="376"/>
    </row>
    <row r="376" spans="1:22">
      <c r="A376" s="200"/>
      <c r="B376" s="200"/>
      <c r="C376" s="373"/>
      <c r="D376" s="200"/>
      <c r="E376" s="200"/>
      <c r="F376" s="200"/>
      <c r="G376" s="200"/>
      <c r="H376" s="200"/>
      <c r="I376" s="377"/>
      <c r="J376" s="366"/>
      <c r="K376" s="374"/>
      <c r="L376" s="366"/>
      <c r="M376" s="375"/>
      <c r="N376" s="376"/>
      <c r="O376" s="376"/>
      <c r="P376" s="376"/>
      <c r="Q376" s="376"/>
      <c r="R376" s="376"/>
      <c r="S376" s="376"/>
      <c r="T376" s="376"/>
      <c r="U376" s="376"/>
      <c r="V376" s="376"/>
    </row>
    <row r="377" spans="1:22">
      <c r="A377" s="200"/>
      <c r="B377" s="200"/>
      <c r="C377" s="373"/>
      <c r="D377" s="200"/>
      <c r="E377" s="200"/>
      <c r="F377" s="200"/>
      <c r="G377" s="200"/>
      <c r="H377" s="200"/>
      <c r="I377" s="377"/>
      <c r="J377" s="366"/>
      <c r="K377" s="374"/>
      <c r="L377" s="366"/>
      <c r="M377" s="375"/>
      <c r="N377" s="376"/>
      <c r="O377" s="376"/>
      <c r="P377" s="376"/>
      <c r="Q377" s="376"/>
      <c r="R377" s="376"/>
      <c r="S377" s="376"/>
      <c r="T377" s="376"/>
      <c r="U377" s="376"/>
      <c r="V377" s="376"/>
    </row>
    <row r="378" spans="1:22">
      <c r="A378" s="200"/>
      <c r="B378" s="200"/>
      <c r="C378" s="373"/>
      <c r="D378" s="200"/>
      <c r="E378" s="200"/>
      <c r="F378" s="200"/>
      <c r="G378" s="200"/>
      <c r="H378" s="200"/>
      <c r="I378" s="377"/>
      <c r="J378" s="366"/>
      <c r="K378" s="374"/>
      <c r="L378" s="366"/>
      <c r="M378" s="375"/>
      <c r="N378" s="376"/>
      <c r="O378" s="376"/>
      <c r="P378" s="376"/>
      <c r="Q378" s="376"/>
      <c r="R378" s="376"/>
      <c r="S378" s="376"/>
      <c r="T378" s="376"/>
      <c r="U378" s="376"/>
      <c r="V378" s="376"/>
    </row>
    <row r="379" spans="1:22">
      <c r="A379" s="200"/>
      <c r="B379" s="200"/>
      <c r="C379" s="373"/>
      <c r="D379" s="200"/>
      <c r="E379" s="200"/>
      <c r="F379" s="200"/>
      <c r="G379" s="200"/>
      <c r="H379" s="200"/>
      <c r="I379" s="377"/>
      <c r="J379" s="366"/>
      <c r="K379" s="374"/>
      <c r="L379" s="366"/>
      <c r="M379" s="375"/>
      <c r="N379" s="376"/>
      <c r="O379" s="376"/>
      <c r="P379" s="376"/>
      <c r="Q379" s="376"/>
      <c r="R379" s="376"/>
      <c r="S379" s="376"/>
      <c r="T379" s="376"/>
      <c r="U379" s="376"/>
      <c r="V379" s="376"/>
    </row>
    <row r="380" spans="1:22">
      <c r="A380" s="200"/>
      <c r="B380" s="200"/>
      <c r="C380" s="373"/>
      <c r="D380" s="200"/>
      <c r="E380" s="200"/>
      <c r="F380" s="200"/>
      <c r="G380" s="200"/>
      <c r="H380" s="200"/>
      <c r="I380" s="377"/>
      <c r="J380" s="366"/>
      <c r="K380" s="374"/>
      <c r="L380" s="366"/>
      <c r="M380" s="375"/>
      <c r="N380" s="376"/>
      <c r="O380" s="376"/>
      <c r="P380" s="376"/>
      <c r="Q380" s="376"/>
      <c r="R380" s="376"/>
      <c r="S380" s="376"/>
      <c r="T380" s="376"/>
      <c r="U380" s="376"/>
      <c r="V380" s="376"/>
    </row>
    <row r="381" spans="1:22">
      <c r="A381" s="200"/>
      <c r="B381" s="200"/>
      <c r="C381" s="373"/>
      <c r="D381" s="200"/>
      <c r="E381" s="200"/>
      <c r="F381" s="200"/>
      <c r="G381" s="200"/>
      <c r="H381" s="200"/>
      <c r="I381" s="377"/>
      <c r="J381" s="366"/>
      <c r="K381" s="374"/>
      <c r="L381" s="366"/>
      <c r="M381" s="375"/>
      <c r="N381" s="376"/>
      <c r="O381" s="376"/>
      <c r="P381" s="376"/>
      <c r="Q381" s="376"/>
      <c r="R381" s="376"/>
      <c r="S381" s="376"/>
      <c r="T381" s="376"/>
      <c r="U381" s="376"/>
      <c r="V381" s="376"/>
    </row>
    <row r="382" spans="1:22">
      <c r="A382" s="200"/>
      <c r="B382" s="200"/>
      <c r="C382" s="373"/>
      <c r="D382" s="200"/>
      <c r="E382" s="200"/>
      <c r="F382" s="200"/>
      <c r="G382" s="200"/>
      <c r="H382" s="200"/>
      <c r="I382" s="377"/>
      <c r="J382" s="366"/>
      <c r="K382" s="374"/>
      <c r="L382" s="366"/>
      <c r="M382" s="375"/>
      <c r="N382" s="376"/>
      <c r="O382" s="376"/>
      <c r="P382" s="376"/>
      <c r="Q382" s="376"/>
      <c r="R382" s="376"/>
      <c r="S382" s="376"/>
      <c r="T382" s="376"/>
      <c r="U382" s="376"/>
      <c r="V382" s="376"/>
    </row>
    <row r="383" spans="1:22">
      <c r="A383" s="200"/>
      <c r="B383" s="200"/>
      <c r="C383" s="373"/>
      <c r="D383" s="200"/>
      <c r="E383" s="200"/>
      <c r="F383" s="200"/>
      <c r="G383" s="200"/>
      <c r="H383" s="200"/>
      <c r="I383" s="377"/>
      <c r="J383" s="366"/>
      <c r="K383" s="374"/>
      <c r="L383" s="366"/>
      <c r="M383" s="375"/>
      <c r="N383" s="376"/>
      <c r="O383" s="376"/>
      <c r="P383" s="376"/>
      <c r="Q383" s="376"/>
      <c r="R383" s="376"/>
      <c r="S383" s="376"/>
      <c r="T383" s="376"/>
      <c r="U383" s="376"/>
      <c r="V383" s="376"/>
    </row>
    <row r="384" spans="1:22">
      <c r="A384" s="200"/>
      <c r="B384" s="200"/>
      <c r="C384" s="373"/>
      <c r="D384" s="200"/>
      <c r="E384" s="200"/>
      <c r="F384" s="200"/>
      <c r="G384" s="200"/>
      <c r="H384" s="200"/>
      <c r="I384" s="377"/>
      <c r="J384" s="366"/>
      <c r="K384" s="374"/>
      <c r="L384" s="366"/>
      <c r="M384" s="375"/>
      <c r="N384" s="376"/>
      <c r="O384" s="376"/>
      <c r="P384" s="376"/>
      <c r="Q384" s="376"/>
      <c r="R384" s="376"/>
      <c r="S384" s="376"/>
      <c r="T384" s="376"/>
      <c r="U384" s="376"/>
      <c r="V384" s="376"/>
    </row>
    <row r="385" spans="1:22">
      <c r="A385" s="200"/>
      <c r="B385" s="200"/>
      <c r="C385" s="373"/>
      <c r="D385" s="200"/>
      <c r="E385" s="200"/>
      <c r="F385" s="200"/>
      <c r="G385" s="200"/>
      <c r="H385" s="200"/>
      <c r="I385" s="377"/>
      <c r="J385" s="366"/>
      <c r="K385" s="374"/>
      <c r="L385" s="366"/>
      <c r="M385" s="375"/>
      <c r="N385" s="376"/>
      <c r="O385" s="376"/>
      <c r="P385" s="376"/>
      <c r="Q385" s="376"/>
      <c r="R385" s="376"/>
      <c r="S385" s="376"/>
      <c r="T385" s="376"/>
      <c r="U385" s="376"/>
      <c r="V385" s="376"/>
    </row>
    <row r="386" spans="1:22">
      <c r="A386" s="200"/>
      <c r="B386" s="200"/>
      <c r="C386" s="373"/>
      <c r="D386" s="200"/>
      <c r="E386" s="200"/>
      <c r="F386" s="200"/>
      <c r="G386" s="200"/>
      <c r="H386" s="200"/>
      <c r="I386" s="377"/>
      <c r="J386" s="366"/>
      <c r="K386" s="374"/>
      <c r="L386" s="366"/>
      <c r="M386" s="375"/>
      <c r="N386" s="376"/>
      <c r="O386" s="376"/>
      <c r="P386" s="376"/>
      <c r="Q386" s="376"/>
      <c r="R386" s="376"/>
      <c r="S386" s="376"/>
      <c r="T386" s="376"/>
      <c r="U386" s="376"/>
      <c r="V386" s="376"/>
    </row>
    <row r="387" spans="1:22">
      <c r="A387" s="200"/>
      <c r="B387" s="200"/>
      <c r="C387" s="373"/>
      <c r="D387" s="200"/>
      <c r="E387" s="200"/>
      <c r="F387" s="200"/>
      <c r="G387" s="200"/>
      <c r="H387" s="200"/>
      <c r="I387" s="377"/>
      <c r="J387" s="366"/>
      <c r="K387" s="374"/>
      <c r="L387" s="366"/>
      <c r="M387" s="375"/>
      <c r="N387" s="376"/>
      <c r="O387" s="376"/>
      <c r="P387" s="376"/>
      <c r="Q387" s="376"/>
      <c r="R387" s="376"/>
      <c r="S387" s="376"/>
      <c r="T387" s="376"/>
      <c r="U387" s="376"/>
      <c r="V387" s="376"/>
    </row>
    <row r="388" spans="1:22">
      <c r="A388" s="200"/>
      <c r="B388" s="200"/>
      <c r="C388" s="373"/>
      <c r="D388" s="200"/>
      <c r="E388" s="200"/>
      <c r="F388" s="200"/>
      <c r="G388" s="200"/>
      <c r="H388" s="200"/>
      <c r="I388" s="377"/>
      <c r="J388" s="366"/>
      <c r="K388" s="374"/>
      <c r="L388" s="366"/>
      <c r="M388" s="375"/>
      <c r="N388" s="376"/>
      <c r="O388" s="376"/>
      <c r="P388" s="376"/>
      <c r="Q388" s="376"/>
      <c r="R388" s="376"/>
      <c r="S388" s="376"/>
      <c r="T388" s="376"/>
      <c r="U388" s="376"/>
      <c r="V388" s="376"/>
    </row>
    <row r="389" spans="1:22">
      <c r="A389" s="200"/>
      <c r="B389" s="200"/>
      <c r="C389" s="373"/>
      <c r="D389" s="200"/>
      <c r="E389" s="200"/>
      <c r="F389" s="200"/>
      <c r="G389" s="200"/>
      <c r="H389" s="200"/>
      <c r="I389" s="377"/>
      <c r="J389" s="366"/>
      <c r="K389" s="374"/>
      <c r="L389" s="366"/>
      <c r="M389" s="375"/>
      <c r="N389" s="376"/>
      <c r="O389" s="376"/>
      <c r="P389" s="376"/>
      <c r="Q389" s="376"/>
      <c r="R389" s="376"/>
      <c r="S389" s="376"/>
      <c r="T389" s="376"/>
      <c r="U389" s="376"/>
      <c r="V389" s="376"/>
    </row>
    <row r="390" spans="1:22">
      <c r="A390" s="200"/>
      <c r="B390" s="200"/>
      <c r="C390" s="373"/>
      <c r="D390" s="200"/>
      <c r="E390" s="200"/>
      <c r="F390" s="200"/>
      <c r="G390" s="200"/>
      <c r="H390" s="200"/>
      <c r="I390" s="377"/>
      <c r="J390" s="366"/>
      <c r="K390" s="374"/>
      <c r="L390" s="366"/>
      <c r="M390" s="375"/>
      <c r="N390" s="376"/>
      <c r="O390" s="376"/>
      <c r="P390" s="376"/>
      <c r="Q390" s="376"/>
      <c r="R390" s="376"/>
      <c r="S390" s="376"/>
      <c r="T390" s="376"/>
      <c r="U390" s="376"/>
      <c r="V390" s="376"/>
    </row>
    <row r="391" spans="1:22">
      <c r="A391" s="200"/>
      <c r="B391" s="200"/>
      <c r="C391" s="373"/>
      <c r="D391" s="200"/>
      <c r="E391" s="200"/>
      <c r="F391" s="200"/>
      <c r="G391" s="200"/>
      <c r="H391" s="200"/>
      <c r="I391" s="377"/>
      <c r="J391" s="366"/>
      <c r="K391" s="374"/>
      <c r="L391" s="366"/>
      <c r="M391" s="375"/>
      <c r="N391" s="376"/>
      <c r="O391" s="376"/>
      <c r="P391" s="376"/>
      <c r="Q391" s="376"/>
      <c r="R391" s="376"/>
      <c r="S391" s="376"/>
      <c r="T391" s="376"/>
      <c r="U391" s="376"/>
      <c r="V391" s="376"/>
    </row>
    <row r="392" spans="1:22">
      <c r="A392" s="200"/>
      <c r="B392" s="200"/>
      <c r="C392" s="373"/>
      <c r="D392" s="200"/>
      <c r="E392" s="200"/>
      <c r="F392" s="200"/>
      <c r="G392" s="200"/>
      <c r="H392" s="200"/>
      <c r="I392" s="377"/>
      <c r="J392" s="366"/>
      <c r="K392" s="374"/>
      <c r="L392" s="366"/>
      <c r="M392" s="375"/>
      <c r="N392" s="376"/>
      <c r="O392" s="376"/>
      <c r="P392" s="376"/>
      <c r="Q392" s="376"/>
      <c r="R392" s="376"/>
      <c r="S392" s="376"/>
      <c r="T392" s="376"/>
      <c r="U392" s="376"/>
      <c r="V392" s="376"/>
    </row>
    <row r="393" spans="1:22">
      <c r="A393" s="200"/>
      <c r="B393" s="200"/>
      <c r="C393" s="373"/>
      <c r="D393" s="200"/>
      <c r="E393" s="200"/>
      <c r="F393" s="200"/>
      <c r="G393" s="200"/>
      <c r="H393" s="200"/>
      <c r="I393" s="377"/>
      <c r="J393" s="366"/>
      <c r="K393" s="374"/>
      <c r="L393" s="366"/>
      <c r="M393" s="375"/>
      <c r="N393" s="376"/>
      <c r="O393" s="376"/>
      <c r="P393" s="376"/>
      <c r="Q393" s="376"/>
      <c r="R393" s="376"/>
      <c r="S393" s="376"/>
      <c r="T393" s="376"/>
      <c r="U393" s="376"/>
      <c r="V393" s="376"/>
    </row>
    <row r="394" spans="1:22">
      <c r="A394" s="200"/>
      <c r="B394" s="200"/>
      <c r="C394" s="373"/>
      <c r="D394" s="200"/>
      <c r="E394" s="200"/>
      <c r="F394" s="200"/>
      <c r="G394" s="200"/>
      <c r="H394" s="200"/>
      <c r="I394" s="377"/>
      <c r="J394" s="366"/>
      <c r="K394" s="374"/>
      <c r="L394" s="366"/>
      <c r="M394" s="375"/>
      <c r="N394" s="376"/>
      <c r="O394" s="376"/>
      <c r="P394" s="376"/>
      <c r="Q394" s="376"/>
      <c r="R394" s="376"/>
      <c r="S394" s="376"/>
      <c r="T394" s="376"/>
      <c r="U394" s="376"/>
      <c r="V394" s="376"/>
    </row>
    <row r="395" spans="1:22">
      <c r="A395" s="200"/>
      <c r="B395" s="200"/>
      <c r="C395" s="373"/>
      <c r="D395" s="200"/>
      <c r="E395" s="200"/>
      <c r="F395" s="200"/>
      <c r="G395" s="200"/>
      <c r="H395" s="200"/>
      <c r="I395" s="377"/>
      <c r="J395" s="366"/>
      <c r="K395" s="374"/>
      <c r="L395" s="366"/>
      <c r="M395" s="375"/>
      <c r="N395" s="376"/>
      <c r="O395" s="376"/>
      <c r="P395" s="376"/>
      <c r="Q395" s="376"/>
      <c r="R395" s="376"/>
      <c r="S395" s="376"/>
      <c r="T395" s="376"/>
      <c r="U395" s="376"/>
      <c r="V395" s="376"/>
    </row>
    <row r="396" spans="1:22">
      <c r="A396" s="200"/>
      <c r="B396" s="200"/>
      <c r="C396" s="373"/>
      <c r="D396" s="200"/>
      <c r="E396" s="200"/>
      <c r="F396" s="200"/>
      <c r="G396" s="200"/>
      <c r="H396" s="200"/>
      <c r="I396" s="377"/>
      <c r="J396" s="366"/>
      <c r="K396" s="374"/>
      <c r="L396" s="366"/>
      <c r="M396" s="375"/>
      <c r="N396" s="376"/>
      <c r="O396" s="376"/>
      <c r="P396" s="376"/>
      <c r="Q396" s="376"/>
      <c r="R396" s="376"/>
      <c r="S396" s="376"/>
      <c r="T396" s="376"/>
      <c r="U396" s="376"/>
      <c r="V396" s="376"/>
    </row>
    <row r="397" spans="1:22">
      <c r="A397" s="200"/>
      <c r="B397" s="200"/>
      <c r="C397" s="373"/>
      <c r="D397" s="200"/>
      <c r="E397" s="200"/>
      <c r="F397" s="200"/>
      <c r="G397" s="200"/>
      <c r="H397" s="200"/>
      <c r="I397" s="377"/>
      <c r="J397" s="366"/>
      <c r="K397" s="374"/>
      <c r="L397" s="366"/>
      <c r="M397" s="375"/>
      <c r="N397" s="376"/>
      <c r="O397" s="376"/>
      <c r="P397" s="376"/>
      <c r="Q397" s="376"/>
      <c r="R397" s="376"/>
      <c r="S397" s="376"/>
      <c r="T397" s="376"/>
      <c r="U397" s="376"/>
      <c r="V397" s="376"/>
    </row>
    <row r="398" spans="1:22">
      <c r="A398" s="200"/>
      <c r="B398" s="200"/>
      <c r="C398" s="373"/>
      <c r="D398" s="200"/>
      <c r="E398" s="200"/>
      <c r="F398" s="200"/>
      <c r="G398" s="200"/>
      <c r="H398" s="200"/>
      <c r="I398" s="377"/>
      <c r="J398" s="366"/>
      <c r="K398" s="374"/>
      <c r="L398" s="366"/>
      <c r="M398" s="375"/>
      <c r="N398" s="376"/>
      <c r="O398" s="376"/>
      <c r="P398" s="376"/>
      <c r="Q398" s="376"/>
      <c r="R398" s="376"/>
      <c r="S398" s="376"/>
      <c r="T398" s="376"/>
      <c r="U398" s="376"/>
      <c r="V398" s="376"/>
    </row>
    <row r="399" spans="1:22">
      <c r="A399" s="200"/>
      <c r="B399" s="200"/>
      <c r="C399" s="373"/>
      <c r="D399" s="200"/>
      <c r="E399" s="200"/>
      <c r="F399" s="200"/>
      <c r="G399" s="200"/>
      <c r="H399" s="200"/>
      <c r="I399" s="377"/>
      <c r="J399" s="366"/>
      <c r="K399" s="374"/>
      <c r="L399" s="366"/>
      <c r="M399" s="375"/>
      <c r="N399" s="376"/>
      <c r="O399" s="376"/>
      <c r="P399" s="376"/>
      <c r="Q399" s="376"/>
      <c r="R399" s="376"/>
      <c r="S399" s="376"/>
      <c r="T399" s="376"/>
      <c r="U399" s="376"/>
      <c r="V399" s="376"/>
    </row>
    <row r="400" spans="1:22">
      <c r="A400" s="200"/>
      <c r="B400" s="200"/>
      <c r="C400" s="373"/>
      <c r="D400" s="200"/>
      <c r="E400" s="200"/>
      <c r="F400" s="200"/>
      <c r="G400" s="200"/>
      <c r="H400" s="200"/>
      <c r="I400" s="377"/>
      <c r="J400" s="366"/>
      <c r="K400" s="374"/>
      <c r="L400" s="366"/>
      <c r="M400" s="375"/>
      <c r="N400" s="376"/>
      <c r="O400" s="376"/>
      <c r="P400" s="376"/>
      <c r="Q400" s="376"/>
      <c r="R400" s="376"/>
      <c r="S400" s="376"/>
      <c r="T400" s="376"/>
      <c r="U400" s="376"/>
      <c r="V400" s="376"/>
    </row>
    <row r="401" spans="1:22">
      <c r="A401" s="200"/>
      <c r="B401" s="200"/>
      <c r="C401" s="373"/>
      <c r="D401" s="200"/>
      <c r="E401" s="200"/>
      <c r="F401" s="200"/>
      <c r="G401" s="200"/>
      <c r="H401" s="200"/>
      <c r="I401" s="377"/>
      <c r="J401" s="366"/>
      <c r="K401" s="374"/>
      <c r="L401" s="366"/>
      <c r="M401" s="375"/>
      <c r="N401" s="376"/>
      <c r="O401" s="376"/>
      <c r="P401" s="376"/>
      <c r="Q401" s="376"/>
      <c r="R401" s="376"/>
      <c r="S401" s="376"/>
      <c r="T401" s="376"/>
      <c r="U401" s="376"/>
      <c r="V401" s="376"/>
    </row>
    <row r="402" spans="1:22">
      <c r="A402" s="200"/>
      <c r="B402" s="200"/>
      <c r="C402" s="373"/>
      <c r="D402" s="200"/>
      <c r="E402" s="200"/>
      <c r="F402" s="200"/>
      <c r="G402" s="200"/>
      <c r="H402" s="200"/>
      <c r="I402" s="377"/>
      <c r="J402" s="366"/>
      <c r="K402" s="374"/>
      <c r="L402" s="366"/>
      <c r="M402" s="375"/>
      <c r="N402" s="376"/>
      <c r="O402" s="376"/>
      <c r="P402" s="376"/>
      <c r="Q402" s="376"/>
      <c r="R402" s="376"/>
      <c r="S402" s="376"/>
      <c r="T402" s="376"/>
      <c r="U402" s="376"/>
      <c r="V402" s="376"/>
    </row>
    <row r="403" spans="1:22">
      <c r="A403" s="200"/>
      <c r="B403" s="200"/>
      <c r="C403" s="373"/>
      <c r="D403" s="200"/>
      <c r="E403" s="200"/>
      <c r="F403" s="200"/>
      <c r="G403" s="200"/>
      <c r="H403" s="200"/>
      <c r="I403" s="377"/>
      <c r="J403" s="366"/>
      <c r="K403" s="374"/>
      <c r="L403" s="366"/>
      <c r="M403" s="375"/>
      <c r="N403" s="376"/>
      <c r="O403" s="376"/>
      <c r="P403" s="376"/>
      <c r="Q403" s="376"/>
      <c r="R403" s="376"/>
      <c r="S403" s="376"/>
      <c r="T403" s="376"/>
      <c r="U403" s="376"/>
      <c r="V403" s="376"/>
    </row>
    <row r="404" spans="1:22">
      <c r="A404" s="200"/>
      <c r="B404" s="200"/>
      <c r="C404" s="373"/>
      <c r="D404" s="200"/>
      <c r="E404" s="200"/>
      <c r="F404" s="200"/>
      <c r="G404" s="200"/>
      <c r="H404" s="200"/>
      <c r="I404" s="377"/>
      <c r="J404" s="366"/>
      <c r="K404" s="374"/>
      <c r="L404" s="366"/>
      <c r="M404" s="375"/>
      <c r="N404" s="376"/>
      <c r="O404" s="376"/>
      <c r="P404" s="376"/>
      <c r="Q404" s="376"/>
      <c r="R404" s="376"/>
      <c r="S404" s="376"/>
      <c r="T404" s="376"/>
      <c r="U404" s="376"/>
      <c r="V404" s="376"/>
    </row>
    <row r="405" spans="1:22">
      <c r="A405" s="200"/>
      <c r="B405" s="200"/>
      <c r="C405" s="373"/>
      <c r="D405" s="200"/>
      <c r="E405" s="200"/>
      <c r="F405" s="200"/>
      <c r="G405" s="200"/>
      <c r="H405" s="200"/>
      <c r="I405" s="377"/>
      <c r="J405" s="366"/>
      <c r="K405" s="374"/>
      <c r="L405" s="366"/>
      <c r="M405" s="375"/>
      <c r="N405" s="376"/>
      <c r="O405" s="376"/>
      <c r="P405" s="376"/>
      <c r="Q405" s="376"/>
      <c r="R405" s="376"/>
      <c r="S405" s="376"/>
      <c r="T405" s="376"/>
      <c r="U405" s="376"/>
      <c r="V405" s="376"/>
    </row>
    <row r="406" spans="1:22">
      <c r="A406" s="200"/>
      <c r="B406" s="200"/>
      <c r="C406" s="373"/>
      <c r="D406" s="200"/>
      <c r="E406" s="200"/>
      <c r="F406" s="200"/>
      <c r="G406" s="200"/>
      <c r="H406" s="200"/>
      <c r="I406" s="377"/>
      <c r="J406" s="366"/>
      <c r="K406" s="374"/>
      <c r="L406" s="366"/>
      <c r="M406" s="375"/>
      <c r="N406" s="376"/>
      <c r="O406" s="376"/>
      <c r="P406" s="376"/>
      <c r="Q406" s="376"/>
      <c r="R406" s="376"/>
      <c r="S406" s="376"/>
      <c r="T406" s="376"/>
      <c r="U406" s="376"/>
      <c r="V406" s="376"/>
    </row>
    <row r="407" spans="1:22">
      <c r="A407" s="200"/>
      <c r="B407" s="200"/>
      <c r="C407" s="373"/>
      <c r="D407" s="200"/>
      <c r="E407" s="200"/>
      <c r="F407" s="200"/>
      <c r="G407" s="200"/>
      <c r="H407" s="200"/>
      <c r="I407" s="377"/>
      <c r="J407" s="366"/>
      <c r="K407" s="374"/>
      <c r="L407" s="366"/>
      <c r="M407" s="375"/>
      <c r="N407" s="376"/>
      <c r="O407" s="376"/>
      <c r="P407" s="376"/>
      <c r="Q407" s="376"/>
      <c r="R407" s="376"/>
      <c r="S407" s="376"/>
      <c r="T407" s="376"/>
      <c r="U407" s="376"/>
      <c r="V407" s="376"/>
    </row>
    <row r="408" spans="1:22">
      <c r="A408" s="200"/>
      <c r="B408" s="200"/>
      <c r="C408" s="373"/>
      <c r="D408" s="200"/>
      <c r="E408" s="200"/>
      <c r="F408" s="200"/>
      <c r="G408" s="200"/>
      <c r="H408" s="200"/>
      <c r="I408" s="377"/>
      <c r="J408" s="366"/>
      <c r="K408" s="374"/>
      <c r="L408" s="366"/>
      <c r="M408" s="375"/>
      <c r="N408" s="376"/>
      <c r="O408" s="376"/>
      <c r="P408" s="376"/>
      <c r="Q408" s="376"/>
      <c r="R408" s="376"/>
      <c r="S408" s="376"/>
      <c r="T408" s="376"/>
      <c r="U408" s="376"/>
      <c r="V408" s="376"/>
    </row>
    <row r="409" spans="1:22">
      <c r="A409" s="200"/>
      <c r="B409" s="200"/>
      <c r="C409" s="373"/>
      <c r="D409" s="200"/>
      <c r="E409" s="200"/>
      <c r="F409" s="200"/>
      <c r="G409" s="200"/>
      <c r="H409" s="200"/>
      <c r="I409" s="377"/>
      <c r="J409" s="366"/>
      <c r="K409" s="374"/>
      <c r="L409" s="366"/>
      <c r="M409" s="375"/>
      <c r="N409" s="376"/>
      <c r="O409" s="376"/>
      <c r="P409" s="376"/>
      <c r="Q409" s="376"/>
      <c r="R409" s="376"/>
      <c r="S409" s="376"/>
      <c r="T409" s="376"/>
      <c r="U409" s="376"/>
      <c r="V409" s="376"/>
    </row>
    <row r="410" spans="1:22">
      <c r="A410" s="200"/>
      <c r="B410" s="200"/>
      <c r="C410" s="373"/>
      <c r="D410" s="200"/>
      <c r="E410" s="200"/>
      <c r="F410" s="200"/>
      <c r="G410" s="200"/>
      <c r="H410" s="200"/>
      <c r="I410" s="377"/>
      <c r="J410" s="366"/>
      <c r="K410" s="374"/>
      <c r="L410" s="366"/>
      <c r="M410" s="375"/>
      <c r="N410" s="376"/>
      <c r="O410" s="376"/>
      <c r="P410" s="376"/>
      <c r="Q410" s="376"/>
      <c r="R410" s="376"/>
      <c r="S410" s="376"/>
      <c r="T410" s="376"/>
      <c r="U410" s="376"/>
      <c r="V410" s="376"/>
    </row>
    <row r="411" spans="1:22">
      <c r="A411" s="200"/>
      <c r="B411" s="200"/>
      <c r="C411" s="373"/>
      <c r="D411" s="200"/>
      <c r="E411" s="200"/>
      <c r="F411" s="200"/>
      <c r="G411" s="200"/>
      <c r="H411" s="200"/>
      <c r="I411" s="377"/>
      <c r="J411" s="366"/>
      <c r="K411" s="374"/>
      <c r="L411" s="366"/>
      <c r="M411" s="375"/>
      <c r="N411" s="376"/>
      <c r="O411" s="376"/>
      <c r="P411" s="376"/>
      <c r="Q411" s="376"/>
      <c r="R411" s="376"/>
      <c r="S411" s="376"/>
      <c r="T411" s="376"/>
      <c r="U411" s="376"/>
      <c r="V411" s="376"/>
    </row>
    <row r="412" spans="1:22">
      <c r="A412" s="200"/>
      <c r="B412" s="200"/>
      <c r="C412" s="373"/>
      <c r="D412" s="200"/>
      <c r="E412" s="200"/>
      <c r="F412" s="200"/>
      <c r="G412" s="200"/>
      <c r="H412" s="200"/>
      <c r="I412" s="377"/>
      <c r="J412" s="366"/>
      <c r="K412" s="374"/>
      <c r="L412" s="366"/>
      <c r="M412" s="375"/>
      <c r="N412" s="376"/>
      <c r="O412" s="376"/>
      <c r="P412" s="376"/>
      <c r="Q412" s="376"/>
      <c r="R412" s="376"/>
      <c r="S412" s="376"/>
      <c r="T412" s="376"/>
      <c r="U412" s="376"/>
      <c r="V412" s="376"/>
    </row>
    <row r="413" spans="1:22">
      <c r="A413" s="200"/>
      <c r="B413" s="200"/>
      <c r="C413" s="373"/>
      <c r="D413" s="200"/>
      <c r="E413" s="200"/>
      <c r="F413" s="200"/>
      <c r="G413" s="200"/>
      <c r="H413" s="200"/>
      <c r="I413" s="377"/>
      <c r="J413" s="366"/>
      <c r="K413" s="374"/>
      <c r="L413" s="366"/>
      <c r="M413" s="375"/>
      <c r="N413" s="376"/>
      <c r="O413" s="376"/>
      <c r="P413" s="376"/>
      <c r="Q413" s="376"/>
      <c r="R413" s="376"/>
      <c r="S413" s="376"/>
      <c r="T413" s="376"/>
      <c r="U413" s="376"/>
      <c r="V413" s="376"/>
    </row>
    <row r="414" spans="1:22">
      <c r="A414" s="200"/>
      <c r="B414" s="200"/>
      <c r="C414" s="373"/>
      <c r="D414" s="200"/>
      <c r="E414" s="200"/>
      <c r="F414" s="200"/>
      <c r="G414" s="200"/>
      <c r="H414" s="200"/>
      <c r="I414" s="377"/>
      <c r="J414" s="366"/>
      <c r="K414" s="374"/>
      <c r="L414" s="366"/>
      <c r="M414" s="375"/>
      <c r="N414" s="376"/>
      <c r="O414" s="376"/>
      <c r="P414" s="376"/>
      <c r="Q414" s="376"/>
      <c r="R414" s="376"/>
      <c r="S414" s="376"/>
      <c r="T414" s="376"/>
      <c r="U414" s="376"/>
      <c r="V414" s="376"/>
    </row>
    <row r="415" spans="1:22">
      <c r="A415" s="200"/>
      <c r="B415" s="200"/>
      <c r="C415" s="373"/>
      <c r="D415" s="200"/>
      <c r="E415" s="200"/>
      <c r="F415" s="200"/>
      <c r="G415" s="200"/>
      <c r="H415" s="200"/>
      <c r="I415" s="377"/>
      <c r="J415" s="366"/>
      <c r="K415" s="374"/>
      <c r="L415" s="366"/>
      <c r="M415" s="375"/>
      <c r="N415" s="376"/>
      <c r="O415" s="376"/>
      <c r="P415" s="376"/>
      <c r="Q415" s="376"/>
      <c r="R415" s="376"/>
      <c r="S415" s="376"/>
      <c r="T415" s="376"/>
      <c r="U415" s="376"/>
      <c r="V415" s="376"/>
    </row>
    <row r="416" spans="1:22">
      <c r="A416" s="200"/>
      <c r="B416" s="200"/>
      <c r="C416" s="373"/>
      <c r="D416" s="200"/>
      <c r="E416" s="200"/>
      <c r="F416" s="200"/>
      <c r="G416" s="200"/>
      <c r="H416" s="200"/>
      <c r="I416" s="377"/>
      <c r="J416" s="366"/>
      <c r="K416" s="374"/>
      <c r="L416" s="366"/>
      <c r="M416" s="375"/>
      <c r="N416" s="376"/>
      <c r="O416" s="376"/>
      <c r="P416" s="376"/>
      <c r="Q416" s="376"/>
      <c r="R416" s="376"/>
      <c r="S416" s="376"/>
      <c r="T416" s="376"/>
      <c r="U416" s="376"/>
      <c r="V416" s="376"/>
    </row>
    <row r="417" spans="1:22">
      <c r="A417" s="200"/>
      <c r="B417" s="200"/>
      <c r="C417" s="373"/>
      <c r="D417" s="200"/>
      <c r="E417" s="200"/>
      <c r="F417" s="200"/>
      <c r="G417" s="200"/>
      <c r="H417" s="200"/>
      <c r="I417" s="377"/>
      <c r="J417" s="366"/>
      <c r="K417" s="374"/>
      <c r="L417" s="366"/>
      <c r="M417" s="375"/>
      <c r="N417" s="376"/>
      <c r="O417" s="376"/>
      <c r="P417" s="376"/>
      <c r="Q417" s="376"/>
      <c r="R417" s="376"/>
      <c r="S417" s="376"/>
      <c r="T417" s="376"/>
      <c r="U417" s="376"/>
      <c r="V417" s="376"/>
    </row>
    <row r="418" spans="1:22">
      <c r="A418" s="200"/>
      <c r="B418" s="200"/>
      <c r="C418" s="373"/>
      <c r="D418" s="200"/>
      <c r="E418" s="200"/>
      <c r="F418" s="200"/>
      <c r="G418" s="200"/>
      <c r="H418" s="200"/>
      <c r="I418" s="377"/>
      <c r="J418" s="366"/>
      <c r="K418" s="374"/>
      <c r="L418" s="366"/>
      <c r="M418" s="375"/>
      <c r="N418" s="376"/>
      <c r="O418" s="376"/>
      <c r="P418" s="376"/>
      <c r="Q418" s="376"/>
      <c r="R418" s="376"/>
      <c r="S418" s="376"/>
      <c r="T418" s="376"/>
      <c r="U418" s="376"/>
      <c r="V418" s="376"/>
    </row>
    <row r="419" spans="1:22">
      <c r="A419" s="200"/>
      <c r="B419" s="200"/>
      <c r="C419" s="373"/>
      <c r="D419" s="200"/>
      <c r="E419" s="200"/>
      <c r="F419" s="200"/>
      <c r="G419" s="200"/>
      <c r="H419" s="200"/>
      <c r="I419" s="377"/>
      <c r="J419" s="366"/>
      <c r="K419" s="374"/>
      <c r="L419" s="366"/>
      <c r="M419" s="375"/>
      <c r="N419" s="376"/>
      <c r="O419" s="376"/>
      <c r="P419" s="376"/>
      <c r="Q419" s="376"/>
      <c r="R419" s="376"/>
      <c r="S419" s="376"/>
      <c r="T419" s="376"/>
      <c r="U419" s="376"/>
      <c r="V419" s="376"/>
    </row>
    <row r="420" spans="1:22">
      <c r="A420" s="200"/>
      <c r="B420" s="200"/>
      <c r="C420" s="373"/>
      <c r="D420" s="200"/>
      <c r="E420" s="200"/>
      <c r="F420" s="200"/>
      <c r="G420" s="200"/>
      <c r="H420" s="200"/>
      <c r="I420" s="377"/>
      <c r="J420" s="366"/>
      <c r="K420" s="374"/>
      <c r="L420" s="366"/>
      <c r="M420" s="375"/>
      <c r="N420" s="376"/>
      <c r="O420" s="376"/>
      <c r="P420" s="376"/>
      <c r="Q420" s="376"/>
      <c r="R420" s="376"/>
      <c r="S420" s="376"/>
      <c r="T420" s="376"/>
      <c r="U420" s="376"/>
      <c r="V420" s="376"/>
    </row>
    <row r="421" spans="1:22">
      <c r="A421" s="200"/>
      <c r="B421" s="200"/>
      <c r="C421" s="373"/>
      <c r="D421" s="200"/>
      <c r="E421" s="200"/>
      <c r="F421" s="200"/>
      <c r="G421" s="200"/>
      <c r="H421" s="200"/>
      <c r="I421" s="377"/>
      <c r="J421" s="366"/>
      <c r="K421" s="374"/>
      <c r="L421" s="366"/>
      <c r="M421" s="375"/>
      <c r="N421" s="376"/>
      <c r="O421" s="376"/>
      <c r="P421" s="376"/>
      <c r="Q421" s="376"/>
      <c r="R421" s="376"/>
      <c r="S421" s="376"/>
      <c r="T421" s="376"/>
      <c r="U421" s="376"/>
      <c r="V421" s="376"/>
    </row>
    <row r="422" spans="1:22">
      <c r="A422" s="200"/>
      <c r="B422" s="200"/>
      <c r="C422" s="373"/>
      <c r="D422" s="200"/>
      <c r="E422" s="200"/>
      <c r="F422" s="200"/>
      <c r="G422" s="200"/>
      <c r="H422" s="200"/>
      <c r="I422" s="377"/>
      <c r="J422" s="366"/>
      <c r="K422" s="374"/>
      <c r="L422" s="366"/>
      <c r="M422" s="375"/>
      <c r="N422" s="376"/>
      <c r="O422" s="376"/>
      <c r="P422" s="376"/>
      <c r="Q422" s="376"/>
      <c r="R422" s="376"/>
      <c r="S422" s="376"/>
      <c r="T422" s="376"/>
      <c r="U422" s="376"/>
      <c r="V422" s="376"/>
    </row>
    <row r="423" spans="1:22">
      <c r="A423" s="200"/>
      <c r="B423" s="200"/>
      <c r="C423" s="373"/>
      <c r="D423" s="200"/>
      <c r="E423" s="200"/>
      <c r="F423" s="200"/>
      <c r="G423" s="200"/>
      <c r="H423" s="200"/>
      <c r="I423" s="377"/>
      <c r="J423" s="366"/>
      <c r="K423" s="374"/>
      <c r="L423" s="366"/>
      <c r="M423" s="375"/>
      <c r="N423" s="376"/>
      <c r="O423" s="376"/>
      <c r="P423" s="376"/>
      <c r="Q423" s="376"/>
      <c r="R423" s="376"/>
      <c r="S423" s="376"/>
      <c r="T423" s="376"/>
      <c r="U423" s="376"/>
      <c r="V423" s="376"/>
    </row>
    <row r="424" spans="1:22">
      <c r="A424" s="200"/>
      <c r="B424" s="200"/>
      <c r="C424" s="373"/>
      <c r="D424" s="200"/>
      <c r="E424" s="200"/>
      <c r="F424" s="200"/>
      <c r="G424" s="200"/>
      <c r="H424" s="200"/>
      <c r="I424" s="377"/>
      <c r="J424" s="366"/>
      <c r="K424" s="374"/>
      <c r="L424" s="366"/>
      <c r="M424" s="375"/>
      <c r="N424" s="376"/>
      <c r="O424" s="376"/>
      <c r="P424" s="376"/>
      <c r="Q424" s="376"/>
      <c r="R424" s="376"/>
      <c r="S424" s="376"/>
      <c r="T424" s="376"/>
      <c r="U424" s="376"/>
      <c r="V424" s="376"/>
    </row>
    <row r="425" spans="1:22">
      <c r="A425" s="200"/>
      <c r="B425" s="200"/>
      <c r="C425" s="373"/>
      <c r="D425" s="200"/>
      <c r="E425" s="200"/>
      <c r="F425" s="200"/>
      <c r="G425" s="200"/>
      <c r="H425" s="200"/>
      <c r="I425" s="377"/>
      <c r="J425" s="366"/>
      <c r="K425" s="374"/>
      <c r="L425" s="366"/>
      <c r="M425" s="375"/>
      <c r="N425" s="376"/>
      <c r="O425" s="376"/>
      <c r="P425" s="376"/>
      <c r="Q425" s="376"/>
      <c r="R425" s="376"/>
      <c r="S425" s="376"/>
      <c r="T425" s="376"/>
      <c r="U425" s="376"/>
      <c r="V425" s="376"/>
    </row>
    <row r="426" spans="1:22">
      <c r="A426" s="200"/>
      <c r="B426" s="200"/>
      <c r="C426" s="373"/>
      <c r="D426" s="200"/>
      <c r="E426" s="200"/>
      <c r="F426" s="200"/>
      <c r="G426" s="200"/>
      <c r="H426" s="200"/>
      <c r="I426" s="377"/>
      <c r="J426" s="366"/>
      <c r="K426" s="374"/>
      <c r="L426" s="366"/>
      <c r="M426" s="375"/>
      <c r="N426" s="376"/>
      <c r="O426" s="376"/>
      <c r="P426" s="376"/>
      <c r="Q426" s="376"/>
      <c r="R426" s="376"/>
      <c r="S426" s="376"/>
      <c r="T426" s="376"/>
      <c r="U426" s="376"/>
      <c r="V426" s="376"/>
    </row>
    <row r="427" spans="1:22">
      <c r="A427" s="200"/>
      <c r="B427" s="200"/>
      <c r="C427" s="373"/>
      <c r="D427" s="200"/>
      <c r="E427" s="200"/>
      <c r="F427" s="200"/>
      <c r="G427" s="200"/>
      <c r="H427" s="200"/>
      <c r="I427" s="377"/>
      <c r="J427" s="366"/>
      <c r="K427" s="374"/>
      <c r="L427" s="366"/>
      <c r="M427" s="375"/>
      <c r="N427" s="376"/>
      <c r="O427" s="376"/>
      <c r="P427" s="376"/>
      <c r="Q427" s="376"/>
      <c r="R427" s="376"/>
      <c r="S427" s="376"/>
      <c r="T427" s="376"/>
      <c r="U427" s="376"/>
      <c r="V427" s="376"/>
    </row>
    <row r="428" spans="1:22">
      <c r="A428" s="200"/>
      <c r="B428" s="200"/>
      <c r="C428" s="373"/>
      <c r="D428" s="200"/>
      <c r="E428" s="200"/>
      <c r="F428" s="200"/>
      <c r="G428" s="200"/>
      <c r="H428" s="200"/>
      <c r="I428" s="377"/>
      <c r="J428" s="366"/>
      <c r="K428" s="374"/>
      <c r="L428" s="366"/>
      <c r="M428" s="375"/>
      <c r="N428" s="376"/>
      <c r="O428" s="376"/>
      <c r="P428" s="376"/>
      <c r="Q428" s="376"/>
      <c r="R428" s="376"/>
      <c r="S428" s="376"/>
      <c r="T428" s="376"/>
      <c r="U428" s="376"/>
      <c r="V428" s="376"/>
    </row>
    <row r="429" spans="1:22">
      <c r="A429" s="200"/>
      <c r="B429" s="200"/>
      <c r="C429" s="373"/>
      <c r="D429" s="200"/>
      <c r="E429" s="200"/>
      <c r="F429" s="200"/>
      <c r="G429" s="200"/>
      <c r="H429" s="200"/>
      <c r="I429" s="377"/>
      <c r="J429" s="366"/>
      <c r="K429" s="374"/>
      <c r="L429" s="366"/>
      <c r="M429" s="375"/>
      <c r="N429" s="376"/>
      <c r="O429" s="376"/>
      <c r="P429" s="376"/>
      <c r="Q429" s="376"/>
      <c r="R429" s="376"/>
      <c r="S429" s="376"/>
      <c r="T429" s="376"/>
      <c r="U429" s="376"/>
      <c r="V429" s="376"/>
    </row>
    <row r="430" spans="1:22">
      <c r="A430" s="200"/>
      <c r="B430" s="200"/>
      <c r="C430" s="373"/>
      <c r="D430" s="200"/>
      <c r="E430" s="200"/>
      <c r="F430" s="200"/>
      <c r="G430" s="200"/>
      <c r="H430" s="200"/>
      <c r="I430" s="377"/>
      <c r="J430" s="366"/>
      <c r="K430" s="374"/>
      <c r="L430" s="366"/>
      <c r="M430" s="375"/>
      <c r="N430" s="376"/>
      <c r="O430" s="376"/>
      <c r="P430" s="376"/>
      <c r="Q430" s="376"/>
      <c r="R430" s="376"/>
      <c r="S430" s="376"/>
      <c r="T430" s="376"/>
      <c r="U430" s="376"/>
      <c r="V430" s="376"/>
    </row>
    <row r="431" spans="1:22">
      <c r="A431" s="200"/>
      <c r="B431" s="200"/>
      <c r="C431" s="373"/>
      <c r="D431" s="200"/>
      <c r="E431" s="200"/>
      <c r="F431" s="200"/>
      <c r="G431" s="200"/>
      <c r="H431" s="200"/>
      <c r="I431" s="377"/>
      <c r="J431" s="366"/>
      <c r="K431" s="374"/>
      <c r="L431" s="366"/>
      <c r="M431" s="375"/>
      <c r="N431" s="376"/>
      <c r="O431" s="376"/>
      <c r="P431" s="376"/>
      <c r="Q431" s="376"/>
      <c r="R431" s="376"/>
      <c r="S431" s="376"/>
      <c r="T431" s="376"/>
      <c r="U431" s="376"/>
      <c r="V431" s="376"/>
    </row>
    <row r="432" spans="1:22">
      <c r="A432" s="200"/>
      <c r="B432" s="200"/>
      <c r="C432" s="373"/>
      <c r="D432" s="200"/>
      <c r="E432" s="200"/>
      <c r="F432" s="200"/>
      <c r="G432" s="200"/>
      <c r="H432" s="200"/>
      <c r="I432" s="377"/>
      <c r="J432" s="366"/>
      <c r="K432" s="374"/>
      <c r="L432" s="366"/>
      <c r="M432" s="375"/>
      <c r="N432" s="376"/>
      <c r="O432" s="376"/>
      <c r="P432" s="376"/>
      <c r="Q432" s="376"/>
      <c r="R432" s="376"/>
      <c r="S432" s="376"/>
      <c r="T432" s="376"/>
      <c r="U432" s="376"/>
      <c r="V432" s="376"/>
    </row>
    <row r="433" spans="1:22">
      <c r="A433" s="200"/>
      <c r="B433" s="200"/>
      <c r="C433" s="373"/>
      <c r="D433" s="200"/>
      <c r="E433" s="200"/>
      <c r="F433" s="200"/>
      <c r="G433" s="200"/>
      <c r="H433" s="200"/>
      <c r="I433" s="377"/>
      <c r="J433" s="366"/>
      <c r="K433" s="374"/>
      <c r="L433" s="366"/>
      <c r="M433" s="375"/>
      <c r="N433" s="376"/>
      <c r="O433" s="376"/>
      <c r="P433" s="376"/>
      <c r="Q433" s="376"/>
      <c r="R433" s="376"/>
      <c r="S433" s="376"/>
      <c r="T433" s="376"/>
      <c r="U433" s="376"/>
      <c r="V433" s="376"/>
    </row>
    <row r="434" spans="1:22">
      <c r="A434" s="200"/>
      <c r="B434" s="200"/>
      <c r="C434" s="373"/>
      <c r="D434" s="200"/>
      <c r="E434" s="200"/>
      <c r="F434" s="200"/>
      <c r="G434" s="200"/>
      <c r="H434" s="200"/>
      <c r="I434" s="377"/>
      <c r="J434" s="366"/>
      <c r="K434" s="374"/>
      <c r="L434" s="366"/>
      <c r="M434" s="375"/>
      <c r="N434" s="376"/>
      <c r="O434" s="376"/>
      <c r="P434" s="376"/>
      <c r="Q434" s="376"/>
      <c r="R434" s="376"/>
      <c r="S434" s="376"/>
      <c r="T434" s="376"/>
      <c r="U434" s="376"/>
      <c r="V434" s="376"/>
    </row>
    <row r="435" spans="1:22">
      <c r="A435" s="200"/>
      <c r="B435" s="200"/>
      <c r="C435" s="373"/>
      <c r="D435" s="200"/>
      <c r="E435" s="200"/>
      <c r="F435" s="200"/>
      <c r="G435" s="200"/>
      <c r="H435" s="200"/>
      <c r="I435" s="377"/>
      <c r="J435" s="366"/>
      <c r="K435" s="374"/>
      <c r="L435" s="366"/>
      <c r="M435" s="375"/>
      <c r="N435" s="376"/>
      <c r="O435" s="376"/>
      <c r="P435" s="376"/>
      <c r="Q435" s="376"/>
      <c r="R435" s="376"/>
      <c r="S435" s="376"/>
      <c r="T435" s="376"/>
      <c r="U435" s="376"/>
      <c r="V435" s="376"/>
    </row>
    <row r="436" spans="1:22">
      <c r="A436" s="200"/>
      <c r="B436" s="200"/>
      <c r="C436" s="373"/>
      <c r="D436" s="200"/>
      <c r="E436" s="200"/>
      <c r="F436" s="200"/>
      <c r="G436" s="200"/>
      <c r="H436" s="200"/>
      <c r="I436" s="377"/>
      <c r="J436" s="366"/>
      <c r="K436" s="374"/>
      <c r="L436" s="366"/>
      <c r="M436" s="375"/>
      <c r="N436" s="376"/>
      <c r="O436" s="376"/>
      <c r="P436" s="376"/>
      <c r="Q436" s="376"/>
      <c r="R436" s="376"/>
      <c r="S436" s="376"/>
      <c r="T436" s="376"/>
      <c r="U436" s="376"/>
      <c r="V436" s="376"/>
    </row>
    <row r="437" spans="1:22">
      <c r="A437" s="200"/>
      <c r="B437" s="200"/>
      <c r="C437" s="373"/>
      <c r="D437" s="200"/>
      <c r="E437" s="200"/>
      <c r="F437" s="200"/>
      <c r="G437" s="200"/>
      <c r="H437" s="200"/>
      <c r="I437" s="377"/>
      <c r="J437" s="366"/>
      <c r="K437" s="374"/>
      <c r="L437" s="366"/>
      <c r="M437" s="375"/>
      <c r="N437" s="376"/>
      <c r="O437" s="376"/>
      <c r="P437" s="376"/>
      <c r="Q437" s="376"/>
      <c r="R437" s="376"/>
      <c r="S437" s="376"/>
      <c r="T437" s="376"/>
      <c r="U437" s="376"/>
      <c r="V437" s="376"/>
    </row>
    <row r="438" spans="1:22">
      <c r="A438" s="200"/>
      <c r="B438" s="200"/>
      <c r="C438" s="373"/>
      <c r="D438" s="200"/>
      <c r="E438" s="200"/>
      <c r="F438" s="200"/>
      <c r="G438" s="200"/>
      <c r="H438" s="200"/>
      <c r="I438" s="377"/>
      <c r="J438" s="366"/>
      <c r="K438" s="374"/>
      <c r="L438" s="366"/>
      <c r="M438" s="375"/>
      <c r="N438" s="376"/>
      <c r="O438" s="376"/>
      <c r="P438" s="376"/>
      <c r="Q438" s="376"/>
      <c r="R438" s="376"/>
      <c r="S438" s="376"/>
      <c r="T438" s="376"/>
      <c r="U438" s="376"/>
      <c r="V438" s="376"/>
    </row>
    <row r="439" spans="1:22">
      <c r="A439" s="200"/>
      <c r="B439" s="200"/>
      <c r="C439" s="373"/>
      <c r="D439" s="200"/>
      <c r="E439" s="200"/>
      <c r="F439" s="200"/>
      <c r="G439" s="200"/>
      <c r="H439" s="200"/>
      <c r="I439" s="377"/>
      <c r="J439" s="366"/>
      <c r="K439" s="374"/>
      <c r="L439" s="366"/>
      <c r="M439" s="375"/>
      <c r="N439" s="376"/>
      <c r="O439" s="376"/>
      <c r="P439" s="376"/>
      <c r="Q439" s="376"/>
      <c r="R439" s="376"/>
      <c r="S439" s="376"/>
      <c r="T439" s="376"/>
      <c r="U439" s="376"/>
      <c r="V439" s="376"/>
    </row>
    <row r="440" spans="1:22">
      <c r="A440" s="200"/>
      <c r="B440" s="200"/>
      <c r="C440" s="373"/>
      <c r="D440" s="200"/>
      <c r="E440" s="200"/>
      <c r="F440" s="200"/>
      <c r="G440" s="200"/>
      <c r="H440" s="200"/>
      <c r="I440" s="377"/>
      <c r="J440" s="366"/>
      <c r="K440" s="374"/>
      <c r="L440" s="366"/>
      <c r="M440" s="375"/>
      <c r="N440" s="376"/>
      <c r="O440" s="376"/>
      <c r="P440" s="376"/>
      <c r="Q440" s="376"/>
      <c r="R440" s="376"/>
      <c r="S440" s="376"/>
      <c r="T440" s="376"/>
      <c r="U440" s="376"/>
      <c r="V440" s="376"/>
    </row>
    <row r="441" spans="1:22">
      <c r="A441" s="200"/>
      <c r="B441" s="200"/>
      <c r="C441" s="373"/>
      <c r="D441" s="200"/>
      <c r="E441" s="200"/>
      <c r="F441" s="200"/>
      <c r="G441" s="200"/>
      <c r="H441" s="200"/>
      <c r="I441" s="377"/>
      <c r="J441" s="366"/>
      <c r="K441" s="374"/>
      <c r="L441" s="366"/>
      <c r="M441" s="375"/>
      <c r="N441" s="376"/>
      <c r="O441" s="376"/>
      <c r="P441" s="376"/>
      <c r="Q441" s="376"/>
      <c r="R441" s="376"/>
      <c r="S441" s="376"/>
      <c r="T441" s="376"/>
      <c r="U441" s="376"/>
      <c r="V441" s="376"/>
    </row>
    <row r="442" spans="1:22">
      <c r="A442" s="200"/>
      <c r="B442" s="200"/>
      <c r="C442" s="373"/>
      <c r="D442" s="200"/>
      <c r="E442" s="200"/>
      <c r="F442" s="200"/>
      <c r="G442" s="200"/>
      <c r="H442" s="200"/>
      <c r="I442" s="377"/>
      <c r="J442" s="366"/>
      <c r="K442" s="374"/>
      <c r="L442" s="366"/>
      <c r="M442" s="375"/>
      <c r="N442" s="376"/>
      <c r="O442" s="376"/>
      <c r="P442" s="376"/>
      <c r="Q442" s="376"/>
      <c r="R442" s="376"/>
      <c r="S442" s="376"/>
      <c r="T442" s="376"/>
      <c r="U442" s="376"/>
      <c r="V442" s="376"/>
    </row>
    <row r="443" spans="1:22">
      <c r="A443" s="200"/>
      <c r="B443" s="200"/>
      <c r="C443" s="373"/>
      <c r="D443" s="200"/>
      <c r="E443" s="200"/>
      <c r="F443" s="200"/>
      <c r="G443" s="200"/>
      <c r="H443" s="200"/>
      <c r="I443" s="377"/>
      <c r="J443" s="366"/>
      <c r="K443" s="374"/>
      <c r="L443" s="366"/>
      <c r="M443" s="375"/>
      <c r="N443" s="376"/>
      <c r="O443" s="376"/>
      <c r="P443" s="376"/>
      <c r="Q443" s="376"/>
      <c r="R443" s="376"/>
      <c r="S443" s="376"/>
      <c r="T443" s="376"/>
      <c r="U443" s="376"/>
      <c r="V443" s="376"/>
    </row>
    <row r="444" spans="1:22">
      <c r="A444" s="200"/>
      <c r="B444" s="200"/>
      <c r="C444" s="373"/>
      <c r="D444" s="200"/>
      <c r="E444" s="200"/>
      <c r="F444" s="200"/>
      <c r="G444" s="200"/>
      <c r="H444" s="200"/>
      <c r="I444" s="377"/>
      <c r="J444" s="366"/>
      <c r="K444" s="374"/>
      <c r="L444" s="366"/>
      <c r="M444" s="375"/>
      <c r="N444" s="376"/>
      <c r="O444" s="376"/>
      <c r="P444" s="376"/>
      <c r="Q444" s="376"/>
      <c r="R444" s="376"/>
      <c r="S444" s="376"/>
      <c r="T444" s="376"/>
      <c r="U444" s="376"/>
      <c r="V444" s="376"/>
    </row>
    <row r="445" spans="1:22">
      <c r="A445" s="200"/>
      <c r="B445" s="200"/>
      <c r="C445" s="373"/>
      <c r="D445" s="200"/>
      <c r="E445" s="200"/>
      <c r="F445" s="200"/>
      <c r="G445" s="200"/>
      <c r="H445" s="200"/>
      <c r="I445" s="377"/>
      <c r="J445" s="366"/>
      <c r="K445" s="374"/>
      <c r="L445" s="366"/>
      <c r="M445" s="375"/>
      <c r="N445" s="376"/>
      <c r="O445" s="376"/>
      <c r="P445" s="376"/>
      <c r="Q445" s="376"/>
      <c r="R445" s="376"/>
      <c r="S445" s="376"/>
      <c r="T445" s="376"/>
      <c r="U445" s="376"/>
      <c r="V445" s="376"/>
    </row>
    <row r="446" spans="1:22">
      <c r="A446" s="200"/>
      <c r="B446" s="200"/>
      <c r="C446" s="373"/>
      <c r="D446" s="200"/>
      <c r="E446" s="200"/>
      <c r="F446" s="200"/>
      <c r="G446" s="200"/>
      <c r="H446" s="200"/>
      <c r="I446" s="377"/>
      <c r="J446" s="366"/>
      <c r="K446" s="374"/>
      <c r="L446" s="366"/>
      <c r="M446" s="375"/>
      <c r="N446" s="376"/>
      <c r="O446" s="376"/>
      <c r="P446" s="376"/>
      <c r="Q446" s="376"/>
      <c r="R446" s="376"/>
      <c r="S446" s="376"/>
      <c r="T446" s="376"/>
      <c r="U446" s="376"/>
      <c r="V446" s="376"/>
    </row>
    <row r="447" spans="1:22">
      <c r="A447" s="200"/>
      <c r="B447" s="200"/>
      <c r="C447" s="373"/>
      <c r="D447" s="200"/>
      <c r="E447" s="200"/>
      <c r="F447" s="200"/>
      <c r="G447" s="200"/>
      <c r="H447" s="200"/>
      <c r="I447" s="377"/>
      <c r="J447" s="366"/>
      <c r="K447" s="374"/>
      <c r="L447" s="366"/>
      <c r="M447" s="375"/>
      <c r="N447" s="376"/>
      <c r="O447" s="376"/>
      <c r="P447" s="376"/>
      <c r="Q447" s="376"/>
      <c r="R447" s="376"/>
      <c r="S447" s="376"/>
      <c r="T447" s="376"/>
      <c r="U447" s="376"/>
      <c r="V447" s="376"/>
    </row>
    <row r="448" spans="1:22">
      <c r="A448" s="200"/>
      <c r="B448" s="200"/>
      <c r="C448" s="373"/>
      <c r="D448" s="200"/>
      <c r="E448" s="200"/>
      <c r="F448" s="200"/>
      <c r="G448" s="200"/>
      <c r="H448" s="200"/>
      <c r="I448" s="377"/>
      <c r="J448" s="366"/>
      <c r="K448" s="374"/>
      <c r="L448" s="366"/>
      <c r="M448" s="375"/>
      <c r="N448" s="376"/>
      <c r="O448" s="376"/>
      <c r="P448" s="376"/>
      <c r="Q448" s="376"/>
      <c r="R448" s="376"/>
      <c r="S448" s="376"/>
      <c r="T448" s="376"/>
      <c r="U448" s="376"/>
      <c r="V448" s="376"/>
    </row>
    <row r="449" spans="1:22">
      <c r="A449" s="200"/>
      <c r="B449" s="200"/>
      <c r="C449" s="373"/>
      <c r="D449" s="200"/>
      <c r="E449" s="200"/>
      <c r="F449" s="200"/>
      <c r="G449" s="200"/>
      <c r="H449" s="200"/>
      <c r="I449" s="377"/>
      <c r="J449" s="366"/>
      <c r="K449" s="374"/>
      <c r="L449" s="366"/>
      <c r="M449" s="375"/>
      <c r="N449" s="376"/>
      <c r="O449" s="376"/>
      <c r="P449" s="376"/>
      <c r="Q449" s="376"/>
      <c r="R449" s="376"/>
      <c r="S449" s="376"/>
      <c r="T449" s="376"/>
      <c r="U449" s="376"/>
      <c r="V449" s="376"/>
    </row>
    <row r="450" spans="1:22">
      <c r="A450" s="200"/>
      <c r="B450" s="200"/>
      <c r="C450" s="373"/>
      <c r="D450" s="200"/>
      <c r="E450" s="200"/>
      <c r="F450" s="200"/>
      <c r="G450" s="200"/>
      <c r="H450" s="200"/>
      <c r="I450" s="377"/>
      <c r="J450" s="366"/>
      <c r="K450" s="374"/>
      <c r="L450" s="366"/>
      <c r="M450" s="375"/>
      <c r="N450" s="376"/>
      <c r="O450" s="376"/>
      <c r="P450" s="376"/>
      <c r="Q450" s="376"/>
      <c r="R450" s="376"/>
      <c r="S450" s="376"/>
      <c r="T450" s="376"/>
      <c r="U450" s="376"/>
      <c r="V450" s="376"/>
    </row>
    <row r="451" spans="1:22">
      <c r="A451" s="200"/>
      <c r="B451" s="200"/>
      <c r="C451" s="373"/>
      <c r="D451" s="200"/>
      <c r="E451" s="200"/>
      <c r="F451" s="200"/>
      <c r="G451" s="200"/>
      <c r="H451" s="200"/>
      <c r="I451" s="377"/>
      <c r="J451" s="366"/>
      <c r="K451" s="374"/>
      <c r="L451" s="366"/>
      <c r="M451" s="375"/>
      <c r="N451" s="376"/>
      <c r="O451" s="376"/>
      <c r="P451" s="376"/>
      <c r="Q451" s="376"/>
      <c r="R451" s="376"/>
      <c r="S451" s="376"/>
      <c r="T451" s="376"/>
      <c r="U451" s="376"/>
      <c r="V451" s="376"/>
    </row>
    <row r="452" spans="1:22">
      <c r="A452" s="200"/>
      <c r="B452" s="200"/>
      <c r="C452" s="373"/>
      <c r="D452" s="200"/>
      <c r="E452" s="200"/>
      <c r="F452" s="200"/>
      <c r="G452" s="200"/>
      <c r="H452" s="200"/>
      <c r="I452" s="377"/>
      <c r="J452" s="366"/>
      <c r="K452" s="374"/>
      <c r="L452" s="366"/>
      <c r="M452" s="375"/>
      <c r="N452" s="376"/>
      <c r="O452" s="376"/>
      <c r="P452" s="376"/>
      <c r="Q452" s="376"/>
      <c r="R452" s="376"/>
      <c r="S452" s="376"/>
      <c r="T452" s="376"/>
      <c r="U452" s="376"/>
      <c r="V452" s="376"/>
    </row>
    <row r="453" spans="1:22">
      <c r="A453" s="200"/>
      <c r="B453" s="200"/>
      <c r="C453" s="373"/>
      <c r="D453" s="200"/>
      <c r="E453" s="200"/>
      <c r="F453" s="200"/>
      <c r="G453" s="200"/>
      <c r="H453" s="200"/>
      <c r="I453" s="377"/>
      <c r="J453" s="366"/>
      <c r="K453" s="374"/>
      <c r="L453" s="366"/>
      <c r="M453" s="375"/>
      <c r="N453" s="376"/>
      <c r="O453" s="376"/>
      <c r="P453" s="376"/>
      <c r="Q453" s="376"/>
      <c r="R453" s="376"/>
      <c r="S453" s="376"/>
      <c r="T453" s="376"/>
      <c r="U453" s="376"/>
      <c r="V453" s="376"/>
    </row>
    <row r="454" spans="1:22">
      <c r="A454" s="200"/>
      <c r="B454" s="200"/>
      <c r="C454" s="373"/>
      <c r="D454" s="200"/>
      <c r="E454" s="200"/>
      <c r="F454" s="200"/>
      <c r="G454" s="200"/>
      <c r="H454" s="200"/>
      <c r="I454" s="377"/>
      <c r="J454" s="366"/>
      <c r="K454" s="374"/>
      <c r="L454" s="366"/>
      <c r="M454" s="375"/>
      <c r="N454" s="376"/>
      <c r="O454" s="376"/>
      <c r="P454" s="376"/>
      <c r="Q454" s="376"/>
      <c r="R454" s="376"/>
      <c r="S454" s="376"/>
      <c r="T454" s="376"/>
      <c r="U454" s="376"/>
      <c r="V454" s="376"/>
    </row>
    <row r="455" spans="1:22">
      <c r="A455" s="200"/>
      <c r="B455" s="200"/>
      <c r="C455" s="373"/>
      <c r="D455" s="200"/>
      <c r="E455" s="200"/>
      <c r="F455" s="200"/>
      <c r="G455" s="200"/>
      <c r="H455" s="200"/>
      <c r="I455" s="377"/>
      <c r="J455" s="366"/>
      <c r="K455" s="374"/>
      <c r="L455" s="366"/>
      <c r="M455" s="375"/>
      <c r="N455" s="376"/>
      <c r="O455" s="376"/>
      <c r="P455" s="376"/>
      <c r="Q455" s="376"/>
      <c r="R455" s="376"/>
      <c r="S455" s="376"/>
      <c r="T455" s="376"/>
      <c r="U455" s="376"/>
      <c r="V455" s="376"/>
    </row>
    <row r="456" spans="1:22">
      <c r="A456" s="200"/>
      <c r="B456" s="200"/>
      <c r="C456" s="373"/>
      <c r="D456" s="200"/>
      <c r="E456" s="200"/>
      <c r="F456" s="200"/>
      <c r="G456" s="200"/>
      <c r="H456" s="200"/>
      <c r="I456" s="377"/>
      <c r="J456" s="366"/>
      <c r="K456" s="374"/>
      <c r="L456" s="366"/>
      <c r="M456" s="375"/>
      <c r="N456" s="376"/>
      <c r="O456" s="376"/>
      <c r="P456" s="376"/>
      <c r="Q456" s="376"/>
      <c r="R456" s="376"/>
      <c r="S456" s="376"/>
      <c r="T456" s="376"/>
      <c r="U456" s="376"/>
      <c r="V456" s="376"/>
    </row>
    <row r="457" spans="1:22">
      <c r="A457" s="200"/>
      <c r="B457" s="200"/>
      <c r="C457" s="373"/>
      <c r="D457" s="200"/>
      <c r="E457" s="200"/>
      <c r="F457" s="200"/>
      <c r="G457" s="200"/>
      <c r="H457" s="200"/>
      <c r="I457" s="377"/>
      <c r="J457" s="366"/>
      <c r="K457" s="374"/>
      <c r="L457" s="366"/>
      <c r="M457" s="375"/>
      <c r="N457" s="376"/>
      <c r="O457" s="376"/>
      <c r="P457" s="376"/>
      <c r="Q457" s="376"/>
      <c r="R457" s="376"/>
      <c r="S457" s="376"/>
      <c r="T457" s="376"/>
      <c r="U457" s="376"/>
      <c r="V457" s="376"/>
    </row>
    <row r="458" spans="1:22">
      <c r="A458" s="200"/>
      <c r="B458" s="200"/>
      <c r="C458" s="373"/>
      <c r="D458" s="200"/>
      <c r="E458" s="200"/>
      <c r="F458" s="200"/>
      <c r="G458" s="200"/>
      <c r="H458" s="200"/>
      <c r="I458" s="377"/>
      <c r="J458" s="366"/>
      <c r="K458" s="374"/>
      <c r="L458" s="366"/>
      <c r="M458" s="375"/>
      <c r="N458" s="376"/>
      <c r="O458" s="376"/>
      <c r="P458" s="376"/>
      <c r="Q458" s="376"/>
      <c r="R458" s="376"/>
      <c r="S458" s="376"/>
      <c r="T458" s="376"/>
      <c r="U458" s="376"/>
      <c r="V458" s="376"/>
    </row>
    <row r="459" spans="1:22">
      <c r="A459" s="200"/>
      <c r="B459" s="200"/>
      <c r="C459" s="373"/>
      <c r="D459" s="200"/>
      <c r="E459" s="200"/>
      <c r="F459" s="200"/>
      <c r="G459" s="200"/>
      <c r="H459" s="200"/>
      <c r="I459" s="377"/>
      <c r="J459" s="366"/>
      <c r="K459" s="374"/>
      <c r="L459" s="366"/>
      <c r="M459" s="375"/>
      <c r="N459" s="376"/>
      <c r="O459" s="376"/>
      <c r="P459" s="376"/>
      <c r="Q459" s="376"/>
      <c r="R459" s="376"/>
      <c r="S459" s="376"/>
      <c r="T459" s="376"/>
      <c r="U459" s="376"/>
      <c r="V459" s="376"/>
    </row>
    <row r="460" spans="1:22">
      <c r="A460" s="200"/>
      <c r="B460" s="200"/>
      <c r="C460" s="373"/>
      <c r="D460" s="200"/>
      <c r="E460" s="200"/>
      <c r="F460" s="200"/>
      <c r="G460" s="200"/>
      <c r="H460" s="200"/>
      <c r="I460" s="377"/>
      <c r="J460" s="366"/>
      <c r="K460" s="374"/>
      <c r="L460" s="366"/>
      <c r="M460" s="375"/>
      <c r="N460" s="376"/>
      <c r="O460" s="376"/>
      <c r="P460" s="376"/>
      <c r="Q460" s="376"/>
      <c r="R460" s="376"/>
      <c r="S460" s="376"/>
      <c r="T460" s="376"/>
      <c r="U460" s="376"/>
      <c r="V460" s="376"/>
    </row>
    <row r="461" spans="1:22">
      <c r="A461" s="200"/>
      <c r="B461" s="200"/>
      <c r="C461" s="373"/>
      <c r="D461" s="200"/>
      <c r="E461" s="200"/>
      <c r="F461" s="200"/>
      <c r="G461" s="200"/>
      <c r="H461" s="200"/>
      <c r="I461" s="377"/>
      <c r="J461" s="366"/>
      <c r="K461" s="374"/>
      <c r="L461" s="366"/>
      <c r="M461" s="375"/>
      <c r="N461" s="376"/>
      <c r="O461" s="376"/>
      <c r="P461" s="376"/>
      <c r="Q461" s="376"/>
      <c r="R461" s="376"/>
      <c r="S461" s="376"/>
      <c r="T461" s="376"/>
      <c r="U461" s="376"/>
      <c r="V461" s="376"/>
    </row>
    <row r="462" spans="1:22">
      <c r="A462" s="200"/>
      <c r="B462" s="200"/>
      <c r="C462" s="373"/>
      <c r="D462" s="200"/>
      <c r="E462" s="200"/>
      <c r="F462" s="200"/>
      <c r="G462" s="200"/>
      <c r="H462" s="200"/>
      <c r="I462" s="377"/>
      <c r="J462" s="366"/>
      <c r="K462" s="374"/>
      <c r="L462" s="366"/>
      <c r="M462" s="375"/>
      <c r="N462" s="376"/>
      <c r="O462" s="376"/>
      <c r="P462" s="376"/>
      <c r="Q462" s="376"/>
      <c r="R462" s="376"/>
      <c r="S462" s="376"/>
      <c r="T462" s="376"/>
      <c r="U462" s="376"/>
      <c r="V462" s="376"/>
    </row>
    <row r="463" spans="1:22">
      <c r="A463" s="200"/>
      <c r="B463" s="200"/>
      <c r="C463" s="373"/>
      <c r="D463" s="200"/>
      <c r="E463" s="200"/>
      <c r="F463" s="200"/>
      <c r="G463" s="200"/>
      <c r="H463" s="200"/>
      <c r="I463" s="377"/>
      <c r="J463" s="366"/>
      <c r="K463" s="374"/>
      <c r="L463" s="366"/>
      <c r="M463" s="375"/>
      <c r="N463" s="376"/>
      <c r="O463" s="376"/>
      <c r="P463" s="376"/>
      <c r="Q463" s="376"/>
      <c r="R463" s="376"/>
      <c r="S463" s="376"/>
      <c r="T463" s="376"/>
      <c r="U463" s="376"/>
      <c r="V463" s="376"/>
    </row>
    <row r="464" spans="1:22">
      <c r="A464" s="200"/>
      <c r="B464" s="200"/>
      <c r="C464" s="373"/>
      <c r="D464" s="200"/>
      <c r="E464" s="200"/>
      <c r="F464" s="200"/>
      <c r="G464" s="200"/>
      <c r="H464" s="200"/>
      <c r="I464" s="377"/>
      <c r="J464" s="366"/>
      <c r="K464" s="374"/>
      <c r="L464" s="366"/>
      <c r="M464" s="375"/>
      <c r="N464" s="376"/>
      <c r="O464" s="376"/>
      <c r="P464" s="376"/>
      <c r="Q464" s="376"/>
      <c r="R464" s="376"/>
      <c r="S464" s="376"/>
      <c r="T464" s="376"/>
      <c r="U464" s="376"/>
      <c r="V464" s="376"/>
    </row>
    <row r="465" spans="1:22">
      <c r="A465" s="200"/>
      <c r="B465" s="200"/>
      <c r="C465" s="373"/>
      <c r="D465" s="200"/>
      <c r="E465" s="200"/>
      <c r="F465" s="200"/>
      <c r="G465" s="200"/>
      <c r="H465" s="200"/>
      <c r="I465" s="377"/>
      <c r="J465" s="366"/>
      <c r="K465" s="374"/>
      <c r="L465" s="366"/>
      <c r="M465" s="375"/>
      <c r="N465" s="376"/>
      <c r="O465" s="376"/>
      <c r="P465" s="376"/>
      <c r="Q465" s="376"/>
      <c r="R465" s="376"/>
      <c r="S465" s="376"/>
      <c r="T465" s="376"/>
      <c r="U465" s="376"/>
      <c r="V465" s="376"/>
    </row>
    <row r="466" spans="1:22">
      <c r="A466" s="200"/>
      <c r="B466" s="200"/>
      <c r="C466" s="373"/>
      <c r="D466" s="200"/>
      <c r="E466" s="200"/>
      <c r="F466" s="200"/>
      <c r="G466" s="200"/>
      <c r="H466" s="200"/>
      <c r="I466" s="377"/>
      <c r="J466" s="366"/>
      <c r="K466" s="374"/>
      <c r="L466" s="366"/>
      <c r="M466" s="375"/>
      <c r="N466" s="376"/>
      <c r="O466" s="376"/>
      <c r="P466" s="376"/>
      <c r="Q466" s="376"/>
      <c r="R466" s="376"/>
      <c r="S466" s="376"/>
      <c r="T466" s="376"/>
      <c r="U466" s="376"/>
      <c r="V466" s="376"/>
    </row>
    <row r="467" spans="1:22">
      <c r="A467" s="200"/>
      <c r="B467" s="200"/>
      <c r="C467" s="373"/>
      <c r="D467" s="200"/>
      <c r="E467" s="200"/>
      <c r="F467" s="200"/>
      <c r="G467" s="200"/>
      <c r="H467" s="200"/>
      <c r="I467" s="377"/>
      <c r="J467" s="366"/>
      <c r="K467" s="374"/>
      <c r="L467" s="366"/>
      <c r="M467" s="375"/>
      <c r="N467" s="376"/>
      <c r="O467" s="376"/>
      <c r="P467" s="376"/>
      <c r="Q467" s="376"/>
      <c r="R467" s="376"/>
      <c r="S467" s="376"/>
      <c r="T467" s="376"/>
      <c r="U467" s="376"/>
      <c r="V467" s="376"/>
    </row>
    <row r="468" spans="1:22">
      <c r="A468" s="200"/>
      <c r="B468" s="200"/>
      <c r="C468" s="373"/>
      <c r="D468" s="200"/>
      <c r="E468" s="200"/>
      <c r="F468" s="200"/>
      <c r="G468" s="200"/>
      <c r="H468" s="200"/>
      <c r="I468" s="377"/>
      <c r="J468" s="366"/>
      <c r="K468" s="374"/>
      <c r="L468" s="366"/>
      <c r="M468" s="375"/>
      <c r="N468" s="376"/>
      <c r="O468" s="376"/>
      <c r="P468" s="376"/>
      <c r="Q468" s="376"/>
      <c r="R468" s="376"/>
      <c r="S468" s="376"/>
      <c r="T468" s="376"/>
      <c r="U468" s="376"/>
      <c r="V468" s="376"/>
    </row>
    <row r="469" spans="1:22">
      <c r="A469" s="200"/>
      <c r="B469" s="200"/>
      <c r="C469" s="373"/>
      <c r="D469" s="200"/>
      <c r="E469" s="200"/>
      <c r="F469" s="200"/>
      <c r="G469" s="200"/>
      <c r="H469" s="200"/>
      <c r="I469" s="377"/>
      <c r="J469" s="366"/>
      <c r="K469" s="374"/>
      <c r="L469" s="366"/>
      <c r="M469" s="375"/>
      <c r="N469" s="376"/>
      <c r="O469" s="376"/>
      <c r="P469" s="376"/>
      <c r="Q469" s="376"/>
      <c r="R469" s="376"/>
      <c r="S469" s="376"/>
      <c r="T469" s="376"/>
      <c r="U469" s="376"/>
      <c r="V469" s="376"/>
    </row>
    <row r="470" spans="1:22">
      <c r="A470" s="200"/>
      <c r="B470" s="200"/>
      <c r="C470" s="373"/>
      <c r="D470" s="200"/>
      <c r="E470" s="200"/>
      <c r="F470" s="200"/>
      <c r="G470" s="200"/>
      <c r="H470" s="200"/>
      <c r="I470" s="377"/>
      <c r="J470" s="366"/>
      <c r="K470" s="374"/>
      <c r="L470" s="366"/>
      <c r="M470" s="375"/>
      <c r="N470" s="376"/>
      <c r="O470" s="376"/>
      <c r="P470" s="376"/>
      <c r="Q470" s="376"/>
      <c r="R470" s="376"/>
      <c r="S470" s="376"/>
      <c r="T470" s="376"/>
      <c r="U470" s="376"/>
      <c r="V470" s="376"/>
    </row>
    <row r="471" spans="1:22">
      <c r="A471" s="200"/>
      <c r="B471" s="200"/>
      <c r="C471" s="373"/>
      <c r="D471" s="200"/>
      <c r="E471" s="200"/>
      <c r="F471" s="200"/>
      <c r="G471" s="200"/>
      <c r="H471" s="200"/>
      <c r="I471" s="377"/>
      <c r="J471" s="366"/>
      <c r="K471" s="374"/>
      <c r="L471" s="366"/>
      <c r="M471" s="375"/>
      <c r="N471" s="376"/>
      <c r="O471" s="376"/>
      <c r="P471" s="376"/>
      <c r="Q471" s="376"/>
      <c r="R471" s="376"/>
      <c r="S471" s="376"/>
      <c r="T471" s="376"/>
      <c r="U471" s="376"/>
      <c r="V471" s="376"/>
    </row>
    <row r="472" spans="1:22">
      <c r="A472" s="200"/>
      <c r="B472" s="200"/>
      <c r="C472" s="373"/>
      <c r="D472" s="200"/>
      <c r="E472" s="200"/>
      <c r="F472" s="200"/>
      <c r="G472" s="200"/>
      <c r="H472" s="200"/>
      <c r="I472" s="377"/>
      <c r="J472" s="366"/>
      <c r="K472" s="374"/>
      <c r="L472" s="366"/>
      <c r="M472" s="375"/>
      <c r="N472" s="376"/>
      <c r="O472" s="376"/>
      <c r="P472" s="376"/>
      <c r="Q472" s="376"/>
      <c r="R472" s="376"/>
      <c r="S472" s="376"/>
      <c r="T472" s="376"/>
      <c r="U472" s="376"/>
      <c r="V472" s="376"/>
    </row>
    <row r="473" spans="1:22">
      <c r="A473" s="200"/>
      <c r="B473" s="200"/>
      <c r="C473" s="373"/>
      <c r="D473" s="200"/>
      <c r="E473" s="200"/>
      <c r="F473" s="200"/>
      <c r="G473" s="200"/>
      <c r="H473" s="200"/>
      <c r="I473" s="377"/>
      <c r="J473" s="366"/>
      <c r="K473" s="374"/>
      <c r="L473" s="366"/>
      <c r="M473" s="375"/>
      <c r="N473" s="376"/>
      <c r="O473" s="376"/>
      <c r="P473" s="376"/>
      <c r="Q473" s="376"/>
      <c r="R473" s="376"/>
      <c r="S473" s="376"/>
      <c r="T473" s="376"/>
      <c r="U473" s="376"/>
      <c r="V473" s="376"/>
    </row>
    <row r="474" spans="1:22">
      <c r="A474" s="200"/>
      <c r="B474" s="200"/>
      <c r="C474" s="373"/>
      <c r="D474" s="200"/>
      <c r="E474" s="200"/>
      <c r="F474" s="200"/>
      <c r="G474" s="200"/>
      <c r="H474" s="200"/>
      <c r="I474" s="377"/>
      <c r="J474" s="366"/>
      <c r="K474" s="374"/>
      <c r="L474" s="366"/>
      <c r="M474" s="375"/>
      <c r="N474" s="376"/>
      <c r="O474" s="376"/>
      <c r="P474" s="376"/>
      <c r="Q474" s="376"/>
      <c r="R474" s="376"/>
      <c r="S474" s="376"/>
      <c r="T474" s="376"/>
      <c r="U474" s="376"/>
      <c r="V474" s="376"/>
    </row>
    <row r="475" spans="1:22">
      <c r="A475" s="200"/>
      <c r="B475" s="200"/>
      <c r="C475" s="373"/>
      <c r="D475" s="200"/>
      <c r="E475" s="200"/>
      <c r="F475" s="200"/>
      <c r="G475" s="200"/>
      <c r="H475" s="200"/>
      <c r="I475" s="377"/>
      <c r="J475" s="366"/>
      <c r="K475" s="374"/>
      <c r="L475" s="366"/>
      <c r="M475" s="375"/>
      <c r="N475" s="376"/>
      <c r="O475" s="376"/>
      <c r="P475" s="376"/>
      <c r="Q475" s="376"/>
      <c r="R475" s="376"/>
      <c r="S475" s="376"/>
      <c r="T475" s="376"/>
      <c r="U475" s="376"/>
      <c r="V475" s="376"/>
    </row>
    <row r="476" spans="1:22">
      <c r="A476" s="200"/>
      <c r="B476" s="200"/>
      <c r="C476" s="373"/>
      <c r="D476" s="200"/>
      <c r="E476" s="200"/>
      <c r="F476" s="200"/>
      <c r="G476" s="200"/>
      <c r="H476" s="200"/>
      <c r="I476" s="377"/>
      <c r="J476" s="366"/>
      <c r="K476" s="374"/>
      <c r="L476" s="366"/>
      <c r="M476" s="375"/>
      <c r="N476" s="376"/>
      <c r="O476" s="376"/>
      <c r="P476" s="376"/>
      <c r="Q476" s="376"/>
      <c r="R476" s="376"/>
      <c r="S476" s="376"/>
      <c r="T476" s="376"/>
      <c r="U476" s="376"/>
      <c r="V476" s="376"/>
    </row>
    <row r="477" spans="1:22">
      <c r="A477" s="200"/>
      <c r="B477" s="200"/>
      <c r="C477" s="373"/>
      <c r="D477" s="200"/>
      <c r="E477" s="200"/>
      <c r="F477" s="200"/>
      <c r="G477" s="200"/>
      <c r="H477" s="200"/>
      <c r="I477" s="377"/>
      <c r="J477" s="366"/>
      <c r="K477" s="374"/>
      <c r="L477" s="366"/>
      <c r="M477" s="375"/>
      <c r="N477" s="376"/>
      <c r="O477" s="376"/>
      <c r="P477" s="376"/>
      <c r="Q477" s="376"/>
      <c r="R477" s="376"/>
      <c r="S477" s="376"/>
      <c r="T477" s="376"/>
      <c r="U477" s="376"/>
      <c r="V477" s="376"/>
    </row>
    <row r="478" spans="1:22">
      <c r="A478" s="200"/>
      <c r="B478" s="200"/>
      <c r="C478" s="373"/>
      <c r="D478" s="200"/>
      <c r="E478" s="200"/>
      <c r="F478" s="200"/>
      <c r="G478" s="200"/>
      <c r="H478" s="200"/>
      <c r="I478" s="377"/>
      <c r="J478" s="366"/>
      <c r="K478" s="374"/>
      <c r="L478" s="366"/>
      <c r="M478" s="375"/>
      <c r="N478" s="376"/>
      <c r="O478" s="376"/>
      <c r="P478" s="376"/>
      <c r="Q478" s="376"/>
      <c r="R478" s="376"/>
      <c r="S478" s="376"/>
      <c r="T478" s="376"/>
      <c r="U478" s="376"/>
      <c r="V478" s="376"/>
    </row>
    <row r="479" spans="1:22">
      <c r="A479" s="200"/>
      <c r="B479" s="200"/>
      <c r="C479" s="373"/>
      <c r="D479" s="200"/>
      <c r="E479" s="200"/>
      <c r="F479" s="200"/>
      <c r="G479" s="200"/>
      <c r="H479" s="200"/>
      <c r="I479" s="377"/>
      <c r="J479" s="366"/>
      <c r="K479" s="374"/>
      <c r="L479" s="366"/>
      <c r="M479" s="375"/>
      <c r="N479" s="376"/>
      <c r="O479" s="376"/>
      <c r="P479" s="376"/>
      <c r="Q479" s="376"/>
      <c r="R479" s="376"/>
      <c r="S479" s="376"/>
      <c r="T479" s="376"/>
      <c r="U479" s="376"/>
      <c r="V479" s="376"/>
    </row>
    <row r="480" spans="1:22">
      <c r="A480" s="200"/>
      <c r="B480" s="200"/>
      <c r="C480" s="373"/>
      <c r="D480" s="200"/>
      <c r="E480" s="200"/>
      <c r="F480" s="200"/>
      <c r="G480" s="200"/>
      <c r="H480" s="200"/>
      <c r="I480" s="377"/>
      <c r="J480" s="366"/>
      <c r="K480" s="374"/>
      <c r="L480" s="366"/>
      <c r="M480" s="375"/>
      <c r="N480" s="376"/>
      <c r="O480" s="376"/>
      <c r="P480" s="376"/>
      <c r="Q480" s="376"/>
      <c r="R480" s="376"/>
      <c r="S480" s="376"/>
      <c r="T480" s="376"/>
      <c r="U480" s="376"/>
      <c r="V480" s="376"/>
    </row>
    <row r="481" spans="1:22">
      <c r="A481" s="200"/>
      <c r="B481" s="200"/>
      <c r="C481" s="373"/>
      <c r="D481" s="200"/>
      <c r="E481" s="200"/>
      <c r="F481" s="200"/>
      <c r="G481" s="200"/>
      <c r="H481" s="200"/>
      <c r="I481" s="377"/>
      <c r="J481" s="366"/>
      <c r="K481" s="374"/>
      <c r="L481" s="366"/>
      <c r="M481" s="375"/>
      <c r="N481" s="376"/>
      <c r="O481" s="376"/>
      <c r="P481" s="376"/>
      <c r="Q481" s="376"/>
      <c r="R481" s="376"/>
      <c r="S481" s="376"/>
      <c r="T481" s="376"/>
      <c r="U481" s="376"/>
      <c r="V481" s="376"/>
    </row>
    <row r="482" spans="1:22">
      <c r="A482" s="200"/>
      <c r="B482" s="200"/>
      <c r="C482" s="373"/>
      <c r="D482" s="200"/>
      <c r="E482" s="200"/>
      <c r="F482" s="200"/>
      <c r="G482" s="200"/>
      <c r="H482" s="200"/>
      <c r="I482" s="377"/>
      <c r="J482" s="366"/>
      <c r="K482" s="374"/>
      <c r="L482" s="366"/>
      <c r="M482" s="375"/>
      <c r="N482" s="376"/>
      <c r="O482" s="376"/>
      <c r="P482" s="376"/>
      <c r="Q482" s="376"/>
      <c r="R482" s="376"/>
      <c r="S482" s="376"/>
      <c r="T482" s="376"/>
      <c r="U482" s="376"/>
      <c r="V482" s="376"/>
    </row>
    <row r="483" spans="1:22">
      <c r="A483" s="200"/>
      <c r="B483" s="200"/>
      <c r="C483" s="373"/>
      <c r="D483" s="200"/>
      <c r="E483" s="200"/>
      <c r="F483" s="200"/>
      <c r="G483" s="200"/>
      <c r="H483" s="200"/>
      <c r="I483" s="377"/>
      <c r="J483" s="366"/>
      <c r="K483" s="374"/>
      <c r="L483" s="366"/>
      <c r="M483" s="375"/>
      <c r="N483" s="376"/>
      <c r="O483" s="376"/>
      <c r="P483" s="376"/>
      <c r="Q483" s="376"/>
      <c r="R483" s="376"/>
      <c r="S483" s="376"/>
      <c r="T483" s="376"/>
      <c r="U483" s="376"/>
      <c r="V483" s="376"/>
    </row>
    <row r="484" spans="1:22">
      <c r="A484" s="200"/>
      <c r="B484" s="200"/>
      <c r="C484" s="373"/>
      <c r="D484" s="200"/>
      <c r="E484" s="200"/>
      <c r="F484" s="200"/>
      <c r="G484" s="200"/>
      <c r="H484" s="200"/>
      <c r="I484" s="377"/>
      <c r="J484" s="366"/>
      <c r="K484" s="374"/>
      <c r="L484" s="366"/>
      <c r="M484" s="375"/>
      <c r="N484" s="376"/>
      <c r="O484" s="376"/>
      <c r="P484" s="376"/>
      <c r="Q484" s="376"/>
      <c r="R484" s="376"/>
      <c r="S484" s="376"/>
      <c r="T484" s="376"/>
      <c r="U484" s="376"/>
      <c r="V484" s="376"/>
    </row>
    <row r="485" spans="1:22">
      <c r="A485" s="200"/>
      <c r="B485" s="200"/>
      <c r="C485" s="373"/>
      <c r="D485" s="200"/>
      <c r="E485" s="200"/>
      <c r="F485" s="200"/>
      <c r="G485" s="200"/>
      <c r="H485" s="200"/>
      <c r="I485" s="377"/>
      <c r="J485" s="366"/>
      <c r="K485" s="374"/>
      <c r="L485" s="366"/>
      <c r="M485" s="375"/>
      <c r="N485" s="376"/>
      <c r="O485" s="376"/>
      <c r="P485" s="376"/>
      <c r="Q485" s="376"/>
      <c r="R485" s="376"/>
      <c r="S485" s="376"/>
      <c r="T485" s="376"/>
      <c r="U485" s="376"/>
      <c r="V485" s="376"/>
    </row>
    <row r="486" spans="1:22">
      <c r="A486" s="200"/>
      <c r="B486" s="200"/>
      <c r="C486" s="373"/>
      <c r="D486" s="200"/>
      <c r="E486" s="200"/>
      <c r="F486" s="200"/>
      <c r="G486" s="200"/>
      <c r="H486" s="200"/>
      <c r="I486" s="377"/>
      <c r="J486" s="366"/>
      <c r="K486" s="374"/>
      <c r="L486" s="366"/>
      <c r="M486" s="375"/>
      <c r="N486" s="376"/>
      <c r="O486" s="376"/>
      <c r="P486" s="376"/>
      <c r="Q486" s="376"/>
      <c r="R486" s="376"/>
      <c r="S486" s="376"/>
      <c r="T486" s="376"/>
      <c r="U486" s="376"/>
      <c r="V486" s="376"/>
    </row>
    <row r="487" spans="1:22">
      <c r="A487" s="200"/>
      <c r="B487" s="200"/>
      <c r="C487" s="373"/>
      <c r="D487" s="200"/>
      <c r="E487" s="200"/>
      <c r="F487" s="200"/>
      <c r="G487" s="200"/>
      <c r="H487" s="200"/>
      <c r="I487" s="377"/>
      <c r="J487" s="366"/>
      <c r="K487" s="374"/>
      <c r="L487" s="366"/>
      <c r="M487" s="375"/>
      <c r="N487" s="376"/>
      <c r="O487" s="376"/>
      <c r="P487" s="376"/>
      <c r="Q487" s="376"/>
      <c r="R487" s="376"/>
      <c r="S487" s="376"/>
      <c r="T487" s="376"/>
      <c r="U487" s="376"/>
      <c r="V487" s="376"/>
    </row>
    <row r="488" spans="1:22">
      <c r="A488" s="200"/>
      <c r="B488" s="200"/>
      <c r="C488" s="373"/>
      <c r="D488" s="200"/>
      <c r="E488" s="200"/>
      <c r="F488" s="200"/>
      <c r="G488" s="200"/>
      <c r="H488" s="200"/>
      <c r="I488" s="377"/>
      <c r="J488" s="366"/>
      <c r="K488" s="374"/>
      <c r="L488" s="366"/>
      <c r="M488" s="375"/>
      <c r="N488" s="376"/>
      <c r="O488" s="376"/>
      <c r="P488" s="376"/>
      <c r="Q488" s="376"/>
      <c r="R488" s="376"/>
      <c r="S488" s="376"/>
      <c r="T488" s="376"/>
      <c r="U488" s="376"/>
      <c r="V488" s="376"/>
    </row>
    <row r="489" spans="1:22">
      <c r="A489" s="200"/>
      <c r="B489" s="200"/>
      <c r="C489" s="373"/>
      <c r="D489" s="200"/>
      <c r="E489" s="200"/>
      <c r="F489" s="200"/>
      <c r="G489" s="200"/>
      <c r="H489" s="200"/>
      <c r="I489" s="377"/>
      <c r="J489" s="366"/>
      <c r="K489" s="374"/>
      <c r="L489" s="366"/>
      <c r="M489" s="375"/>
      <c r="N489" s="376"/>
      <c r="O489" s="376"/>
      <c r="P489" s="376"/>
      <c r="Q489" s="376"/>
      <c r="R489" s="376"/>
      <c r="S489" s="376"/>
      <c r="T489" s="376"/>
      <c r="U489" s="376"/>
      <c r="V489" s="376"/>
    </row>
    <row r="490" spans="1:22">
      <c r="A490" s="200"/>
      <c r="B490" s="200"/>
      <c r="C490" s="373"/>
      <c r="D490" s="200"/>
      <c r="E490" s="200"/>
      <c r="F490" s="200"/>
      <c r="G490" s="200"/>
      <c r="H490" s="200"/>
      <c r="I490" s="377"/>
      <c r="J490" s="366"/>
      <c r="K490" s="374"/>
      <c r="L490" s="366"/>
      <c r="M490" s="375"/>
      <c r="N490" s="376"/>
      <c r="O490" s="376"/>
      <c r="P490" s="376"/>
      <c r="Q490" s="376"/>
      <c r="R490" s="376"/>
      <c r="S490" s="376"/>
      <c r="T490" s="376"/>
      <c r="U490" s="376"/>
      <c r="V490" s="376"/>
    </row>
    <row r="491" spans="1:22">
      <c r="A491" s="200"/>
      <c r="B491" s="200"/>
      <c r="C491" s="373"/>
      <c r="D491" s="200"/>
      <c r="E491" s="200"/>
      <c r="F491" s="200"/>
      <c r="G491" s="200"/>
      <c r="H491" s="200"/>
      <c r="I491" s="377"/>
      <c r="J491" s="366"/>
      <c r="K491" s="374"/>
      <c r="L491" s="366"/>
      <c r="M491" s="375"/>
      <c r="N491" s="376"/>
      <c r="O491" s="376"/>
      <c r="P491" s="376"/>
      <c r="Q491" s="376"/>
      <c r="R491" s="376"/>
      <c r="S491" s="376"/>
      <c r="T491" s="376"/>
      <c r="U491" s="376"/>
      <c r="V491" s="376"/>
    </row>
    <row r="492" spans="1:22">
      <c r="A492" s="200"/>
      <c r="B492" s="200"/>
      <c r="C492" s="373"/>
      <c r="D492" s="200"/>
      <c r="E492" s="200"/>
      <c r="F492" s="200"/>
      <c r="G492" s="200"/>
      <c r="H492" s="200"/>
      <c r="I492" s="377"/>
      <c r="J492" s="366"/>
      <c r="K492" s="374"/>
      <c r="L492" s="366"/>
      <c r="M492" s="375"/>
      <c r="N492" s="376"/>
      <c r="O492" s="376"/>
      <c r="P492" s="376"/>
      <c r="Q492" s="376"/>
      <c r="R492" s="376"/>
      <c r="S492" s="376"/>
      <c r="T492" s="376"/>
      <c r="U492" s="376"/>
      <c r="V492" s="376"/>
    </row>
    <row r="493" spans="1:22">
      <c r="A493" s="200"/>
      <c r="B493" s="200"/>
      <c r="C493" s="373"/>
      <c r="D493" s="200"/>
      <c r="E493" s="200"/>
      <c r="F493" s="200"/>
      <c r="G493" s="200"/>
      <c r="H493" s="200"/>
      <c r="I493" s="377"/>
      <c r="J493" s="366"/>
      <c r="K493" s="374"/>
      <c r="L493" s="366"/>
      <c r="M493" s="375"/>
      <c r="N493" s="376"/>
      <c r="O493" s="376"/>
      <c r="P493" s="376"/>
      <c r="Q493" s="376"/>
      <c r="R493" s="376"/>
      <c r="S493" s="376"/>
      <c r="T493" s="376"/>
      <c r="U493" s="376"/>
      <c r="V493" s="376"/>
    </row>
    <row r="494" spans="1:22">
      <c r="A494" s="200"/>
      <c r="B494" s="200"/>
      <c r="C494" s="373"/>
      <c r="D494" s="200"/>
      <c r="E494" s="200"/>
      <c r="F494" s="200"/>
      <c r="G494" s="200"/>
      <c r="H494" s="200"/>
      <c r="I494" s="377"/>
      <c r="J494" s="366"/>
      <c r="K494" s="374"/>
      <c r="L494" s="366"/>
      <c r="M494" s="375"/>
      <c r="N494" s="376"/>
      <c r="O494" s="376"/>
      <c r="P494" s="376"/>
      <c r="Q494" s="376"/>
      <c r="R494" s="376"/>
      <c r="S494" s="376"/>
      <c r="T494" s="376"/>
      <c r="U494" s="376"/>
      <c r="V494" s="376"/>
    </row>
    <row r="495" spans="1:22">
      <c r="A495" s="200"/>
      <c r="B495" s="200"/>
      <c r="C495" s="373"/>
      <c r="D495" s="200"/>
      <c r="E495" s="200"/>
      <c r="F495" s="200"/>
      <c r="G495" s="200"/>
      <c r="H495" s="200"/>
      <c r="I495" s="377"/>
      <c r="J495" s="366"/>
      <c r="K495" s="374"/>
      <c r="L495" s="366"/>
      <c r="M495" s="375"/>
      <c r="N495" s="376"/>
      <c r="O495" s="376"/>
      <c r="P495" s="376"/>
      <c r="Q495" s="376"/>
      <c r="R495" s="376"/>
      <c r="S495" s="376"/>
      <c r="T495" s="376"/>
      <c r="U495" s="376"/>
      <c r="V495" s="376"/>
    </row>
    <row r="496" spans="1:22">
      <c r="A496" s="200"/>
      <c r="B496" s="200"/>
      <c r="C496" s="373"/>
      <c r="D496" s="200"/>
      <c r="E496" s="200"/>
      <c r="F496" s="200"/>
      <c r="G496" s="200"/>
      <c r="H496" s="200"/>
      <c r="I496" s="377"/>
      <c r="J496" s="366"/>
      <c r="K496" s="374"/>
      <c r="L496" s="366"/>
      <c r="M496" s="375"/>
      <c r="N496" s="376"/>
      <c r="O496" s="376"/>
      <c r="P496" s="376"/>
      <c r="Q496" s="376"/>
      <c r="R496" s="376"/>
      <c r="S496" s="376"/>
      <c r="T496" s="376"/>
      <c r="U496" s="376"/>
      <c r="V496" s="376"/>
    </row>
    <row r="497" spans="1:22">
      <c r="A497" s="200"/>
      <c r="B497" s="200"/>
      <c r="C497" s="373"/>
      <c r="D497" s="200"/>
      <c r="E497" s="200"/>
      <c r="F497" s="200"/>
      <c r="G497" s="200"/>
      <c r="H497" s="200"/>
      <c r="I497" s="377"/>
      <c r="J497" s="366"/>
      <c r="K497" s="374"/>
      <c r="L497" s="366"/>
      <c r="M497" s="375"/>
      <c r="N497" s="376"/>
      <c r="O497" s="376"/>
      <c r="P497" s="376"/>
      <c r="Q497" s="376"/>
      <c r="R497" s="376"/>
      <c r="S497" s="376"/>
      <c r="T497" s="376"/>
      <c r="U497" s="376"/>
      <c r="V497" s="376"/>
    </row>
    <row r="498" spans="1:22">
      <c r="A498" s="200"/>
      <c r="B498" s="200"/>
      <c r="C498" s="373"/>
      <c r="D498" s="200"/>
      <c r="E498" s="200"/>
      <c r="F498" s="200"/>
      <c r="G498" s="200"/>
      <c r="H498" s="200"/>
      <c r="I498" s="377"/>
      <c r="J498" s="366"/>
      <c r="K498" s="374"/>
      <c r="L498" s="366"/>
      <c r="M498" s="375"/>
      <c r="N498" s="376"/>
      <c r="O498" s="376"/>
      <c r="P498" s="376"/>
      <c r="Q498" s="376"/>
      <c r="R498" s="376"/>
      <c r="S498" s="376"/>
      <c r="T498" s="376"/>
      <c r="U498" s="376"/>
      <c r="V498" s="376"/>
    </row>
    <row r="499" spans="1:22">
      <c r="A499" s="200"/>
      <c r="B499" s="200"/>
      <c r="C499" s="373"/>
      <c r="D499" s="200"/>
      <c r="E499" s="200"/>
      <c r="F499" s="200"/>
      <c r="G499" s="200"/>
      <c r="H499" s="200"/>
      <c r="I499" s="377"/>
      <c r="J499" s="366"/>
      <c r="K499" s="374"/>
      <c r="L499" s="366"/>
      <c r="M499" s="375"/>
      <c r="N499" s="376"/>
      <c r="O499" s="376"/>
      <c r="P499" s="376"/>
      <c r="Q499" s="376"/>
      <c r="R499" s="376"/>
      <c r="S499" s="376"/>
      <c r="T499" s="376"/>
      <c r="U499" s="376"/>
      <c r="V499" s="376"/>
    </row>
    <row r="500" spans="1:22">
      <c r="A500" s="200"/>
      <c r="B500" s="200"/>
      <c r="C500" s="373"/>
      <c r="D500" s="200"/>
      <c r="E500" s="200"/>
      <c r="F500" s="200"/>
      <c r="G500" s="200"/>
      <c r="H500" s="200"/>
      <c r="I500" s="377"/>
      <c r="J500" s="366"/>
      <c r="K500" s="374"/>
      <c r="L500" s="366"/>
      <c r="M500" s="375"/>
      <c r="N500" s="376"/>
      <c r="O500" s="376"/>
      <c r="P500" s="376"/>
      <c r="Q500" s="376"/>
      <c r="R500" s="376"/>
      <c r="S500" s="376"/>
      <c r="T500" s="376"/>
      <c r="U500" s="376"/>
      <c r="V500" s="376"/>
    </row>
    <row r="501" spans="1:22">
      <c r="A501" s="200"/>
      <c r="B501" s="200"/>
      <c r="C501" s="373"/>
      <c r="D501" s="200"/>
      <c r="E501" s="200"/>
      <c r="F501" s="200"/>
      <c r="G501" s="200"/>
      <c r="H501" s="200"/>
      <c r="I501" s="377"/>
      <c r="J501" s="366"/>
      <c r="K501" s="374"/>
      <c r="L501" s="366"/>
      <c r="M501" s="375"/>
      <c r="N501" s="376"/>
      <c r="O501" s="376"/>
      <c r="P501" s="376"/>
      <c r="Q501" s="376"/>
      <c r="R501" s="376"/>
      <c r="S501" s="376"/>
      <c r="T501" s="376"/>
      <c r="U501" s="376"/>
      <c r="V501" s="376"/>
    </row>
    <row r="502" spans="1:22">
      <c r="A502" s="200"/>
      <c r="B502" s="200"/>
      <c r="C502" s="373"/>
      <c r="D502" s="200"/>
      <c r="E502" s="200"/>
      <c r="F502" s="200"/>
      <c r="G502" s="200"/>
      <c r="H502" s="200"/>
      <c r="I502" s="377"/>
      <c r="J502" s="366"/>
      <c r="K502" s="374"/>
      <c r="L502" s="366"/>
      <c r="M502" s="375"/>
      <c r="N502" s="376"/>
      <c r="O502" s="376"/>
      <c r="P502" s="376"/>
      <c r="Q502" s="376"/>
      <c r="R502" s="376"/>
      <c r="S502" s="376"/>
      <c r="T502" s="376"/>
      <c r="U502" s="376"/>
      <c r="V502" s="376"/>
    </row>
    <row r="503" spans="1:22">
      <c r="A503" s="200"/>
      <c r="B503" s="200"/>
      <c r="C503" s="373"/>
      <c r="D503" s="200"/>
      <c r="E503" s="200"/>
      <c r="F503" s="200"/>
      <c r="G503" s="200"/>
      <c r="H503" s="200"/>
      <c r="I503" s="377"/>
      <c r="J503" s="366"/>
      <c r="K503" s="374"/>
      <c r="L503" s="366"/>
      <c r="M503" s="375"/>
      <c r="N503" s="376"/>
      <c r="O503" s="376"/>
      <c r="P503" s="376"/>
      <c r="Q503" s="376"/>
      <c r="R503" s="376"/>
      <c r="S503" s="376"/>
      <c r="T503" s="376"/>
      <c r="U503" s="376"/>
      <c r="V503" s="376"/>
    </row>
    <row r="504" spans="1:22">
      <c r="A504" s="200"/>
      <c r="B504" s="200"/>
      <c r="C504" s="373"/>
      <c r="D504" s="200"/>
      <c r="E504" s="200"/>
      <c r="F504" s="200"/>
      <c r="G504" s="200"/>
      <c r="H504" s="200"/>
      <c r="I504" s="377"/>
      <c r="J504" s="366"/>
      <c r="K504" s="374"/>
      <c r="L504" s="366"/>
      <c r="M504" s="375"/>
      <c r="N504" s="376"/>
      <c r="O504" s="376"/>
      <c r="P504" s="376"/>
      <c r="Q504" s="376"/>
      <c r="R504" s="376"/>
      <c r="S504" s="376"/>
      <c r="T504" s="376"/>
      <c r="U504" s="376"/>
      <c r="V504" s="376"/>
    </row>
    <row r="505" spans="1:22">
      <c r="A505" s="200"/>
      <c r="B505" s="200"/>
      <c r="C505" s="373"/>
      <c r="D505" s="200"/>
      <c r="E505" s="200"/>
      <c r="F505" s="200"/>
      <c r="G505" s="200"/>
      <c r="H505" s="200"/>
      <c r="I505" s="377"/>
      <c r="J505" s="366"/>
      <c r="K505" s="374"/>
      <c r="L505" s="366"/>
      <c r="M505" s="375"/>
      <c r="N505" s="376"/>
      <c r="O505" s="376"/>
      <c r="P505" s="376"/>
      <c r="Q505" s="376"/>
      <c r="R505" s="376"/>
      <c r="S505" s="376"/>
      <c r="T505" s="376"/>
      <c r="U505" s="376"/>
      <c r="V505" s="376"/>
    </row>
    <row r="506" spans="1:22">
      <c r="A506" s="200"/>
      <c r="B506" s="200"/>
      <c r="C506" s="373"/>
      <c r="D506" s="200"/>
      <c r="E506" s="200"/>
      <c r="F506" s="200"/>
      <c r="G506" s="200"/>
      <c r="H506" s="200"/>
      <c r="I506" s="377"/>
      <c r="J506" s="366"/>
      <c r="K506" s="374"/>
      <c r="L506" s="366"/>
      <c r="M506" s="375"/>
      <c r="N506" s="376"/>
      <c r="O506" s="376"/>
      <c r="P506" s="376"/>
      <c r="Q506" s="376"/>
      <c r="R506" s="376"/>
      <c r="S506" s="376"/>
      <c r="T506" s="376"/>
      <c r="U506" s="376"/>
      <c r="V506" s="376"/>
    </row>
    <row r="507" spans="1:22">
      <c r="A507" s="200"/>
      <c r="B507" s="200"/>
      <c r="C507" s="373"/>
      <c r="D507" s="200"/>
      <c r="E507" s="200"/>
      <c r="F507" s="200"/>
      <c r="G507" s="200"/>
      <c r="H507" s="200"/>
      <c r="I507" s="377"/>
      <c r="J507" s="366"/>
      <c r="K507" s="374"/>
      <c r="L507" s="366"/>
      <c r="M507" s="375"/>
      <c r="N507" s="376"/>
      <c r="O507" s="376"/>
      <c r="P507" s="376"/>
      <c r="Q507" s="376"/>
      <c r="R507" s="376"/>
      <c r="S507" s="376"/>
      <c r="T507" s="376"/>
      <c r="U507" s="376"/>
      <c r="V507" s="376"/>
    </row>
    <row r="508" spans="1:22">
      <c r="A508" s="200"/>
      <c r="B508" s="200"/>
      <c r="C508" s="373"/>
      <c r="D508" s="200"/>
      <c r="E508" s="200"/>
      <c r="F508" s="200"/>
      <c r="G508" s="200"/>
      <c r="H508" s="200"/>
      <c r="I508" s="377"/>
      <c r="J508" s="366"/>
      <c r="K508" s="374"/>
      <c r="L508" s="366"/>
      <c r="M508" s="375"/>
      <c r="N508" s="376"/>
      <c r="O508" s="376"/>
      <c r="P508" s="376"/>
      <c r="Q508" s="376"/>
      <c r="R508" s="376"/>
      <c r="S508" s="376"/>
      <c r="T508" s="376"/>
      <c r="U508" s="376"/>
      <c r="V508" s="376"/>
    </row>
    <row r="509" spans="1:22">
      <c r="A509" s="200"/>
      <c r="B509" s="200"/>
      <c r="C509" s="373"/>
      <c r="D509" s="200"/>
      <c r="E509" s="200"/>
      <c r="F509" s="200"/>
      <c r="G509" s="200"/>
      <c r="H509" s="200"/>
      <c r="I509" s="377"/>
      <c r="J509" s="366"/>
      <c r="K509" s="374"/>
      <c r="L509" s="366"/>
      <c r="M509" s="375"/>
      <c r="N509" s="376"/>
      <c r="O509" s="376"/>
      <c r="P509" s="376"/>
      <c r="Q509" s="376"/>
      <c r="R509" s="376"/>
      <c r="S509" s="376"/>
      <c r="T509" s="376"/>
      <c r="U509" s="376"/>
      <c r="V509" s="376"/>
    </row>
    <row r="510" spans="1:22">
      <c r="A510" s="200"/>
      <c r="B510" s="200"/>
      <c r="C510" s="373"/>
      <c r="D510" s="200"/>
      <c r="E510" s="200"/>
      <c r="F510" s="200"/>
      <c r="G510" s="200"/>
      <c r="H510" s="200"/>
      <c r="I510" s="377"/>
      <c r="J510" s="366"/>
      <c r="K510" s="374"/>
      <c r="L510" s="366"/>
      <c r="M510" s="375"/>
      <c r="N510" s="376"/>
      <c r="O510" s="376"/>
      <c r="P510" s="376"/>
      <c r="Q510" s="376"/>
      <c r="R510" s="376"/>
      <c r="S510" s="376"/>
      <c r="T510" s="376"/>
      <c r="U510" s="376"/>
      <c r="V510" s="376"/>
    </row>
    <row r="511" spans="1:22">
      <c r="A511" s="200"/>
      <c r="B511" s="200"/>
      <c r="C511" s="373"/>
      <c r="D511" s="200"/>
      <c r="E511" s="200"/>
      <c r="F511" s="200"/>
      <c r="G511" s="200"/>
      <c r="H511" s="200"/>
      <c r="I511" s="377"/>
      <c r="J511" s="366"/>
      <c r="K511" s="374"/>
      <c r="L511" s="366"/>
      <c r="M511" s="375"/>
      <c r="N511" s="376"/>
      <c r="O511" s="376"/>
      <c r="P511" s="376"/>
      <c r="Q511" s="376"/>
      <c r="R511" s="376"/>
      <c r="S511" s="376"/>
      <c r="T511" s="376"/>
      <c r="U511" s="376"/>
      <c r="V511" s="376"/>
    </row>
    <row r="512" spans="1:22">
      <c r="A512" s="200"/>
      <c r="B512" s="200"/>
      <c r="C512" s="373"/>
      <c r="D512" s="200"/>
      <c r="E512" s="200"/>
      <c r="F512" s="200"/>
      <c r="G512" s="200"/>
      <c r="H512" s="200"/>
      <c r="I512" s="377"/>
      <c r="J512" s="366"/>
      <c r="K512" s="374"/>
      <c r="L512" s="366"/>
      <c r="M512" s="375"/>
      <c r="N512" s="376"/>
      <c r="O512" s="376"/>
      <c r="P512" s="376"/>
      <c r="Q512" s="376"/>
      <c r="R512" s="376"/>
      <c r="S512" s="376"/>
      <c r="T512" s="376"/>
      <c r="U512" s="376"/>
      <c r="V512" s="376"/>
    </row>
    <row r="513" spans="1:22">
      <c r="A513" s="200"/>
      <c r="B513" s="200"/>
      <c r="C513" s="373"/>
      <c r="D513" s="200"/>
      <c r="E513" s="200"/>
      <c r="F513" s="200"/>
      <c r="G513" s="200"/>
      <c r="H513" s="200"/>
      <c r="I513" s="377"/>
      <c r="J513" s="366"/>
      <c r="K513" s="374"/>
      <c r="L513" s="366"/>
      <c r="M513" s="375"/>
      <c r="N513" s="376"/>
      <c r="O513" s="376"/>
      <c r="P513" s="376"/>
      <c r="Q513" s="376"/>
      <c r="R513" s="376"/>
      <c r="S513" s="376"/>
      <c r="T513" s="376"/>
      <c r="U513" s="376"/>
      <c r="V513" s="376"/>
    </row>
    <row r="514" spans="1:22">
      <c r="A514" s="200"/>
      <c r="B514" s="200"/>
      <c r="C514" s="373"/>
      <c r="D514" s="200"/>
      <c r="E514" s="200"/>
      <c r="F514" s="200"/>
      <c r="G514" s="200"/>
      <c r="H514" s="200"/>
      <c r="I514" s="377"/>
      <c r="J514" s="366"/>
      <c r="K514" s="374"/>
      <c r="L514" s="366"/>
      <c r="M514" s="375"/>
      <c r="N514" s="376"/>
      <c r="O514" s="376"/>
      <c r="P514" s="376"/>
      <c r="Q514" s="376"/>
      <c r="R514" s="376"/>
      <c r="S514" s="376"/>
      <c r="T514" s="376"/>
      <c r="U514" s="376"/>
      <c r="V514" s="376"/>
    </row>
    <row r="515" spans="1:22">
      <c r="A515" s="200"/>
      <c r="B515" s="200"/>
      <c r="C515" s="373"/>
      <c r="D515" s="200"/>
      <c r="E515" s="200"/>
      <c r="F515" s="200"/>
      <c r="G515" s="200"/>
      <c r="H515" s="200"/>
      <c r="I515" s="377"/>
      <c r="J515" s="366"/>
      <c r="K515" s="374"/>
      <c r="L515" s="366"/>
      <c r="M515" s="375"/>
      <c r="N515" s="376"/>
      <c r="O515" s="376"/>
      <c r="P515" s="376"/>
      <c r="Q515" s="376"/>
      <c r="R515" s="376"/>
      <c r="S515" s="376"/>
      <c r="T515" s="376"/>
      <c r="U515" s="376"/>
      <c r="V515" s="376"/>
    </row>
    <row r="516" spans="1:22">
      <c r="A516" s="200"/>
      <c r="B516" s="200"/>
      <c r="C516" s="373"/>
      <c r="D516" s="200"/>
      <c r="E516" s="200"/>
      <c r="F516" s="200"/>
      <c r="G516" s="200"/>
      <c r="H516" s="200"/>
      <c r="I516" s="377"/>
      <c r="J516" s="366"/>
      <c r="K516" s="374"/>
      <c r="L516" s="366"/>
      <c r="M516" s="375"/>
      <c r="N516" s="376"/>
      <c r="O516" s="376"/>
      <c r="P516" s="376"/>
      <c r="Q516" s="376"/>
      <c r="R516" s="376"/>
      <c r="S516" s="376"/>
      <c r="T516" s="376"/>
      <c r="U516" s="376"/>
      <c r="V516" s="376"/>
    </row>
    <row r="517" spans="1:22">
      <c r="A517" s="200"/>
      <c r="B517" s="200"/>
      <c r="C517" s="373"/>
      <c r="D517" s="200"/>
      <c r="E517" s="200"/>
      <c r="F517" s="200"/>
      <c r="G517" s="200"/>
      <c r="H517" s="200"/>
      <c r="I517" s="377"/>
      <c r="J517" s="366"/>
      <c r="K517" s="374"/>
      <c r="L517" s="366"/>
      <c r="M517" s="375"/>
      <c r="N517" s="376"/>
      <c r="O517" s="376"/>
      <c r="P517" s="376"/>
      <c r="Q517" s="376"/>
      <c r="R517" s="376"/>
      <c r="S517" s="376"/>
      <c r="T517" s="376"/>
      <c r="U517" s="376"/>
      <c r="V517" s="376"/>
    </row>
    <row r="518" spans="1:22">
      <c r="A518" s="200"/>
      <c r="B518" s="200"/>
      <c r="C518" s="373"/>
      <c r="D518" s="200"/>
      <c r="E518" s="200"/>
      <c r="F518" s="200"/>
      <c r="G518" s="200"/>
      <c r="H518" s="200"/>
      <c r="I518" s="377"/>
      <c r="J518" s="366"/>
      <c r="K518" s="374"/>
      <c r="L518" s="366"/>
      <c r="M518" s="375"/>
      <c r="N518" s="376"/>
      <c r="O518" s="376"/>
      <c r="P518" s="376"/>
      <c r="Q518" s="376"/>
      <c r="R518" s="376"/>
      <c r="S518" s="376"/>
      <c r="T518" s="376"/>
      <c r="U518" s="376"/>
      <c r="V518" s="376"/>
    </row>
    <row r="519" spans="1:22">
      <c r="A519" s="200"/>
      <c r="B519" s="200"/>
      <c r="C519" s="373"/>
      <c r="D519" s="200"/>
      <c r="E519" s="200"/>
      <c r="F519" s="200"/>
      <c r="G519" s="200"/>
      <c r="H519" s="200"/>
      <c r="I519" s="377"/>
      <c r="J519" s="366"/>
      <c r="K519" s="374"/>
      <c r="L519" s="366"/>
      <c r="M519" s="375"/>
      <c r="N519" s="376"/>
      <c r="O519" s="376"/>
      <c r="P519" s="376"/>
      <c r="Q519" s="376"/>
      <c r="R519" s="376"/>
      <c r="S519" s="376"/>
      <c r="T519" s="376"/>
      <c r="U519" s="376"/>
      <c r="V519" s="376"/>
    </row>
    <row r="520" spans="1:22">
      <c r="A520" s="200"/>
      <c r="B520" s="200"/>
      <c r="C520" s="373"/>
      <c r="D520" s="200"/>
      <c r="E520" s="200"/>
      <c r="F520" s="200"/>
      <c r="G520" s="200"/>
      <c r="H520" s="200"/>
      <c r="I520" s="377"/>
      <c r="J520" s="366"/>
      <c r="K520" s="374"/>
      <c r="L520" s="366"/>
      <c r="M520" s="375"/>
      <c r="N520" s="376"/>
      <c r="O520" s="376"/>
      <c r="P520" s="376"/>
      <c r="Q520" s="376"/>
      <c r="R520" s="376"/>
      <c r="S520" s="376"/>
      <c r="T520" s="376"/>
      <c r="U520" s="376"/>
      <c r="V520" s="376"/>
    </row>
    <row r="521" spans="1:22">
      <c r="A521" s="200"/>
      <c r="B521" s="200"/>
      <c r="C521" s="373"/>
      <c r="D521" s="200"/>
      <c r="E521" s="200"/>
      <c r="F521" s="200"/>
      <c r="G521" s="200"/>
      <c r="H521" s="200"/>
      <c r="I521" s="377"/>
      <c r="J521" s="366"/>
      <c r="K521" s="374"/>
      <c r="L521" s="366"/>
      <c r="M521" s="375"/>
      <c r="N521" s="376"/>
      <c r="O521" s="376"/>
      <c r="P521" s="376"/>
      <c r="Q521" s="376"/>
      <c r="R521" s="376"/>
      <c r="S521" s="376"/>
      <c r="T521" s="376"/>
      <c r="U521" s="376"/>
      <c r="V521" s="376"/>
    </row>
    <row r="522" spans="1:22">
      <c r="A522" s="200"/>
      <c r="B522" s="200"/>
      <c r="C522" s="373"/>
      <c r="D522" s="200"/>
      <c r="E522" s="200"/>
      <c r="F522" s="200"/>
      <c r="G522" s="200"/>
      <c r="H522" s="200"/>
      <c r="I522" s="377"/>
      <c r="J522" s="366"/>
      <c r="K522" s="374"/>
      <c r="L522" s="366"/>
      <c r="M522" s="375"/>
      <c r="N522" s="376"/>
      <c r="O522" s="376"/>
      <c r="P522" s="376"/>
      <c r="Q522" s="376"/>
      <c r="R522" s="376"/>
      <c r="S522" s="376"/>
      <c r="T522" s="376"/>
      <c r="U522" s="376"/>
      <c r="V522" s="376"/>
    </row>
    <row r="523" spans="1:22">
      <c r="A523" s="200"/>
      <c r="B523" s="200"/>
      <c r="C523" s="373"/>
      <c r="D523" s="200"/>
      <c r="E523" s="200"/>
      <c r="F523" s="200"/>
      <c r="G523" s="200"/>
      <c r="H523" s="200"/>
      <c r="I523" s="377"/>
      <c r="J523" s="366"/>
      <c r="K523" s="374"/>
      <c r="L523" s="366"/>
      <c r="M523" s="375"/>
      <c r="N523" s="376"/>
      <c r="O523" s="376"/>
      <c r="P523" s="376"/>
      <c r="Q523" s="376"/>
      <c r="R523" s="376"/>
      <c r="S523" s="376"/>
      <c r="T523" s="376"/>
      <c r="U523" s="376"/>
      <c r="V523" s="376"/>
    </row>
    <row r="524" spans="1:22">
      <c r="A524" s="200"/>
      <c r="B524" s="200"/>
      <c r="C524" s="373"/>
      <c r="D524" s="200"/>
      <c r="E524" s="200"/>
      <c r="F524" s="200"/>
      <c r="G524" s="200"/>
      <c r="H524" s="200"/>
      <c r="I524" s="377"/>
      <c r="J524" s="366"/>
      <c r="K524" s="374"/>
      <c r="L524" s="366"/>
      <c r="M524" s="375"/>
      <c r="N524" s="376"/>
      <c r="O524" s="376"/>
      <c r="P524" s="376"/>
      <c r="Q524" s="376"/>
      <c r="R524" s="376"/>
      <c r="S524" s="376"/>
      <c r="T524" s="376"/>
      <c r="U524" s="376"/>
      <c r="V524" s="376"/>
    </row>
    <row r="525" spans="1:22">
      <c r="A525" s="200"/>
      <c r="B525" s="200"/>
      <c r="C525" s="373"/>
      <c r="D525" s="200"/>
      <c r="E525" s="200"/>
      <c r="F525" s="200"/>
      <c r="G525" s="200"/>
      <c r="H525" s="200"/>
      <c r="I525" s="377"/>
      <c r="J525" s="366"/>
      <c r="K525" s="374"/>
      <c r="L525" s="366"/>
      <c r="M525" s="375"/>
      <c r="N525" s="376"/>
      <c r="O525" s="376"/>
      <c r="P525" s="376"/>
      <c r="Q525" s="376"/>
      <c r="R525" s="376"/>
      <c r="S525" s="376"/>
      <c r="T525" s="376"/>
      <c r="U525" s="376"/>
      <c r="V525" s="376"/>
    </row>
    <row r="526" spans="1:22">
      <c r="A526" s="200"/>
      <c r="B526" s="200"/>
      <c r="C526" s="373"/>
      <c r="D526" s="200"/>
      <c r="E526" s="200"/>
      <c r="F526" s="200"/>
      <c r="G526" s="200"/>
      <c r="H526" s="200"/>
      <c r="I526" s="377"/>
      <c r="J526" s="366"/>
      <c r="K526" s="374"/>
      <c r="L526" s="366"/>
      <c r="M526" s="375"/>
      <c r="N526" s="376"/>
      <c r="O526" s="376"/>
      <c r="P526" s="376"/>
      <c r="Q526" s="376"/>
      <c r="R526" s="376"/>
      <c r="S526" s="376"/>
      <c r="T526" s="376"/>
      <c r="U526" s="376"/>
      <c r="V526" s="376"/>
    </row>
    <row r="527" spans="1:22">
      <c r="A527" s="200"/>
      <c r="B527" s="200"/>
      <c r="C527" s="373"/>
      <c r="D527" s="200"/>
      <c r="E527" s="200"/>
      <c r="F527" s="200"/>
      <c r="G527" s="200"/>
      <c r="H527" s="200"/>
      <c r="I527" s="377"/>
      <c r="J527" s="366"/>
      <c r="K527" s="374"/>
      <c r="L527" s="366"/>
      <c r="M527" s="375"/>
      <c r="N527" s="376"/>
      <c r="O527" s="376"/>
      <c r="P527" s="376"/>
      <c r="Q527" s="376"/>
      <c r="R527" s="376"/>
      <c r="S527" s="376"/>
      <c r="T527" s="376"/>
      <c r="U527" s="376"/>
      <c r="V527" s="376"/>
    </row>
    <row r="528" spans="1:22">
      <c r="A528" s="200"/>
      <c r="B528" s="200"/>
      <c r="C528" s="373"/>
      <c r="D528" s="200"/>
      <c r="E528" s="200"/>
      <c r="F528" s="200"/>
      <c r="G528" s="200"/>
      <c r="H528" s="200"/>
      <c r="I528" s="377"/>
      <c r="J528" s="366"/>
      <c r="K528" s="374"/>
      <c r="L528" s="366"/>
      <c r="M528" s="375"/>
      <c r="N528" s="376"/>
      <c r="O528" s="376"/>
      <c r="P528" s="376"/>
      <c r="Q528" s="376"/>
      <c r="R528" s="376"/>
      <c r="S528" s="376"/>
      <c r="T528" s="376"/>
      <c r="U528" s="376"/>
      <c r="V528" s="376"/>
    </row>
    <row r="529" spans="1:22">
      <c r="A529" s="200"/>
      <c r="B529" s="200"/>
      <c r="C529" s="373"/>
      <c r="D529" s="200"/>
      <c r="E529" s="200"/>
      <c r="F529" s="200"/>
      <c r="G529" s="200"/>
      <c r="H529" s="200"/>
      <c r="I529" s="377"/>
      <c r="J529" s="366"/>
      <c r="K529" s="374"/>
      <c r="L529" s="366"/>
      <c r="M529" s="375"/>
      <c r="N529" s="376"/>
      <c r="O529" s="376"/>
      <c r="P529" s="376"/>
      <c r="Q529" s="376"/>
      <c r="R529" s="376"/>
      <c r="S529" s="376"/>
      <c r="T529" s="376"/>
      <c r="U529" s="376"/>
      <c r="V529" s="376"/>
    </row>
    <row r="530" spans="1:22">
      <c r="A530" s="200"/>
      <c r="B530" s="200"/>
      <c r="C530" s="373"/>
      <c r="D530" s="200"/>
      <c r="E530" s="200"/>
      <c r="F530" s="200"/>
      <c r="G530" s="200"/>
      <c r="H530" s="200"/>
      <c r="I530" s="377"/>
      <c r="J530" s="366"/>
      <c r="K530" s="374"/>
      <c r="L530" s="366"/>
      <c r="M530" s="375"/>
      <c r="N530" s="376"/>
      <c r="O530" s="376"/>
      <c r="P530" s="376"/>
      <c r="Q530" s="376"/>
      <c r="R530" s="376"/>
      <c r="S530" s="376"/>
      <c r="T530" s="376"/>
      <c r="U530" s="376"/>
      <c r="V530" s="376"/>
    </row>
    <row r="531" spans="1:22">
      <c r="A531" s="200"/>
      <c r="B531" s="200"/>
      <c r="C531" s="373"/>
      <c r="D531" s="200"/>
      <c r="E531" s="200"/>
      <c r="F531" s="200"/>
      <c r="G531" s="200"/>
      <c r="H531" s="200"/>
      <c r="I531" s="377"/>
      <c r="J531" s="366"/>
      <c r="K531" s="374"/>
      <c r="L531" s="366"/>
      <c r="M531" s="375"/>
      <c r="N531" s="376"/>
      <c r="O531" s="376"/>
      <c r="P531" s="376"/>
      <c r="Q531" s="376"/>
      <c r="R531" s="376"/>
      <c r="S531" s="376"/>
      <c r="T531" s="376"/>
      <c r="U531" s="376"/>
      <c r="V531" s="376"/>
    </row>
    <row r="532" spans="1:22">
      <c r="A532" s="200"/>
      <c r="B532" s="200"/>
      <c r="C532" s="373"/>
      <c r="D532" s="200"/>
      <c r="E532" s="200"/>
      <c r="F532" s="200"/>
      <c r="G532" s="200"/>
      <c r="H532" s="200"/>
      <c r="I532" s="377"/>
      <c r="J532" s="366"/>
      <c r="K532" s="374"/>
      <c r="L532" s="366"/>
      <c r="M532" s="375"/>
      <c r="N532" s="376"/>
      <c r="O532" s="376"/>
      <c r="P532" s="376"/>
      <c r="Q532" s="376"/>
      <c r="R532" s="376"/>
      <c r="S532" s="376"/>
      <c r="T532" s="376"/>
      <c r="U532" s="376"/>
      <c r="V532" s="376"/>
    </row>
    <row r="533" spans="1:22">
      <c r="A533" s="200"/>
      <c r="B533" s="200"/>
      <c r="C533" s="373"/>
      <c r="D533" s="200"/>
      <c r="E533" s="200"/>
      <c r="F533" s="200"/>
      <c r="G533" s="200"/>
      <c r="H533" s="200"/>
      <c r="I533" s="377"/>
      <c r="J533" s="366"/>
      <c r="K533" s="374"/>
      <c r="L533" s="366"/>
      <c r="M533" s="375"/>
      <c r="N533" s="376"/>
      <c r="O533" s="376"/>
      <c r="P533" s="376"/>
      <c r="Q533" s="376"/>
      <c r="R533" s="376"/>
      <c r="S533" s="376"/>
      <c r="T533" s="376"/>
      <c r="U533" s="376"/>
      <c r="V533" s="376"/>
    </row>
    <row r="534" spans="1:22">
      <c r="A534" s="200"/>
      <c r="B534" s="200"/>
      <c r="C534" s="373"/>
      <c r="D534" s="200"/>
      <c r="E534" s="200"/>
      <c r="F534" s="200"/>
      <c r="G534" s="200"/>
      <c r="H534" s="200"/>
      <c r="I534" s="377"/>
      <c r="J534" s="366"/>
      <c r="K534" s="374"/>
      <c r="L534" s="366"/>
      <c r="M534" s="375"/>
      <c r="N534" s="376"/>
      <c r="O534" s="376"/>
      <c r="P534" s="376"/>
      <c r="Q534" s="376"/>
      <c r="R534" s="376"/>
      <c r="S534" s="376"/>
      <c r="T534" s="376"/>
      <c r="U534" s="376"/>
      <c r="V534" s="376"/>
    </row>
    <row r="535" spans="1:22">
      <c r="A535" s="200"/>
      <c r="B535" s="200"/>
      <c r="C535" s="373"/>
      <c r="D535" s="200"/>
      <c r="E535" s="200"/>
      <c r="F535" s="200"/>
      <c r="G535" s="200"/>
      <c r="H535" s="200"/>
      <c r="I535" s="377"/>
      <c r="J535" s="366"/>
      <c r="K535" s="374"/>
      <c r="L535" s="366"/>
      <c r="M535" s="375"/>
      <c r="N535" s="376"/>
      <c r="O535" s="376"/>
      <c r="P535" s="376"/>
      <c r="Q535" s="376"/>
      <c r="R535" s="376"/>
      <c r="S535" s="376"/>
      <c r="T535" s="376"/>
      <c r="U535" s="376"/>
      <c r="V535" s="376"/>
    </row>
    <row r="536" spans="1:22">
      <c r="A536" s="200"/>
      <c r="B536" s="200"/>
      <c r="C536" s="373"/>
      <c r="D536" s="200"/>
      <c r="E536" s="200"/>
      <c r="F536" s="200"/>
      <c r="G536" s="200"/>
      <c r="H536" s="200"/>
      <c r="I536" s="377"/>
      <c r="J536" s="366"/>
      <c r="K536" s="374"/>
      <c r="L536" s="366"/>
      <c r="M536" s="375"/>
      <c r="N536" s="376"/>
      <c r="O536" s="376"/>
      <c r="P536" s="376"/>
      <c r="Q536" s="376"/>
      <c r="R536" s="376"/>
      <c r="S536" s="376"/>
      <c r="T536" s="376"/>
      <c r="U536" s="376"/>
      <c r="V536" s="376"/>
    </row>
    <row r="537" spans="1:22">
      <c r="A537" s="200"/>
      <c r="B537" s="200"/>
      <c r="C537" s="373"/>
      <c r="D537" s="200"/>
      <c r="E537" s="200"/>
      <c r="F537" s="200"/>
      <c r="G537" s="200"/>
      <c r="H537" s="200"/>
      <c r="I537" s="377"/>
      <c r="J537" s="366"/>
      <c r="K537" s="374"/>
      <c r="L537" s="366"/>
      <c r="M537" s="375"/>
      <c r="N537" s="376"/>
      <c r="O537" s="376"/>
      <c r="P537" s="376"/>
      <c r="Q537" s="376"/>
      <c r="R537" s="376"/>
      <c r="S537" s="376"/>
      <c r="T537" s="376"/>
      <c r="U537" s="376"/>
      <c r="V537" s="376"/>
    </row>
    <row r="538" spans="1:22">
      <c r="A538" s="200"/>
      <c r="B538" s="200"/>
      <c r="C538" s="373"/>
      <c r="D538" s="200"/>
      <c r="E538" s="200"/>
      <c r="F538" s="200"/>
      <c r="G538" s="200"/>
      <c r="H538" s="200"/>
      <c r="I538" s="377"/>
      <c r="J538" s="366"/>
      <c r="K538" s="374"/>
      <c r="L538" s="366"/>
      <c r="M538" s="375"/>
      <c r="N538" s="376"/>
      <c r="O538" s="376"/>
      <c r="P538" s="376"/>
      <c r="Q538" s="376"/>
      <c r="R538" s="376"/>
      <c r="S538" s="376"/>
      <c r="T538" s="376"/>
      <c r="U538" s="376"/>
      <c r="V538" s="376"/>
    </row>
    <row r="539" spans="1:22">
      <c r="A539" s="200"/>
      <c r="B539" s="200"/>
      <c r="C539" s="373"/>
      <c r="D539" s="200"/>
      <c r="E539" s="200"/>
      <c r="F539" s="200"/>
      <c r="G539" s="200"/>
      <c r="H539" s="200"/>
      <c r="I539" s="377"/>
      <c r="J539" s="366"/>
      <c r="K539" s="374"/>
      <c r="L539" s="366"/>
      <c r="M539" s="375"/>
      <c r="N539" s="376"/>
      <c r="O539" s="376"/>
      <c r="P539" s="376"/>
      <c r="Q539" s="376"/>
      <c r="R539" s="376"/>
      <c r="S539" s="376"/>
      <c r="T539" s="376"/>
      <c r="U539" s="376"/>
      <c r="V539" s="376"/>
    </row>
    <row r="540" spans="1:22">
      <c r="A540" s="200"/>
      <c r="B540" s="200"/>
      <c r="C540" s="373"/>
      <c r="D540" s="200"/>
      <c r="E540" s="200"/>
      <c r="F540" s="200"/>
      <c r="G540" s="200"/>
      <c r="H540" s="200"/>
      <c r="I540" s="377"/>
      <c r="J540" s="366"/>
      <c r="K540" s="374"/>
      <c r="L540" s="366"/>
      <c r="M540" s="375"/>
      <c r="N540" s="376"/>
      <c r="O540" s="376"/>
      <c r="P540" s="376"/>
      <c r="Q540" s="376"/>
      <c r="R540" s="376"/>
      <c r="S540" s="376"/>
      <c r="T540" s="376"/>
      <c r="U540" s="376"/>
      <c r="V540" s="376"/>
    </row>
    <row r="541" spans="1:22">
      <c r="A541" s="200"/>
      <c r="B541" s="200"/>
      <c r="C541" s="373"/>
      <c r="D541" s="200"/>
      <c r="E541" s="200"/>
      <c r="F541" s="200"/>
      <c r="G541" s="200"/>
      <c r="H541" s="200"/>
      <c r="I541" s="377"/>
      <c r="J541" s="366"/>
      <c r="K541" s="374"/>
      <c r="L541" s="366"/>
      <c r="M541" s="375"/>
      <c r="N541" s="376"/>
      <c r="O541" s="376"/>
      <c r="P541" s="376"/>
      <c r="Q541" s="376"/>
      <c r="R541" s="376"/>
      <c r="S541" s="376"/>
      <c r="T541" s="376"/>
      <c r="U541" s="376"/>
      <c r="V541" s="376"/>
    </row>
    <row r="542" spans="1:22">
      <c r="A542" s="200"/>
      <c r="B542" s="200"/>
      <c r="C542" s="373"/>
      <c r="D542" s="200"/>
      <c r="E542" s="200"/>
      <c r="F542" s="200"/>
      <c r="G542" s="200"/>
      <c r="H542" s="200"/>
      <c r="I542" s="377"/>
      <c r="J542" s="366"/>
      <c r="K542" s="374"/>
      <c r="L542" s="366"/>
      <c r="M542" s="375"/>
      <c r="N542" s="376"/>
      <c r="O542" s="376"/>
      <c r="P542" s="376"/>
      <c r="Q542" s="376"/>
      <c r="R542" s="376"/>
      <c r="S542" s="376"/>
      <c r="T542" s="376"/>
      <c r="U542" s="376"/>
      <c r="V542" s="376"/>
    </row>
    <row r="543" spans="1:22">
      <c r="A543" s="200"/>
      <c r="B543" s="200"/>
      <c r="C543" s="373"/>
      <c r="D543" s="200"/>
      <c r="E543" s="200"/>
      <c r="F543" s="200"/>
      <c r="G543" s="200"/>
      <c r="H543" s="200"/>
      <c r="I543" s="377"/>
      <c r="J543" s="366"/>
      <c r="K543" s="374"/>
      <c r="L543" s="366"/>
      <c r="M543" s="375"/>
      <c r="N543" s="376"/>
      <c r="O543" s="376"/>
      <c r="P543" s="376"/>
      <c r="Q543" s="376"/>
      <c r="R543" s="376"/>
      <c r="S543" s="376"/>
      <c r="T543" s="376"/>
      <c r="U543" s="376"/>
      <c r="V543" s="376"/>
    </row>
    <row r="544" spans="1:22">
      <c r="A544" s="200"/>
      <c r="B544" s="200"/>
      <c r="C544" s="373"/>
      <c r="D544" s="200"/>
      <c r="E544" s="200"/>
      <c r="F544" s="200"/>
      <c r="G544" s="200"/>
      <c r="H544" s="200"/>
      <c r="I544" s="377"/>
      <c r="J544" s="366"/>
      <c r="K544" s="374"/>
      <c r="L544" s="366"/>
      <c r="M544" s="375"/>
      <c r="N544" s="376"/>
      <c r="O544" s="376"/>
      <c r="P544" s="376"/>
      <c r="Q544" s="376"/>
      <c r="R544" s="376"/>
      <c r="S544" s="376"/>
      <c r="T544" s="376"/>
      <c r="U544" s="376"/>
      <c r="V544" s="376"/>
    </row>
    <row r="545" spans="1:22">
      <c r="A545" s="200"/>
      <c r="B545" s="200"/>
      <c r="C545" s="373"/>
      <c r="D545" s="200"/>
      <c r="E545" s="200"/>
      <c r="F545" s="200"/>
      <c r="G545" s="200"/>
      <c r="H545" s="200"/>
      <c r="I545" s="377"/>
      <c r="J545" s="366"/>
      <c r="K545" s="374"/>
      <c r="L545" s="366"/>
      <c r="M545" s="375"/>
      <c r="N545" s="376"/>
      <c r="O545" s="376"/>
      <c r="P545" s="376"/>
      <c r="Q545" s="376"/>
      <c r="R545" s="376"/>
      <c r="S545" s="376"/>
      <c r="T545" s="376"/>
      <c r="U545" s="376"/>
      <c r="V545" s="376"/>
    </row>
    <row r="546" spans="1:22">
      <c r="A546" s="200"/>
      <c r="B546" s="200"/>
      <c r="C546" s="373"/>
      <c r="D546" s="200"/>
      <c r="E546" s="200"/>
      <c r="F546" s="200"/>
      <c r="G546" s="200"/>
      <c r="H546" s="200"/>
      <c r="I546" s="377"/>
      <c r="J546" s="366"/>
      <c r="K546" s="374"/>
      <c r="L546" s="366"/>
      <c r="M546" s="375"/>
      <c r="N546" s="376"/>
      <c r="O546" s="376"/>
      <c r="P546" s="376"/>
      <c r="Q546" s="376"/>
      <c r="R546" s="376"/>
      <c r="S546" s="376"/>
      <c r="T546" s="376"/>
      <c r="U546" s="376"/>
      <c r="V546" s="376"/>
    </row>
    <row r="547" spans="1:22">
      <c r="A547" s="200"/>
      <c r="B547" s="200"/>
      <c r="C547" s="373"/>
      <c r="D547" s="200"/>
      <c r="E547" s="200"/>
      <c r="F547" s="200"/>
      <c r="G547" s="200"/>
      <c r="H547" s="200"/>
      <c r="I547" s="377"/>
      <c r="J547" s="366"/>
      <c r="K547" s="374"/>
      <c r="L547" s="366"/>
      <c r="M547" s="375"/>
      <c r="N547" s="376"/>
      <c r="O547" s="376"/>
      <c r="P547" s="376"/>
      <c r="Q547" s="376"/>
      <c r="R547" s="376"/>
      <c r="S547" s="376"/>
      <c r="T547" s="376"/>
      <c r="U547" s="376"/>
      <c r="V547" s="376"/>
    </row>
    <row r="548" spans="1:22">
      <c r="A548" s="200"/>
      <c r="B548" s="200"/>
      <c r="C548" s="373"/>
      <c r="D548" s="200"/>
      <c r="E548" s="200"/>
      <c r="F548" s="200"/>
      <c r="G548" s="200"/>
      <c r="H548" s="200"/>
      <c r="I548" s="377"/>
      <c r="J548" s="366"/>
      <c r="K548" s="374"/>
      <c r="L548" s="366"/>
      <c r="M548" s="375"/>
      <c r="N548" s="376"/>
      <c r="O548" s="376"/>
      <c r="P548" s="376"/>
      <c r="Q548" s="376"/>
      <c r="R548" s="376"/>
      <c r="S548" s="376"/>
      <c r="T548" s="376"/>
      <c r="U548" s="376"/>
      <c r="V548" s="376"/>
    </row>
    <row r="549" spans="1:22">
      <c r="A549" s="200"/>
      <c r="B549" s="200"/>
      <c r="C549" s="373"/>
      <c r="D549" s="200"/>
      <c r="E549" s="200"/>
      <c r="F549" s="200"/>
      <c r="G549" s="200"/>
      <c r="H549" s="200"/>
      <c r="I549" s="377"/>
      <c r="J549" s="366"/>
      <c r="K549" s="374"/>
      <c r="L549" s="366"/>
      <c r="M549" s="375"/>
      <c r="N549" s="376"/>
      <c r="O549" s="376"/>
      <c r="P549" s="376"/>
      <c r="Q549" s="376"/>
      <c r="R549" s="376"/>
      <c r="S549" s="376"/>
      <c r="T549" s="376"/>
      <c r="U549" s="376"/>
      <c r="V549" s="376"/>
    </row>
    <row r="550" spans="1:22">
      <c r="A550" s="200"/>
      <c r="B550" s="200"/>
      <c r="C550" s="373"/>
      <c r="D550" s="200"/>
      <c r="E550" s="200"/>
      <c r="F550" s="200"/>
      <c r="G550" s="200"/>
      <c r="H550" s="200"/>
      <c r="I550" s="377"/>
      <c r="J550" s="366"/>
      <c r="K550" s="374"/>
      <c r="L550" s="366"/>
      <c r="M550" s="375"/>
      <c r="N550" s="376"/>
      <c r="O550" s="376"/>
      <c r="P550" s="376"/>
      <c r="Q550" s="376"/>
      <c r="R550" s="376"/>
      <c r="S550" s="376"/>
      <c r="T550" s="376"/>
      <c r="U550" s="376"/>
      <c r="V550" s="376"/>
    </row>
    <row r="551" spans="1:22">
      <c r="A551" s="200"/>
      <c r="B551" s="200"/>
      <c r="C551" s="373"/>
      <c r="D551" s="200"/>
      <c r="E551" s="200"/>
      <c r="F551" s="200"/>
      <c r="G551" s="200"/>
      <c r="H551" s="200"/>
      <c r="I551" s="377"/>
      <c r="J551" s="366"/>
      <c r="K551" s="374"/>
      <c r="L551" s="366"/>
      <c r="M551" s="375"/>
      <c r="N551" s="376"/>
      <c r="O551" s="376"/>
      <c r="P551" s="376"/>
      <c r="Q551" s="376"/>
      <c r="R551" s="376"/>
      <c r="S551" s="376"/>
      <c r="T551" s="376"/>
      <c r="U551" s="376"/>
      <c r="V551" s="376"/>
    </row>
    <row r="552" spans="1:22">
      <c r="A552" s="200"/>
      <c r="B552" s="200"/>
      <c r="C552" s="373"/>
      <c r="D552" s="200"/>
      <c r="E552" s="200"/>
      <c r="F552" s="200"/>
      <c r="G552" s="200"/>
      <c r="H552" s="200"/>
      <c r="I552" s="377"/>
      <c r="J552" s="366"/>
      <c r="K552" s="374"/>
      <c r="L552" s="366"/>
      <c r="M552" s="375"/>
      <c r="N552" s="376"/>
      <c r="O552" s="376"/>
      <c r="P552" s="376"/>
      <c r="Q552" s="376"/>
      <c r="R552" s="376"/>
      <c r="S552" s="376"/>
      <c r="T552" s="376"/>
      <c r="U552" s="376"/>
      <c r="V552" s="376"/>
    </row>
    <row r="553" spans="1:22">
      <c r="A553" s="200"/>
      <c r="B553" s="200"/>
      <c r="C553" s="373"/>
      <c r="D553" s="200"/>
      <c r="E553" s="200"/>
      <c r="F553" s="200"/>
      <c r="G553" s="200"/>
      <c r="H553" s="200"/>
      <c r="I553" s="377"/>
      <c r="J553" s="366"/>
      <c r="K553" s="374"/>
      <c r="L553" s="366"/>
      <c r="M553" s="375"/>
      <c r="N553" s="376"/>
      <c r="O553" s="376"/>
      <c r="P553" s="376"/>
      <c r="Q553" s="376"/>
      <c r="R553" s="376"/>
      <c r="S553" s="376"/>
      <c r="T553" s="376"/>
      <c r="U553" s="376"/>
      <c r="V553" s="376"/>
    </row>
    <row r="554" spans="1:22">
      <c r="A554" s="200"/>
      <c r="B554" s="200"/>
      <c r="C554" s="373"/>
      <c r="D554" s="200"/>
      <c r="E554" s="200"/>
      <c r="F554" s="200"/>
      <c r="G554" s="200"/>
      <c r="H554" s="200"/>
      <c r="I554" s="377"/>
      <c r="J554" s="366"/>
      <c r="K554" s="374"/>
      <c r="L554" s="366"/>
      <c r="M554" s="375"/>
      <c r="N554" s="376"/>
      <c r="O554" s="376"/>
      <c r="P554" s="376"/>
      <c r="Q554" s="376"/>
      <c r="R554" s="376"/>
      <c r="S554" s="376"/>
      <c r="T554" s="376"/>
      <c r="U554" s="376"/>
      <c r="V554" s="376"/>
    </row>
    <row r="555" spans="1:22">
      <c r="A555" s="200"/>
      <c r="B555" s="200"/>
      <c r="C555" s="373"/>
      <c r="D555" s="200"/>
      <c r="E555" s="200"/>
      <c r="F555" s="200"/>
      <c r="G555" s="200"/>
      <c r="H555" s="200"/>
      <c r="I555" s="377"/>
      <c r="J555" s="366"/>
      <c r="K555" s="374"/>
      <c r="L555" s="366"/>
      <c r="M555" s="375"/>
      <c r="N555" s="376"/>
      <c r="O555" s="376"/>
      <c r="P555" s="376"/>
      <c r="Q555" s="376"/>
      <c r="R555" s="376"/>
      <c r="S555" s="376"/>
      <c r="T555" s="376"/>
      <c r="U555" s="376"/>
      <c r="V555" s="376"/>
    </row>
    <row r="556" spans="1:22">
      <c r="A556" s="200"/>
      <c r="B556" s="200"/>
      <c r="C556" s="373"/>
      <c r="D556" s="200"/>
      <c r="E556" s="200"/>
      <c r="F556" s="200"/>
      <c r="G556" s="200"/>
      <c r="H556" s="200"/>
      <c r="I556" s="377"/>
      <c r="J556" s="366"/>
      <c r="K556" s="374"/>
      <c r="L556" s="366"/>
      <c r="M556" s="375"/>
      <c r="N556" s="376"/>
      <c r="O556" s="376"/>
      <c r="P556" s="376"/>
      <c r="Q556" s="376"/>
      <c r="R556" s="376"/>
      <c r="S556" s="376"/>
      <c r="T556" s="376"/>
      <c r="U556" s="376"/>
      <c r="V556" s="376"/>
    </row>
    <row r="557" spans="1:22">
      <c r="A557" s="200"/>
      <c r="B557" s="200"/>
      <c r="C557" s="373"/>
      <c r="D557" s="200"/>
      <c r="E557" s="200"/>
      <c r="F557" s="200"/>
      <c r="G557" s="200"/>
      <c r="H557" s="200"/>
      <c r="I557" s="377"/>
      <c r="J557" s="366"/>
      <c r="K557" s="374"/>
      <c r="L557" s="366"/>
      <c r="M557" s="375"/>
      <c r="N557" s="376"/>
      <c r="O557" s="376"/>
      <c r="P557" s="376"/>
      <c r="Q557" s="376"/>
      <c r="R557" s="376"/>
      <c r="S557" s="376"/>
      <c r="T557" s="376"/>
      <c r="U557" s="376"/>
      <c r="V557" s="376"/>
    </row>
    <row r="558" spans="1:22">
      <c r="A558" s="200"/>
      <c r="B558" s="200"/>
      <c r="C558" s="373"/>
      <c r="D558" s="200"/>
      <c r="E558" s="200"/>
      <c r="F558" s="200"/>
      <c r="G558" s="200"/>
      <c r="H558" s="200"/>
      <c r="I558" s="377"/>
      <c r="J558" s="366"/>
      <c r="K558" s="374"/>
      <c r="L558" s="366"/>
      <c r="M558" s="375"/>
      <c r="N558" s="376"/>
      <c r="O558" s="376"/>
      <c r="P558" s="376"/>
      <c r="Q558" s="376"/>
      <c r="R558" s="376"/>
      <c r="S558" s="376"/>
      <c r="T558" s="376"/>
      <c r="U558" s="376"/>
      <c r="V558" s="376"/>
    </row>
    <row r="559" spans="1:22">
      <c r="A559" s="200"/>
      <c r="B559" s="200"/>
      <c r="C559" s="373"/>
      <c r="D559" s="200"/>
      <c r="E559" s="200"/>
      <c r="F559" s="200"/>
      <c r="G559" s="200"/>
      <c r="H559" s="200"/>
      <c r="I559" s="377"/>
      <c r="J559" s="366"/>
      <c r="K559" s="374"/>
      <c r="L559" s="366"/>
      <c r="M559" s="375"/>
      <c r="N559" s="376"/>
      <c r="O559" s="376"/>
      <c r="P559" s="376"/>
      <c r="Q559" s="376"/>
      <c r="R559" s="376"/>
      <c r="S559" s="376"/>
      <c r="T559" s="376"/>
      <c r="U559" s="376"/>
      <c r="V559" s="376"/>
    </row>
    <row r="560" spans="1:22">
      <c r="A560" s="200"/>
      <c r="B560" s="200"/>
      <c r="C560" s="373"/>
      <c r="D560" s="200"/>
      <c r="E560" s="200"/>
      <c r="F560" s="200"/>
      <c r="G560" s="200"/>
      <c r="H560" s="200"/>
      <c r="I560" s="377"/>
      <c r="J560" s="366"/>
      <c r="K560" s="374"/>
      <c r="L560" s="366"/>
      <c r="M560" s="375"/>
      <c r="N560" s="376"/>
      <c r="O560" s="376"/>
      <c r="P560" s="376"/>
      <c r="Q560" s="376"/>
      <c r="R560" s="376"/>
      <c r="S560" s="376"/>
      <c r="T560" s="376"/>
      <c r="U560" s="376"/>
      <c r="V560" s="376"/>
    </row>
    <row r="561" spans="1:22">
      <c r="A561" s="200"/>
      <c r="B561" s="200"/>
      <c r="C561" s="373"/>
      <c r="D561" s="200"/>
      <c r="E561" s="200"/>
      <c r="F561" s="200"/>
      <c r="G561" s="200"/>
      <c r="H561" s="200"/>
      <c r="I561" s="377"/>
      <c r="J561" s="366"/>
      <c r="K561" s="374"/>
      <c r="L561" s="366"/>
      <c r="M561" s="375"/>
      <c r="N561" s="376"/>
      <c r="O561" s="376"/>
      <c r="P561" s="376"/>
      <c r="Q561" s="376"/>
      <c r="R561" s="376"/>
      <c r="S561" s="376"/>
      <c r="T561" s="376"/>
      <c r="U561" s="376"/>
      <c r="V561" s="376"/>
    </row>
    <row r="562" spans="1:22">
      <c r="A562" s="200"/>
      <c r="B562" s="200"/>
      <c r="C562" s="373"/>
      <c r="D562" s="200"/>
      <c r="E562" s="200"/>
      <c r="F562" s="200"/>
      <c r="G562" s="200"/>
      <c r="H562" s="200"/>
      <c r="I562" s="377"/>
      <c r="J562" s="366"/>
      <c r="K562" s="374"/>
      <c r="L562" s="366"/>
      <c r="M562" s="375"/>
      <c r="N562" s="376"/>
      <c r="O562" s="376"/>
      <c r="P562" s="376"/>
      <c r="Q562" s="376"/>
      <c r="R562" s="376"/>
      <c r="S562" s="376"/>
      <c r="T562" s="376"/>
      <c r="U562" s="376"/>
      <c r="V562" s="376"/>
    </row>
    <row r="563" spans="1:22">
      <c r="A563" s="200"/>
      <c r="B563" s="200"/>
      <c r="C563" s="373"/>
      <c r="D563" s="200"/>
      <c r="E563" s="200"/>
      <c r="F563" s="200"/>
      <c r="G563" s="200"/>
      <c r="H563" s="200"/>
      <c r="I563" s="377"/>
      <c r="J563" s="366"/>
      <c r="K563" s="374"/>
      <c r="L563" s="366"/>
      <c r="M563" s="375"/>
      <c r="N563" s="376"/>
      <c r="O563" s="376"/>
      <c r="P563" s="376"/>
      <c r="Q563" s="376"/>
      <c r="R563" s="376"/>
      <c r="S563" s="376"/>
      <c r="T563" s="376"/>
      <c r="U563" s="376"/>
      <c r="V563" s="376"/>
    </row>
    <row r="564" spans="1:22">
      <c r="A564" s="200"/>
      <c r="B564" s="200"/>
      <c r="C564" s="373"/>
      <c r="D564" s="200"/>
      <c r="E564" s="200"/>
      <c r="F564" s="200"/>
      <c r="G564" s="200"/>
      <c r="H564" s="200"/>
      <c r="I564" s="377"/>
      <c r="J564" s="366"/>
      <c r="K564" s="374"/>
      <c r="L564" s="366"/>
      <c r="M564" s="375"/>
      <c r="N564" s="376"/>
      <c r="O564" s="376"/>
      <c r="P564" s="376"/>
      <c r="Q564" s="376"/>
      <c r="R564" s="376"/>
      <c r="S564" s="376"/>
      <c r="T564" s="376"/>
      <c r="U564" s="376"/>
      <c r="V564" s="376"/>
    </row>
    <row r="565" spans="1:22">
      <c r="A565" s="200"/>
      <c r="B565" s="200"/>
      <c r="C565" s="373"/>
      <c r="D565" s="200"/>
      <c r="E565" s="200"/>
      <c r="F565" s="200"/>
      <c r="G565" s="200"/>
      <c r="H565" s="200"/>
      <c r="I565" s="377"/>
      <c r="J565" s="366"/>
      <c r="K565" s="374"/>
      <c r="L565" s="366"/>
      <c r="M565" s="375"/>
      <c r="N565" s="376"/>
      <c r="O565" s="376"/>
      <c r="P565" s="376"/>
      <c r="Q565" s="376"/>
      <c r="R565" s="376"/>
      <c r="S565" s="376"/>
      <c r="T565" s="376"/>
      <c r="U565" s="376"/>
      <c r="V565" s="376"/>
    </row>
    <row r="566" spans="1:22">
      <c r="A566" s="200"/>
      <c r="B566" s="200"/>
      <c r="C566" s="373"/>
      <c r="D566" s="200"/>
      <c r="E566" s="200"/>
      <c r="F566" s="200"/>
      <c r="G566" s="200"/>
      <c r="H566" s="200"/>
      <c r="I566" s="377"/>
      <c r="J566" s="366"/>
      <c r="K566" s="374"/>
      <c r="L566" s="366"/>
      <c r="M566" s="375"/>
      <c r="N566" s="376"/>
      <c r="O566" s="376"/>
      <c r="P566" s="376"/>
      <c r="Q566" s="376"/>
      <c r="R566" s="376"/>
      <c r="S566" s="376"/>
      <c r="T566" s="376"/>
      <c r="U566" s="376"/>
      <c r="V566" s="376"/>
    </row>
    <row r="567" spans="1:22">
      <c r="A567" s="200"/>
      <c r="B567" s="200"/>
      <c r="C567" s="373"/>
      <c r="D567" s="200"/>
      <c r="E567" s="200"/>
      <c r="F567" s="200"/>
      <c r="G567" s="200"/>
      <c r="H567" s="200"/>
      <c r="I567" s="377"/>
      <c r="J567" s="366"/>
      <c r="K567" s="374"/>
      <c r="L567" s="366"/>
      <c r="M567" s="375"/>
      <c r="N567" s="376"/>
      <c r="O567" s="376"/>
      <c r="P567" s="376"/>
      <c r="Q567" s="376"/>
      <c r="R567" s="376"/>
      <c r="S567" s="376"/>
      <c r="T567" s="376"/>
      <c r="U567" s="376"/>
      <c r="V567" s="376"/>
    </row>
    <row r="568" spans="1:22">
      <c r="A568" s="200"/>
      <c r="B568" s="200"/>
      <c r="C568" s="373"/>
      <c r="D568" s="200"/>
      <c r="E568" s="200"/>
      <c r="F568" s="200"/>
      <c r="G568" s="200"/>
      <c r="H568" s="200"/>
      <c r="I568" s="377"/>
      <c r="J568" s="366"/>
      <c r="K568" s="374"/>
      <c r="L568" s="366"/>
      <c r="M568" s="375"/>
      <c r="N568" s="376"/>
      <c r="O568" s="376"/>
      <c r="P568" s="376"/>
      <c r="Q568" s="376"/>
      <c r="R568" s="376"/>
      <c r="S568" s="376"/>
      <c r="T568" s="376"/>
      <c r="U568" s="376"/>
      <c r="V568" s="376"/>
    </row>
    <row r="569" spans="1:22">
      <c r="A569" s="200"/>
      <c r="B569" s="200"/>
      <c r="C569" s="373"/>
      <c r="D569" s="200"/>
      <c r="E569" s="200"/>
      <c r="F569" s="200"/>
      <c r="G569" s="200"/>
      <c r="H569" s="200"/>
      <c r="I569" s="377"/>
      <c r="J569" s="366"/>
      <c r="K569" s="374"/>
      <c r="L569" s="366"/>
      <c r="M569" s="375"/>
      <c r="N569" s="376"/>
      <c r="O569" s="376"/>
      <c r="P569" s="376"/>
      <c r="Q569" s="376"/>
      <c r="R569" s="376"/>
      <c r="S569" s="376"/>
      <c r="T569" s="376"/>
      <c r="U569" s="376"/>
      <c r="V569" s="376"/>
    </row>
    <row r="570" spans="1:22">
      <c r="A570" s="200"/>
      <c r="B570" s="200"/>
      <c r="C570" s="373"/>
      <c r="D570" s="200"/>
      <c r="E570" s="200"/>
      <c r="F570" s="200"/>
      <c r="G570" s="200"/>
      <c r="H570" s="200"/>
      <c r="I570" s="377"/>
      <c r="J570" s="366"/>
      <c r="K570" s="374"/>
      <c r="L570" s="366"/>
      <c r="M570" s="375"/>
      <c r="N570" s="376"/>
      <c r="O570" s="376"/>
      <c r="P570" s="376"/>
      <c r="Q570" s="376"/>
      <c r="R570" s="376"/>
      <c r="S570" s="376"/>
      <c r="T570" s="376"/>
      <c r="U570" s="376"/>
      <c r="V570" s="376"/>
    </row>
    <row r="571" spans="1:22">
      <c r="A571" s="200"/>
      <c r="B571" s="200"/>
      <c r="C571" s="373"/>
      <c r="D571" s="200"/>
      <c r="E571" s="200"/>
      <c r="F571" s="200"/>
      <c r="G571" s="200"/>
      <c r="H571" s="200"/>
      <c r="I571" s="377"/>
      <c r="J571" s="366"/>
      <c r="K571" s="374"/>
      <c r="L571" s="366"/>
      <c r="M571" s="375"/>
      <c r="N571" s="376"/>
      <c r="O571" s="376"/>
      <c r="P571" s="376"/>
      <c r="Q571" s="376"/>
      <c r="R571" s="376"/>
      <c r="S571" s="376"/>
      <c r="T571" s="376"/>
      <c r="U571" s="376"/>
      <c r="V571" s="376"/>
    </row>
    <row r="572" spans="1:22">
      <c r="A572" s="200"/>
      <c r="B572" s="200"/>
      <c r="C572" s="373"/>
      <c r="D572" s="200"/>
      <c r="E572" s="200"/>
      <c r="F572" s="200"/>
      <c r="G572" s="200"/>
      <c r="H572" s="200"/>
      <c r="I572" s="377"/>
      <c r="J572" s="366"/>
      <c r="K572" s="374"/>
      <c r="L572" s="366"/>
      <c r="M572" s="375"/>
      <c r="N572" s="376"/>
      <c r="O572" s="376"/>
      <c r="P572" s="376"/>
      <c r="Q572" s="376"/>
      <c r="R572" s="376"/>
      <c r="S572" s="376"/>
      <c r="T572" s="376"/>
      <c r="U572" s="376"/>
      <c r="V572" s="376"/>
    </row>
    <row r="573" spans="1:22">
      <c r="A573" s="200"/>
      <c r="B573" s="200"/>
      <c r="C573" s="373"/>
      <c r="D573" s="200"/>
      <c r="E573" s="200"/>
      <c r="F573" s="200"/>
      <c r="G573" s="200"/>
      <c r="H573" s="200"/>
      <c r="I573" s="377"/>
      <c r="J573" s="366"/>
      <c r="K573" s="374"/>
      <c r="L573" s="366"/>
      <c r="M573" s="375"/>
      <c r="N573" s="376"/>
      <c r="O573" s="376"/>
      <c r="P573" s="376"/>
      <c r="Q573" s="376"/>
      <c r="R573" s="376"/>
      <c r="S573" s="376"/>
      <c r="T573" s="376"/>
      <c r="U573" s="376"/>
      <c r="V573" s="376"/>
    </row>
    <row r="574" spans="1:22">
      <c r="A574" s="200"/>
      <c r="B574" s="200"/>
      <c r="C574" s="373"/>
      <c r="D574" s="200"/>
      <c r="E574" s="200"/>
      <c r="F574" s="200"/>
      <c r="G574" s="200"/>
      <c r="H574" s="200"/>
      <c r="I574" s="377"/>
      <c r="J574" s="366"/>
      <c r="K574" s="374"/>
      <c r="L574" s="366"/>
      <c r="M574" s="375"/>
      <c r="N574" s="376"/>
      <c r="O574" s="376"/>
      <c r="P574" s="376"/>
      <c r="Q574" s="376"/>
      <c r="R574" s="376"/>
      <c r="S574" s="376"/>
      <c r="T574" s="376"/>
      <c r="U574" s="376"/>
      <c r="V574" s="376"/>
    </row>
    <row r="575" spans="1:22">
      <c r="A575" s="200"/>
      <c r="B575" s="200"/>
      <c r="C575" s="373"/>
      <c r="D575" s="200"/>
      <c r="E575" s="200"/>
      <c r="F575" s="200"/>
      <c r="G575" s="200"/>
      <c r="H575" s="200"/>
      <c r="I575" s="377"/>
      <c r="J575" s="366"/>
      <c r="K575" s="374"/>
      <c r="L575" s="366"/>
      <c r="M575" s="375"/>
      <c r="N575" s="376"/>
      <c r="O575" s="376"/>
      <c r="P575" s="376"/>
      <c r="Q575" s="376"/>
      <c r="R575" s="376"/>
      <c r="S575" s="376"/>
      <c r="T575" s="376"/>
      <c r="U575" s="376"/>
      <c r="V575" s="376"/>
    </row>
    <row r="576" spans="1:22">
      <c r="A576" s="200"/>
      <c r="B576" s="200"/>
      <c r="C576" s="373"/>
      <c r="D576" s="200"/>
      <c r="E576" s="200"/>
      <c r="F576" s="200"/>
      <c r="G576" s="200"/>
      <c r="H576" s="200"/>
      <c r="I576" s="377"/>
      <c r="J576" s="366"/>
      <c r="K576" s="374"/>
      <c r="L576" s="366"/>
      <c r="M576" s="375"/>
      <c r="N576" s="376"/>
      <c r="O576" s="376"/>
      <c r="P576" s="376"/>
      <c r="Q576" s="376"/>
      <c r="R576" s="376"/>
      <c r="S576" s="376"/>
      <c r="T576" s="376"/>
      <c r="U576" s="376"/>
      <c r="V576" s="376"/>
    </row>
    <row r="577" spans="1:22">
      <c r="A577" s="200"/>
      <c r="B577" s="200"/>
      <c r="C577" s="373"/>
      <c r="D577" s="200"/>
      <c r="E577" s="200"/>
      <c r="F577" s="200"/>
      <c r="G577" s="200"/>
      <c r="H577" s="200"/>
      <c r="I577" s="377"/>
      <c r="J577" s="366"/>
      <c r="K577" s="374"/>
      <c r="L577" s="366"/>
      <c r="M577" s="375"/>
      <c r="N577" s="376"/>
      <c r="O577" s="376"/>
      <c r="P577" s="376"/>
      <c r="Q577" s="376"/>
      <c r="R577" s="376"/>
      <c r="S577" s="376"/>
      <c r="T577" s="376"/>
      <c r="U577" s="376"/>
      <c r="V577" s="376"/>
    </row>
    <row r="578" spans="1:22">
      <c r="A578" s="200"/>
      <c r="B578" s="200"/>
      <c r="C578" s="373"/>
      <c r="D578" s="200"/>
      <c r="E578" s="200"/>
      <c r="F578" s="200"/>
      <c r="G578" s="200"/>
      <c r="H578" s="200"/>
      <c r="I578" s="377"/>
      <c r="J578" s="366"/>
      <c r="K578" s="374"/>
      <c r="L578" s="366"/>
      <c r="M578" s="375"/>
      <c r="N578" s="376"/>
      <c r="O578" s="376"/>
      <c r="P578" s="376"/>
      <c r="Q578" s="376"/>
      <c r="R578" s="376"/>
      <c r="S578" s="376"/>
      <c r="T578" s="376"/>
      <c r="U578" s="376"/>
      <c r="V578" s="376"/>
    </row>
    <row r="579" spans="1:22">
      <c r="A579" s="200"/>
      <c r="B579" s="200"/>
      <c r="C579" s="373"/>
      <c r="D579" s="200"/>
      <c r="E579" s="200"/>
      <c r="F579" s="200"/>
      <c r="G579" s="200"/>
      <c r="H579" s="200"/>
      <c r="I579" s="377"/>
      <c r="J579" s="366"/>
      <c r="K579" s="374"/>
      <c r="L579" s="366"/>
      <c r="M579" s="375"/>
      <c r="N579" s="376"/>
      <c r="O579" s="376"/>
      <c r="P579" s="376"/>
      <c r="Q579" s="376"/>
      <c r="R579" s="376"/>
      <c r="S579" s="376"/>
      <c r="T579" s="376"/>
      <c r="U579" s="376"/>
      <c r="V579" s="376"/>
    </row>
    <row r="580" spans="1:22">
      <c r="A580" s="200"/>
      <c r="B580" s="200"/>
      <c r="C580" s="373"/>
      <c r="D580" s="200"/>
      <c r="E580" s="200"/>
      <c r="F580" s="200"/>
      <c r="G580" s="200"/>
      <c r="H580" s="200"/>
      <c r="I580" s="377"/>
      <c r="J580" s="366"/>
      <c r="K580" s="374"/>
      <c r="L580" s="366"/>
      <c r="M580" s="375"/>
      <c r="N580" s="376"/>
      <c r="O580" s="376"/>
      <c r="P580" s="376"/>
      <c r="Q580" s="376"/>
      <c r="R580" s="376"/>
      <c r="S580" s="376"/>
      <c r="T580" s="376"/>
      <c r="U580" s="376"/>
      <c r="V580" s="376"/>
    </row>
    <row r="581" spans="1:22">
      <c r="A581" s="200"/>
      <c r="B581" s="200"/>
      <c r="C581" s="373"/>
      <c r="D581" s="200"/>
      <c r="E581" s="200"/>
      <c r="F581" s="200"/>
      <c r="G581" s="200"/>
      <c r="H581" s="200"/>
      <c r="I581" s="377"/>
      <c r="J581" s="366"/>
      <c r="K581" s="374"/>
      <c r="L581" s="366"/>
      <c r="M581" s="375"/>
      <c r="N581" s="376"/>
      <c r="O581" s="376"/>
      <c r="P581" s="376"/>
      <c r="Q581" s="376"/>
      <c r="R581" s="376"/>
      <c r="S581" s="376"/>
      <c r="T581" s="376"/>
      <c r="U581" s="376"/>
      <c r="V581" s="376"/>
    </row>
    <row r="582" spans="1:22">
      <c r="A582" s="200"/>
      <c r="B582" s="200"/>
      <c r="C582" s="373"/>
      <c r="D582" s="200"/>
      <c r="E582" s="200"/>
      <c r="F582" s="200"/>
      <c r="G582" s="200"/>
      <c r="H582" s="200"/>
      <c r="I582" s="377"/>
      <c r="J582" s="366"/>
      <c r="K582" s="374"/>
      <c r="L582" s="366"/>
      <c r="M582" s="375"/>
      <c r="N582" s="376"/>
      <c r="O582" s="376"/>
      <c r="P582" s="376"/>
      <c r="Q582" s="376"/>
      <c r="R582" s="376"/>
      <c r="S582" s="376"/>
      <c r="T582" s="376"/>
      <c r="U582" s="376"/>
      <c r="V582" s="376"/>
    </row>
    <row r="583" spans="1:22">
      <c r="A583" s="200"/>
      <c r="B583" s="200"/>
      <c r="C583" s="373"/>
      <c r="D583" s="200"/>
      <c r="E583" s="200"/>
      <c r="F583" s="200"/>
      <c r="G583" s="200"/>
      <c r="H583" s="200"/>
      <c r="I583" s="377"/>
      <c r="J583" s="366"/>
      <c r="K583" s="374"/>
      <c r="L583" s="366"/>
      <c r="M583" s="375"/>
      <c r="N583" s="376"/>
      <c r="O583" s="376"/>
      <c r="P583" s="376"/>
      <c r="Q583" s="376"/>
      <c r="R583" s="376"/>
      <c r="S583" s="376"/>
      <c r="T583" s="376"/>
      <c r="U583" s="376"/>
      <c r="V583" s="376"/>
    </row>
    <row r="584" spans="1:22">
      <c r="A584" s="200"/>
      <c r="B584" s="200"/>
      <c r="C584" s="373"/>
      <c r="D584" s="200"/>
      <c r="E584" s="200"/>
      <c r="F584" s="200"/>
      <c r="G584" s="200"/>
      <c r="H584" s="200"/>
      <c r="I584" s="377"/>
      <c r="J584" s="366"/>
      <c r="K584" s="374"/>
      <c r="L584" s="366"/>
      <c r="M584" s="375"/>
      <c r="N584" s="376"/>
      <c r="O584" s="376"/>
      <c r="P584" s="376"/>
      <c r="Q584" s="376"/>
      <c r="R584" s="376"/>
      <c r="S584" s="376"/>
      <c r="T584" s="376"/>
      <c r="U584" s="376"/>
      <c r="V584" s="376"/>
    </row>
    <row r="585" spans="1:22">
      <c r="A585" s="200"/>
      <c r="B585" s="200"/>
      <c r="C585" s="373"/>
      <c r="D585" s="200"/>
      <c r="E585" s="200"/>
      <c r="F585" s="200"/>
      <c r="G585" s="200"/>
      <c r="H585" s="200"/>
      <c r="I585" s="377"/>
      <c r="J585" s="366"/>
      <c r="K585" s="374"/>
      <c r="L585" s="366"/>
      <c r="M585" s="375"/>
      <c r="N585" s="376"/>
      <c r="O585" s="376"/>
      <c r="P585" s="376"/>
      <c r="Q585" s="376"/>
      <c r="R585" s="376"/>
      <c r="S585" s="376"/>
      <c r="T585" s="376"/>
      <c r="U585" s="376"/>
      <c r="V585" s="376"/>
    </row>
    <row r="586" spans="1:22">
      <c r="A586" s="200"/>
      <c r="B586" s="200"/>
      <c r="C586" s="373"/>
      <c r="D586" s="200"/>
      <c r="E586" s="200"/>
      <c r="F586" s="200"/>
      <c r="G586" s="200"/>
      <c r="H586" s="200"/>
      <c r="I586" s="377"/>
      <c r="J586" s="366"/>
      <c r="K586" s="374"/>
      <c r="L586" s="366"/>
      <c r="M586" s="375"/>
      <c r="N586" s="376"/>
      <c r="O586" s="376"/>
      <c r="P586" s="376"/>
      <c r="Q586" s="376"/>
      <c r="R586" s="376"/>
      <c r="S586" s="376"/>
      <c r="T586" s="376"/>
      <c r="U586" s="376"/>
      <c r="V586" s="376"/>
    </row>
    <row r="587" spans="1:22">
      <c r="A587" s="200"/>
      <c r="B587" s="200"/>
      <c r="C587" s="373"/>
      <c r="D587" s="200"/>
      <c r="E587" s="200"/>
      <c r="F587" s="200"/>
      <c r="G587" s="200"/>
      <c r="H587" s="200"/>
      <c r="I587" s="377"/>
      <c r="J587" s="366"/>
      <c r="K587" s="374"/>
      <c r="L587" s="366"/>
      <c r="M587" s="375"/>
      <c r="N587" s="376"/>
      <c r="O587" s="376"/>
      <c r="P587" s="376"/>
      <c r="Q587" s="376"/>
      <c r="R587" s="376"/>
      <c r="S587" s="376"/>
      <c r="T587" s="376"/>
      <c r="U587" s="376"/>
      <c r="V587" s="376"/>
    </row>
    <row r="588" spans="1:22">
      <c r="A588" s="200"/>
      <c r="B588" s="200"/>
      <c r="C588" s="373"/>
      <c r="D588" s="200"/>
      <c r="E588" s="200"/>
      <c r="F588" s="200"/>
      <c r="G588" s="200"/>
      <c r="H588" s="200"/>
      <c r="I588" s="377"/>
      <c r="J588" s="366"/>
      <c r="K588" s="374"/>
      <c r="L588" s="366"/>
      <c r="M588" s="375"/>
      <c r="N588" s="376"/>
      <c r="O588" s="376"/>
      <c r="P588" s="376"/>
      <c r="Q588" s="376"/>
      <c r="R588" s="376"/>
      <c r="S588" s="376"/>
      <c r="T588" s="376"/>
      <c r="U588" s="376"/>
      <c r="V588" s="376"/>
    </row>
    <row r="589" spans="1:22">
      <c r="A589" s="200"/>
      <c r="B589" s="200"/>
      <c r="C589" s="373"/>
      <c r="D589" s="200"/>
      <c r="E589" s="200"/>
      <c r="F589" s="200"/>
      <c r="G589" s="200"/>
      <c r="H589" s="200"/>
      <c r="I589" s="377"/>
      <c r="J589" s="366"/>
      <c r="K589" s="374"/>
      <c r="L589" s="366"/>
      <c r="M589" s="375"/>
      <c r="N589" s="376"/>
      <c r="O589" s="376"/>
      <c r="P589" s="376"/>
      <c r="Q589" s="376"/>
      <c r="R589" s="376"/>
      <c r="S589" s="376"/>
      <c r="T589" s="376"/>
      <c r="U589" s="376"/>
      <c r="V589" s="376"/>
    </row>
    <row r="590" spans="1:22">
      <c r="A590" s="200"/>
      <c r="B590" s="200"/>
      <c r="C590" s="373"/>
      <c r="D590" s="200"/>
      <c r="E590" s="200"/>
      <c r="F590" s="200"/>
      <c r="G590" s="200"/>
      <c r="H590" s="200"/>
      <c r="I590" s="377"/>
      <c r="J590" s="366"/>
      <c r="K590" s="374"/>
      <c r="L590" s="366"/>
      <c r="M590" s="375"/>
      <c r="N590" s="376"/>
      <c r="O590" s="376"/>
      <c r="P590" s="376"/>
      <c r="Q590" s="376"/>
      <c r="R590" s="376"/>
      <c r="S590" s="376"/>
      <c r="T590" s="376"/>
      <c r="U590" s="376"/>
      <c r="V590" s="376"/>
    </row>
    <row r="591" spans="1:22">
      <c r="A591" s="200"/>
      <c r="B591" s="200"/>
      <c r="C591" s="373"/>
      <c r="D591" s="200"/>
      <c r="E591" s="200"/>
      <c r="F591" s="200"/>
      <c r="G591" s="200"/>
      <c r="H591" s="200"/>
      <c r="I591" s="377"/>
      <c r="J591" s="366"/>
      <c r="K591" s="374"/>
      <c r="L591" s="366"/>
      <c r="M591" s="375"/>
      <c r="N591" s="376"/>
      <c r="O591" s="376"/>
      <c r="P591" s="376"/>
      <c r="Q591" s="376"/>
      <c r="R591" s="376"/>
      <c r="S591" s="376"/>
      <c r="T591" s="376"/>
      <c r="U591" s="376"/>
      <c r="V591" s="376"/>
    </row>
    <row r="592" spans="1:22">
      <c r="A592" s="200"/>
      <c r="B592" s="200"/>
      <c r="C592" s="373"/>
      <c r="D592" s="200"/>
      <c r="E592" s="200"/>
      <c r="F592" s="200"/>
      <c r="G592" s="200"/>
      <c r="H592" s="200"/>
      <c r="I592" s="377"/>
      <c r="J592" s="366"/>
      <c r="K592" s="374"/>
      <c r="L592" s="366"/>
      <c r="M592" s="375"/>
      <c r="N592" s="376"/>
      <c r="O592" s="376"/>
      <c r="P592" s="376"/>
      <c r="Q592" s="376"/>
      <c r="R592" s="376"/>
      <c r="S592" s="376"/>
      <c r="T592" s="376"/>
      <c r="U592" s="376"/>
      <c r="V592" s="376"/>
    </row>
    <row r="593" spans="1:22">
      <c r="A593" s="200"/>
      <c r="B593" s="200"/>
      <c r="C593" s="373"/>
      <c r="D593" s="200"/>
      <c r="E593" s="200"/>
      <c r="F593" s="200"/>
      <c r="G593" s="200"/>
      <c r="H593" s="200"/>
      <c r="I593" s="377"/>
      <c r="J593" s="366"/>
      <c r="K593" s="374"/>
      <c r="L593" s="366"/>
      <c r="M593" s="375"/>
      <c r="N593" s="376"/>
      <c r="O593" s="376"/>
      <c r="P593" s="376"/>
      <c r="Q593" s="376"/>
      <c r="R593" s="376"/>
      <c r="S593" s="376"/>
      <c r="T593" s="376"/>
      <c r="U593" s="376"/>
      <c r="V593" s="376"/>
    </row>
    <row r="594" spans="1:22">
      <c r="A594" s="200"/>
      <c r="B594" s="200"/>
      <c r="C594" s="373"/>
      <c r="D594" s="200"/>
      <c r="E594" s="200"/>
      <c r="F594" s="200"/>
      <c r="G594" s="200"/>
      <c r="H594" s="200"/>
      <c r="I594" s="377"/>
      <c r="J594" s="366"/>
      <c r="K594" s="374"/>
      <c r="L594" s="366"/>
      <c r="M594" s="375"/>
      <c r="N594" s="376"/>
      <c r="O594" s="376"/>
      <c r="P594" s="376"/>
      <c r="Q594" s="376"/>
      <c r="R594" s="376"/>
      <c r="S594" s="376"/>
      <c r="T594" s="376"/>
      <c r="U594" s="376"/>
      <c r="V594" s="376"/>
    </row>
    <row r="595" spans="1:22">
      <c r="A595" s="200"/>
      <c r="B595" s="200"/>
      <c r="C595" s="373"/>
      <c r="D595" s="200"/>
      <c r="E595" s="200"/>
      <c r="F595" s="200"/>
      <c r="G595" s="200"/>
      <c r="H595" s="200"/>
      <c r="I595" s="377"/>
      <c r="J595" s="366"/>
      <c r="K595" s="374"/>
      <c r="L595" s="366"/>
      <c r="M595" s="375"/>
      <c r="N595" s="376"/>
      <c r="O595" s="376"/>
      <c r="P595" s="376"/>
      <c r="Q595" s="376"/>
      <c r="R595" s="376"/>
      <c r="S595" s="376"/>
      <c r="T595" s="376"/>
      <c r="U595" s="376"/>
      <c r="V595" s="376"/>
    </row>
    <row r="596" spans="1:22">
      <c r="A596" s="200"/>
      <c r="B596" s="200"/>
      <c r="C596" s="373"/>
      <c r="D596" s="200"/>
      <c r="E596" s="200"/>
      <c r="F596" s="200"/>
      <c r="G596" s="200"/>
      <c r="H596" s="200"/>
      <c r="I596" s="377"/>
      <c r="J596" s="366"/>
      <c r="K596" s="374"/>
      <c r="L596" s="366"/>
      <c r="M596" s="375"/>
      <c r="N596" s="376"/>
      <c r="O596" s="376"/>
      <c r="P596" s="376"/>
      <c r="Q596" s="376"/>
      <c r="R596" s="376"/>
      <c r="S596" s="376"/>
      <c r="T596" s="376"/>
      <c r="U596" s="376"/>
      <c r="V596" s="376"/>
    </row>
    <row r="597" spans="1:22">
      <c r="A597" s="200"/>
      <c r="B597" s="200"/>
      <c r="C597" s="373"/>
      <c r="D597" s="200"/>
      <c r="E597" s="200"/>
      <c r="F597" s="200"/>
      <c r="G597" s="200"/>
      <c r="H597" s="200"/>
      <c r="I597" s="377"/>
      <c r="J597" s="366"/>
      <c r="K597" s="374"/>
      <c r="L597" s="366"/>
      <c r="M597" s="375"/>
      <c r="N597" s="376"/>
      <c r="O597" s="376"/>
      <c r="P597" s="376"/>
      <c r="Q597" s="376"/>
      <c r="R597" s="376"/>
      <c r="S597" s="376"/>
      <c r="T597" s="376"/>
      <c r="U597" s="376"/>
      <c r="V597" s="376"/>
    </row>
    <row r="598" spans="1:22">
      <c r="A598" s="200"/>
      <c r="B598" s="200"/>
      <c r="C598" s="373"/>
      <c r="D598" s="200"/>
      <c r="E598" s="200"/>
      <c r="F598" s="200"/>
      <c r="G598" s="200"/>
      <c r="H598" s="200"/>
      <c r="I598" s="377"/>
      <c r="J598" s="366"/>
      <c r="K598" s="374"/>
      <c r="L598" s="366"/>
      <c r="M598" s="375"/>
      <c r="N598" s="376"/>
      <c r="O598" s="376"/>
      <c r="P598" s="376"/>
      <c r="Q598" s="376"/>
      <c r="R598" s="376"/>
      <c r="S598" s="376"/>
      <c r="T598" s="376"/>
      <c r="U598" s="376"/>
      <c r="V598" s="376"/>
    </row>
    <row r="599" spans="1:22">
      <c r="A599" s="200"/>
      <c r="B599" s="200"/>
      <c r="C599" s="373"/>
      <c r="D599" s="200"/>
      <c r="E599" s="200"/>
      <c r="F599" s="200"/>
      <c r="G599" s="200"/>
      <c r="H599" s="200"/>
      <c r="I599" s="377"/>
      <c r="J599" s="366"/>
      <c r="K599" s="374"/>
      <c r="L599" s="366"/>
      <c r="M599" s="375"/>
      <c r="N599" s="376"/>
      <c r="O599" s="376"/>
      <c r="P599" s="376"/>
      <c r="Q599" s="376"/>
      <c r="R599" s="376"/>
      <c r="S599" s="376"/>
      <c r="T599" s="376"/>
      <c r="U599" s="376"/>
      <c r="V599" s="376"/>
    </row>
    <row r="600" spans="1:22">
      <c r="A600" s="200"/>
      <c r="B600" s="200"/>
      <c r="C600" s="373"/>
      <c r="D600" s="200"/>
      <c r="E600" s="200"/>
      <c r="F600" s="200"/>
      <c r="G600" s="200"/>
      <c r="H600" s="200"/>
      <c r="I600" s="377"/>
      <c r="J600" s="366"/>
      <c r="K600" s="374"/>
      <c r="L600" s="366"/>
      <c r="M600" s="375"/>
      <c r="N600" s="376"/>
      <c r="O600" s="376"/>
      <c r="P600" s="376"/>
      <c r="Q600" s="376"/>
      <c r="R600" s="376"/>
      <c r="S600" s="376"/>
      <c r="T600" s="376"/>
      <c r="U600" s="376"/>
      <c r="V600" s="376"/>
    </row>
    <row r="601" spans="1:22">
      <c r="A601" s="200"/>
      <c r="B601" s="200"/>
      <c r="C601" s="373"/>
      <c r="D601" s="200"/>
      <c r="E601" s="200"/>
      <c r="F601" s="200"/>
      <c r="G601" s="200"/>
      <c r="H601" s="200"/>
      <c r="I601" s="377"/>
      <c r="J601" s="366"/>
      <c r="K601" s="374"/>
      <c r="L601" s="366"/>
      <c r="M601" s="375"/>
      <c r="N601" s="376"/>
      <c r="O601" s="376"/>
      <c r="P601" s="376"/>
      <c r="Q601" s="376"/>
      <c r="R601" s="376"/>
      <c r="S601" s="376"/>
      <c r="T601" s="376"/>
      <c r="U601" s="376"/>
      <c r="V601" s="376"/>
    </row>
    <row r="602" spans="1:22">
      <c r="A602" s="200"/>
      <c r="B602" s="200"/>
      <c r="C602" s="373"/>
      <c r="D602" s="200"/>
      <c r="E602" s="200"/>
      <c r="F602" s="200"/>
      <c r="G602" s="200"/>
      <c r="H602" s="200"/>
      <c r="I602" s="377"/>
      <c r="J602" s="366"/>
      <c r="K602" s="374"/>
      <c r="L602" s="366"/>
      <c r="M602" s="375"/>
      <c r="N602" s="376"/>
      <c r="O602" s="376"/>
      <c r="P602" s="376"/>
      <c r="Q602" s="376"/>
      <c r="R602" s="376"/>
      <c r="S602" s="376"/>
      <c r="T602" s="376"/>
      <c r="U602" s="376"/>
      <c r="V602" s="376"/>
    </row>
    <row r="603" spans="1:22">
      <c r="A603" s="200"/>
      <c r="B603" s="200"/>
      <c r="C603" s="373"/>
      <c r="D603" s="200"/>
      <c r="E603" s="200"/>
      <c r="F603" s="200"/>
      <c r="G603" s="200"/>
      <c r="H603" s="200"/>
      <c r="I603" s="377"/>
      <c r="J603" s="366"/>
      <c r="K603" s="374"/>
      <c r="L603" s="366"/>
      <c r="M603" s="375"/>
      <c r="N603" s="376"/>
      <c r="O603" s="376"/>
      <c r="P603" s="376"/>
      <c r="Q603" s="376"/>
      <c r="R603" s="376"/>
      <c r="S603" s="376"/>
      <c r="T603" s="376"/>
      <c r="U603" s="376"/>
      <c r="V603" s="376"/>
    </row>
    <row r="604" spans="1:22">
      <c r="A604" s="200"/>
      <c r="B604" s="200"/>
      <c r="C604" s="373"/>
      <c r="D604" s="200"/>
      <c r="E604" s="200"/>
      <c r="F604" s="200"/>
      <c r="G604" s="200"/>
      <c r="H604" s="200"/>
      <c r="I604" s="377"/>
      <c r="J604" s="366"/>
      <c r="K604" s="374"/>
      <c r="L604" s="366"/>
      <c r="M604" s="375"/>
      <c r="N604" s="376"/>
      <c r="O604" s="376"/>
      <c r="P604" s="376"/>
      <c r="Q604" s="376"/>
      <c r="R604" s="376"/>
      <c r="S604" s="376"/>
      <c r="T604" s="376"/>
      <c r="U604" s="376"/>
      <c r="V604" s="376"/>
    </row>
    <row r="605" spans="1:22">
      <c r="A605" s="200"/>
      <c r="B605" s="200"/>
      <c r="C605" s="373"/>
      <c r="D605" s="200"/>
      <c r="E605" s="200"/>
      <c r="F605" s="200"/>
      <c r="G605" s="200"/>
      <c r="H605" s="200"/>
      <c r="I605" s="377"/>
      <c r="J605" s="366"/>
      <c r="K605" s="374"/>
      <c r="L605" s="366"/>
      <c r="M605" s="375"/>
      <c r="N605" s="376"/>
      <c r="O605" s="376"/>
      <c r="P605" s="376"/>
      <c r="Q605" s="376"/>
      <c r="R605" s="376"/>
      <c r="S605" s="376"/>
      <c r="T605" s="376"/>
      <c r="U605" s="376"/>
      <c r="V605" s="376"/>
    </row>
    <row r="606" spans="1:22">
      <c r="A606" s="200"/>
      <c r="B606" s="200"/>
      <c r="C606" s="373"/>
      <c r="D606" s="200"/>
      <c r="E606" s="200"/>
      <c r="F606" s="200"/>
      <c r="G606" s="200"/>
      <c r="H606" s="200"/>
      <c r="I606" s="377"/>
      <c r="J606" s="366"/>
      <c r="K606" s="374"/>
      <c r="L606" s="366"/>
      <c r="M606" s="375"/>
      <c r="N606" s="376"/>
      <c r="O606" s="376"/>
      <c r="P606" s="376"/>
      <c r="Q606" s="376"/>
      <c r="R606" s="376"/>
      <c r="S606" s="376"/>
      <c r="T606" s="376"/>
      <c r="U606" s="376"/>
      <c r="V606" s="376"/>
    </row>
    <row r="607" spans="1:22">
      <c r="A607" s="200"/>
      <c r="B607" s="200"/>
      <c r="C607" s="373"/>
      <c r="D607" s="200"/>
      <c r="E607" s="200"/>
      <c r="F607" s="200"/>
      <c r="G607" s="200"/>
      <c r="H607" s="200"/>
      <c r="I607" s="377"/>
      <c r="J607" s="366"/>
      <c r="K607" s="374"/>
      <c r="L607" s="366"/>
      <c r="M607" s="375"/>
      <c r="N607" s="376"/>
      <c r="O607" s="376"/>
      <c r="P607" s="376"/>
      <c r="Q607" s="376"/>
      <c r="R607" s="376"/>
      <c r="S607" s="376"/>
      <c r="T607" s="376"/>
      <c r="U607" s="376"/>
      <c r="V607" s="376"/>
    </row>
    <row r="608" spans="1:22">
      <c r="A608" s="200"/>
      <c r="B608" s="200"/>
      <c r="C608" s="373"/>
      <c r="D608" s="200"/>
      <c r="E608" s="200"/>
      <c r="F608" s="200"/>
      <c r="G608" s="200"/>
      <c r="H608" s="200"/>
      <c r="I608" s="377"/>
      <c r="J608" s="366"/>
      <c r="K608" s="374"/>
      <c r="L608" s="366"/>
      <c r="M608" s="375"/>
      <c r="N608" s="376"/>
      <c r="O608" s="376"/>
      <c r="P608" s="376"/>
      <c r="Q608" s="376"/>
      <c r="R608" s="376"/>
      <c r="S608" s="376"/>
      <c r="T608" s="376"/>
      <c r="U608" s="376"/>
      <c r="V608" s="376"/>
    </row>
    <row r="609" spans="1:22">
      <c r="A609" s="200"/>
      <c r="B609" s="200"/>
      <c r="C609" s="373"/>
      <c r="D609" s="200"/>
      <c r="E609" s="200"/>
      <c r="F609" s="200"/>
      <c r="G609" s="200"/>
      <c r="H609" s="200"/>
      <c r="I609" s="377"/>
      <c r="J609" s="366"/>
      <c r="K609" s="374"/>
      <c r="L609" s="366"/>
      <c r="M609" s="375"/>
      <c r="N609" s="376"/>
      <c r="O609" s="376"/>
      <c r="P609" s="376"/>
      <c r="Q609" s="376"/>
      <c r="R609" s="376"/>
      <c r="S609" s="376"/>
      <c r="T609" s="376"/>
      <c r="U609" s="376"/>
      <c r="V609" s="376"/>
    </row>
    <row r="610" spans="1:22">
      <c r="A610" s="200"/>
      <c r="B610" s="200"/>
      <c r="C610" s="373"/>
      <c r="D610" s="200"/>
      <c r="E610" s="200"/>
      <c r="F610" s="200"/>
      <c r="G610" s="200"/>
      <c r="H610" s="200"/>
      <c r="I610" s="377"/>
      <c r="J610" s="366"/>
      <c r="K610" s="374"/>
      <c r="L610" s="366"/>
      <c r="M610" s="375"/>
      <c r="N610" s="376"/>
      <c r="O610" s="376"/>
      <c r="P610" s="376"/>
      <c r="Q610" s="376"/>
      <c r="R610" s="376"/>
      <c r="S610" s="376"/>
      <c r="T610" s="376"/>
      <c r="U610" s="376"/>
      <c r="V610" s="376"/>
    </row>
    <row r="611" spans="1:22">
      <c r="A611" s="200"/>
      <c r="B611" s="200"/>
      <c r="C611" s="373"/>
      <c r="D611" s="200"/>
      <c r="E611" s="200"/>
      <c r="F611" s="200"/>
      <c r="G611" s="200"/>
      <c r="H611" s="200"/>
      <c r="I611" s="377"/>
      <c r="J611" s="366"/>
      <c r="K611" s="374"/>
      <c r="L611" s="366"/>
      <c r="M611" s="375"/>
      <c r="N611" s="376"/>
      <c r="O611" s="376"/>
      <c r="P611" s="376"/>
      <c r="Q611" s="376"/>
      <c r="R611" s="376"/>
      <c r="S611" s="376"/>
      <c r="T611" s="376"/>
      <c r="U611" s="376"/>
      <c r="V611" s="376"/>
    </row>
    <row r="612" spans="1:22">
      <c r="A612" s="200"/>
      <c r="B612" s="200"/>
      <c r="C612" s="373"/>
      <c r="D612" s="200"/>
      <c r="E612" s="200"/>
      <c r="F612" s="200"/>
      <c r="G612" s="200"/>
      <c r="H612" s="200"/>
      <c r="I612" s="377"/>
      <c r="J612" s="366"/>
      <c r="K612" s="374"/>
      <c r="L612" s="366"/>
      <c r="M612" s="375"/>
      <c r="N612" s="376"/>
      <c r="O612" s="376"/>
      <c r="P612" s="376"/>
      <c r="Q612" s="376"/>
      <c r="R612" s="376"/>
      <c r="S612" s="376"/>
      <c r="T612" s="376"/>
      <c r="U612" s="376"/>
      <c r="V612" s="376"/>
    </row>
    <row r="613" spans="1:22">
      <c r="A613" s="200"/>
      <c r="B613" s="200"/>
      <c r="C613" s="373"/>
      <c r="D613" s="200"/>
      <c r="E613" s="200"/>
      <c r="F613" s="200"/>
      <c r="G613" s="200"/>
      <c r="H613" s="200"/>
      <c r="I613" s="377"/>
      <c r="J613" s="366"/>
      <c r="K613" s="374"/>
      <c r="L613" s="366"/>
      <c r="M613" s="375"/>
      <c r="N613" s="376"/>
      <c r="O613" s="376"/>
      <c r="P613" s="376"/>
      <c r="Q613" s="376"/>
      <c r="R613" s="376"/>
      <c r="S613" s="376"/>
      <c r="T613" s="376"/>
      <c r="U613" s="376"/>
      <c r="V613" s="376"/>
    </row>
    <row r="614" spans="1:22">
      <c r="A614" s="200"/>
      <c r="B614" s="200"/>
      <c r="C614" s="373"/>
      <c r="D614" s="200"/>
      <c r="E614" s="200"/>
      <c r="F614" s="200"/>
      <c r="G614" s="200"/>
      <c r="H614" s="200"/>
      <c r="I614" s="377"/>
      <c r="J614" s="366"/>
      <c r="K614" s="374"/>
      <c r="L614" s="366"/>
      <c r="M614" s="375"/>
      <c r="N614" s="376"/>
      <c r="O614" s="376"/>
      <c r="P614" s="376"/>
      <c r="Q614" s="376"/>
      <c r="R614" s="376"/>
      <c r="S614" s="376"/>
      <c r="T614" s="376"/>
      <c r="U614" s="376"/>
      <c r="V614" s="376"/>
    </row>
    <row r="615" spans="1:22">
      <c r="A615" s="200"/>
      <c r="B615" s="200"/>
      <c r="C615" s="373"/>
      <c r="D615" s="200"/>
      <c r="E615" s="200"/>
      <c r="F615" s="200"/>
      <c r="G615" s="200"/>
      <c r="H615" s="200"/>
      <c r="I615" s="377"/>
      <c r="J615" s="366"/>
      <c r="K615" s="374"/>
      <c r="L615" s="366"/>
      <c r="M615" s="375"/>
      <c r="N615" s="376"/>
      <c r="O615" s="376"/>
      <c r="P615" s="376"/>
      <c r="Q615" s="376"/>
      <c r="R615" s="376"/>
      <c r="S615" s="376"/>
      <c r="T615" s="376"/>
      <c r="U615" s="376"/>
      <c r="V615" s="376"/>
    </row>
    <row r="616" spans="1:22">
      <c r="A616" s="200"/>
      <c r="B616" s="200"/>
      <c r="C616" s="373"/>
      <c r="D616" s="200"/>
      <c r="E616" s="200"/>
      <c r="F616" s="200"/>
      <c r="G616" s="200"/>
      <c r="H616" s="200"/>
      <c r="I616" s="377"/>
      <c r="J616" s="366"/>
      <c r="K616" s="374"/>
      <c r="L616" s="366"/>
      <c r="M616" s="375"/>
      <c r="N616" s="376"/>
      <c r="O616" s="376"/>
      <c r="P616" s="376"/>
      <c r="Q616" s="376"/>
      <c r="R616" s="376"/>
      <c r="S616" s="376"/>
      <c r="T616" s="376"/>
      <c r="U616" s="376"/>
      <c r="V616" s="376"/>
    </row>
    <row r="617" spans="1:22">
      <c r="A617" s="200"/>
      <c r="B617" s="200"/>
      <c r="C617" s="373"/>
      <c r="D617" s="200"/>
      <c r="E617" s="200"/>
      <c r="F617" s="200"/>
      <c r="G617" s="200"/>
      <c r="H617" s="200"/>
      <c r="I617" s="377"/>
      <c r="J617" s="366"/>
      <c r="K617" s="374"/>
      <c r="L617" s="366"/>
      <c r="M617" s="375"/>
      <c r="N617" s="376"/>
      <c r="O617" s="376"/>
      <c r="P617" s="376"/>
      <c r="Q617" s="376"/>
      <c r="R617" s="376"/>
      <c r="S617" s="376"/>
      <c r="T617" s="376"/>
      <c r="U617" s="376"/>
      <c r="V617" s="376"/>
    </row>
    <row r="618" spans="1:22">
      <c r="A618" s="200"/>
      <c r="B618" s="200"/>
      <c r="C618" s="373"/>
      <c r="D618" s="200"/>
      <c r="E618" s="200"/>
      <c r="F618" s="200"/>
      <c r="G618" s="200"/>
      <c r="H618" s="200"/>
      <c r="I618" s="377"/>
      <c r="J618" s="366"/>
      <c r="K618" s="374"/>
      <c r="L618" s="366"/>
      <c r="M618" s="375"/>
      <c r="N618" s="376"/>
      <c r="O618" s="376"/>
      <c r="P618" s="376"/>
      <c r="Q618" s="376"/>
      <c r="R618" s="376"/>
      <c r="S618" s="376"/>
      <c r="T618" s="376"/>
      <c r="U618" s="376"/>
      <c r="V618" s="376"/>
    </row>
    <row r="619" spans="1:22">
      <c r="A619" s="200"/>
      <c r="B619" s="200"/>
      <c r="C619" s="373"/>
      <c r="D619" s="200"/>
      <c r="E619" s="200"/>
      <c r="F619" s="200"/>
      <c r="G619" s="200"/>
      <c r="H619" s="200"/>
      <c r="I619" s="377"/>
      <c r="J619" s="366"/>
      <c r="K619" s="374"/>
      <c r="L619" s="366"/>
      <c r="M619" s="375"/>
      <c r="N619" s="376"/>
      <c r="O619" s="376"/>
      <c r="P619" s="376"/>
      <c r="Q619" s="376"/>
      <c r="R619" s="376"/>
      <c r="S619" s="376"/>
      <c r="T619" s="376"/>
      <c r="U619" s="376"/>
      <c r="V619" s="376"/>
    </row>
    <row r="620" spans="1:22">
      <c r="A620" s="200"/>
      <c r="B620" s="200"/>
      <c r="C620" s="373"/>
      <c r="D620" s="200"/>
      <c r="E620" s="200"/>
      <c r="F620" s="200"/>
      <c r="G620" s="200"/>
      <c r="H620" s="200"/>
      <c r="I620" s="377"/>
      <c r="J620" s="366"/>
      <c r="K620" s="374"/>
      <c r="L620" s="366"/>
      <c r="M620" s="375"/>
      <c r="N620" s="376"/>
      <c r="O620" s="376"/>
      <c r="P620" s="376"/>
      <c r="Q620" s="376"/>
      <c r="R620" s="376"/>
      <c r="S620" s="376"/>
      <c r="T620" s="376"/>
      <c r="U620" s="376"/>
      <c r="V620" s="376"/>
    </row>
    <row r="621" spans="1:22">
      <c r="A621" s="200"/>
      <c r="B621" s="200"/>
      <c r="C621" s="373"/>
      <c r="D621" s="200"/>
      <c r="E621" s="200"/>
      <c r="F621" s="200"/>
      <c r="G621" s="200"/>
      <c r="H621" s="200"/>
      <c r="I621" s="377"/>
      <c r="J621" s="366"/>
      <c r="K621" s="374"/>
      <c r="L621" s="366"/>
      <c r="M621" s="375"/>
      <c r="N621" s="376"/>
      <c r="O621" s="376"/>
      <c r="P621" s="376"/>
      <c r="Q621" s="376"/>
      <c r="R621" s="376"/>
      <c r="S621" s="376"/>
      <c r="T621" s="376"/>
      <c r="U621" s="376"/>
      <c r="V621" s="376"/>
    </row>
    <row r="622" spans="1:22">
      <c r="A622" s="200"/>
      <c r="B622" s="200"/>
      <c r="C622" s="373"/>
      <c r="D622" s="200"/>
      <c r="E622" s="200"/>
      <c r="F622" s="200"/>
      <c r="G622" s="200"/>
      <c r="H622" s="200"/>
      <c r="I622" s="377"/>
      <c r="J622" s="366"/>
      <c r="K622" s="374"/>
      <c r="L622" s="366"/>
      <c r="M622" s="375"/>
      <c r="N622" s="376"/>
      <c r="O622" s="376"/>
      <c r="P622" s="376"/>
      <c r="Q622" s="376"/>
      <c r="R622" s="376"/>
      <c r="S622" s="376"/>
      <c r="T622" s="376"/>
      <c r="U622" s="376"/>
      <c r="V622" s="376"/>
    </row>
    <row r="623" spans="1:22">
      <c r="A623" s="200"/>
      <c r="B623" s="200"/>
      <c r="C623" s="373"/>
      <c r="D623" s="200"/>
      <c r="E623" s="200"/>
      <c r="F623" s="200"/>
      <c r="G623" s="200"/>
      <c r="H623" s="200"/>
      <c r="I623" s="377"/>
      <c r="J623" s="366"/>
      <c r="K623" s="374"/>
      <c r="L623" s="366"/>
      <c r="M623" s="375"/>
      <c r="N623" s="376"/>
      <c r="O623" s="376"/>
      <c r="P623" s="376"/>
      <c r="Q623" s="376"/>
      <c r="R623" s="376"/>
      <c r="S623" s="376"/>
      <c r="T623" s="376"/>
      <c r="U623" s="376"/>
      <c r="V623" s="376"/>
    </row>
    <row r="624" spans="1:22">
      <c r="A624" s="200"/>
      <c r="B624" s="200"/>
      <c r="C624" s="373"/>
      <c r="D624" s="200"/>
      <c r="E624" s="200"/>
      <c r="F624" s="200"/>
      <c r="G624" s="200"/>
      <c r="H624" s="200"/>
      <c r="I624" s="377"/>
      <c r="J624" s="366"/>
      <c r="K624" s="374"/>
      <c r="L624" s="366"/>
      <c r="M624" s="375"/>
      <c r="N624" s="376"/>
      <c r="O624" s="376"/>
      <c r="P624" s="376"/>
      <c r="Q624" s="376"/>
      <c r="R624" s="376"/>
      <c r="S624" s="376"/>
      <c r="T624" s="376"/>
      <c r="U624" s="376"/>
      <c r="V624" s="376"/>
    </row>
    <row r="625" spans="1:22">
      <c r="A625" s="200"/>
      <c r="B625" s="200"/>
      <c r="C625" s="373"/>
      <c r="D625" s="200"/>
      <c r="E625" s="200"/>
      <c r="F625" s="200"/>
      <c r="G625" s="200"/>
      <c r="H625" s="200"/>
      <c r="I625" s="377"/>
      <c r="J625" s="366"/>
      <c r="K625" s="374"/>
      <c r="L625" s="366"/>
      <c r="M625" s="375"/>
      <c r="N625" s="376"/>
      <c r="O625" s="376"/>
      <c r="P625" s="376"/>
      <c r="Q625" s="376"/>
      <c r="R625" s="376"/>
      <c r="S625" s="376"/>
      <c r="T625" s="376"/>
      <c r="U625" s="376"/>
      <c r="V625" s="376"/>
    </row>
    <row r="626" spans="1:22">
      <c r="A626" s="200"/>
      <c r="B626" s="200"/>
      <c r="C626" s="373"/>
      <c r="D626" s="200"/>
      <c r="E626" s="200"/>
      <c r="F626" s="200"/>
      <c r="G626" s="200"/>
      <c r="H626" s="200"/>
      <c r="I626" s="377"/>
      <c r="J626" s="366"/>
      <c r="K626" s="374"/>
      <c r="L626" s="366"/>
      <c r="M626" s="375"/>
      <c r="N626" s="376"/>
      <c r="O626" s="376"/>
      <c r="P626" s="376"/>
      <c r="Q626" s="376"/>
      <c r="R626" s="376"/>
      <c r="S626" s="376"/>
      <c r="T626" s="376"/>
      <c r="U626" s="376"/>
      <c r="V626" s="376"/>
    </row>
    <row r="627" spans="1:22">
      <c r="A627" s="200"/>
      <c r="B627" s="200"/>
      <c r="C627" s="373"/>
      <c r="D627" s="200"/>
      <c r="E627" s="200"/>
      <c r="F627" s="200"/>
      <c r="G627" s="200"/>
      <c r="H627" s="200"/>
      <c r="I627" s="377"/>
      <c r="J627" s="366"/>
      <c r="K627" s="374"/>
      <c r="L627" s="366"/>
      <c r="M627" s="375"/>
      <c r="N627" s="376"/>
      <c r="O627" s="376"/>
      <c r="P627" s="376"/>
      <c r="Q627" s="376"/>
      <c r="R627" s="376"/>
      <c r="S627" s="376"/>
      <c r="T627" s="376"/>
      <c r="U627" s="376"/>
      <c r="V627" s="376"/>
    </row>
    <row r="628" spans="1:22">
      <c r="A628" s="200"/>
      <c r="B628" s="200"/>
      <c r="C628" s="373"/>
      <c r="D628" s="200"/>
      <c r="E628" s="200"/>
      <c r="F628" s="200"/>
      <c r="G628" s="200"/>
      <c r="H628" s="200"/>
      <c r="I628" s="377"/>
      <c r="J628" s="366"/>
      <c r="K628" s="374"/>
      <c r="L628" s="366"/>
      <c r="M628" s="375"/>
      <c r="N628" s="376"/>
      <c r="O628" s="376"/>
      <c r="P628" s="376"/>
      <c r="Q628" s="376"/>
      <c r="R628" s="376"/>
      <c r="S628" s="376"/>
      <c r="T628" s="376"/>
      <c r="U628" s="376"/>
      <c r="V628" s="376"/>
    </row>
    <row r="629" spans="1:22">
      <c r="A629" s="200"/>
      <c r="B629" s="200"/>
      <c r="C629" s="373"/>
      <c r="D629" s="200"/>
      <c r="E629" s="200"/>
      <c r="F629" s="200"/>
      <c r="G629" s="200"/>
      <c r="H629" s="200"/>
      <c r="I629" s="377"/>
      <c r="J629" s="366"/>
      <c r="K629" s="374"/>
      <c r="L629" s="366"/>
      <c r="M629" s="375"/>
      <c r="N629" s="376"/>
      <c r="O629" s="376"/>
      <c r="P629" s="376"/>
      <c r="Q629" s="376"/>
      <c r="R629" s="376"/>
      <c r="S629" s="376"/>
      <c r="T629" s="376"/>
      <c r="U629" s="376"/>
      <c r="V629" s="376"/>
    </row>
    <row r="630" spans="1:22">
      <c r="A630" s="200"/>
      <c r="B630" s="200"/>
      <c r="C630" s="373"/>
      <c r="D630" s="200"/>
      <c r="E630" s="200"/>
      <c r="F630" s="200"/>
      <c r="G630" s="200"/>
      <c r="H630" s="200"/>
      <c r="I630" s="377"/>
      <c r="J630" s="366"/>
      <c r="K630" s="374"/>
      <c r="L630" s="366"/>
      <c r="M630" s="375"/>
      <c r="N630" s="376"/>
      <c r="O630" s="376"/>
      <c r="P630" s="376"/>
      <c r="Q630" s="376"/>
      <c r="R630" s="376"/>
      <c r="S630" s="376"/>
      <c r="T630" s="376"/>
      <c r="U630" s="376"/>
      <c r="V630" s="376"/>
    </row>
    <row r="631" spans="1:22">
      <c r="A631" s="200"/>
      <c r="B631" s="200"/>
      <c r="C631" s="373"/>
      <c r="D631" s="200"/>
      <c r="E631" s="200"/>
      <c r="F631" s="200"/>
      <c r="G631" s="200"/>
      <c r="H631" s="200"/>
      <c r="I631" s="377"/>
      <c r="J631" s="366"/>
      <c r="K631" s="374"/>
      <c r="L631" s="366"/>
      <c r="M631" s="375"/>
      <c r="N631" s="376"/>
      <c r="O631" s="376"/>
      <c r="P631" s="376"/>
      <c r="Q631" s="376"/>
      <c r="R631" s="376"/>
      <c r="S631" s="376"/>
      <c r="T631" s="376"/>
      <c r="U631" s="376"/>
      <c r="V631" s="376"/>
    </row>
    <row r="632" spans="1:22">
      <c r="A632" s="200"/>
      <c r="B632" s="200"/>
      <c r="C632" s="373"/>
      <c r="D632" s="200"/>
      <c r="E632" s="200"/>
      <c r="F632" s="200"/>
      <c r="G632" s="200"/>
      <c r="H632" s="200"/>
      <c r="I632" s="377"/>
      <c r="J632" s="366"/>
      <c r="K632" s="374"/>
      <c r="L632" s="366"/>
      <c r="M632" s="375"/>
      <c r="N632" s="376"/>
      <c r="O632" s="376"/>
      <c r="P632" s="376"/>
      <c r="Q632" s="376"/>
      <c r="R632" s="376"/>
      <c r="S632" s="376"/>
      <c r="T632" s="376"/>
      <c r="U632" s="376"/>
      <c r="V632" s="376"/>
    </row>
    <row r="633" spans="1:22">
      <c r="A633" s="200"/>
      <c r="B633" s="200"/>
      <c r="C633" s="373"/>
      <c r="D633" s="200"/>
      <c r="E633" s="200"/>
      <c r="F633" s="200"/>
      <c r="G633" s="200"/>
      <c r="H633" s="200"/>
      <c r="I633" s="377"/>
      <c r="J633" s="366"/>
      <c r="K633" s="374"/>
      <c r="L633" s="366"/>
      <c r="M633" s="375"/>
      <c r="N633" s="376"/>
      <c r="O633" s="376"/>
      <c r="P633" s="376"/>
      <c r="Q633" s="376"/>
      <c r="R633" s="376"/>
      <c r="S633" s="376"/>
      <c r="T633" s="376"/>
      <c r="U633" s="376"/>
      <c r="V633" s="376"/>
    </row>
    <row r="634" spans="1:22">
      <c r="A634" s="200"/>
      <c r="B634" s="200"/>
      <c r="C634" s="373"/>
      <c r="D634" s="200"/>
      <c r="E634" s="200"/>
      <c r="F634" s="200"/>
      <c r="G634" s="200"/>
      <c r="H634" s="200"/>
      <c r="I634" s="377"/>
      <c r="J634" s="366"/>
      <c r="K634" s="374"/>
      <c r="L634" s="366"/>
      <c r="M634" s="375"/>
      <c r="N634" s="376"/>
      <c r="O634" s="376"/>
      <c r="P634" s="376"/>
      <c r="Q634" s="376"/>
      <c r="R634" s="376"/>
      <c r="S634" s="376"/>
      <c r="T634" s="376"/>
      <c r="U634" s="376"/>
      <c r="V634" s="376"/>
    </row>
    <row r="635" spans="1:22">
      <c r="A635" s="200"/>
      <c r="B635" s="200"/>
      <c r="C635" s="373"/>
      <c r="D635" s="200"/>
      <c r="E635" s="200"/>
      <c r="F635" s="200"/>
      <c r="G635" s="200"/>
      <c r="H635" s="200"/>
      <c r="I635" s="377"/>
      <c r="J635" s="366"/>
      <c r="K635" s="374"/>
      <c r="L635" s="366"/>
      <c r="M635" s="375"/>
      <c r="N635" s="376"/>
      <c r="O635" s="376"/>
      <c r="P635" s="376"/>
      <c r="Q635" s="376"/>
      <c r="R635" s="376"/>
      <c r="S635" s="376"/>
      <c r="T635" s="376"/>
      <c r="U635" s="376"/>
      <c r="V635" s="376"/>
    </row>
    <row r="636" spans="1:22">
      <c r="A636" s="200"/>
      <c r="B636" s="200"/>
      <c r="C636" s="373"/>
      <c r="D636" s="200"/>
      <c r="E636" s="200"/>
      <c r="F636" s="200"/>
      <c r="G636" s="200"/>
      <c r="H636" s="200"/>
      <c r="I636" s="377"/>
      <c r="J636" s="366"/>
      <c r="K636" s="374"/>
      <c r="L636" s="366"/>
      <c r="M636" s="375"/>
      <c r="N636" s="376"/>
      <c r="O636" s="376"/>
      <c r="P636" s="376"/>
      <c r="Q636" s="376"/>
      <c r="R636" s="376"/>
      <c r="S636" s="376"/>
      <c r="T636" s="376"/>
      <c r="U636" s="376"/>
      <c r="V636" s="376"/>
    </row>
    <row r="637" spans="1:22">
      <c r="A637" s="200"/>
      <c r="B637" s="200"/>
      <c r="C637" s="373"/>
      <c r="D637" s="200"/>
      <c r="E637" s="200"/>
      <c r="F637" s="200"/>
      <c r="G637" s="200"/>
      <c r="H637" s="200"/>
      <c r="I637" s="377"/>
      <c r="J637" s="366"/>
      <c r="K637" s="374"/>
      <c r="L637" s="366"/>
      <c r="M637" s="375"/>
      <c r="N637" s="376"/>
      <c r="O637" s="376"/>
      <c r="P637" s="376"/>
      <c r="Q637" s="376"/>
      <c r="R637" s="376"/>
      <c r="S637" s="376"/>
      <c r="T637" s="376"/>
      <c r="U637" s="376"/>
      <c r="V637" s="376"/>
    </row>
    <row r="638" spans="1:22">
      <c r="A638" s="200"/>
      <c r="B638" s="200"/>
      <c r="C638" s="373"/>
      <c r="D638" s="200"/>
      <c r="E638" s="200"/>
      <c r="F638" s="200"/>
      <c r="G638" s="200"/>
      <c r="H638" s="200"/>
      <c r="I638" s="377"/>
      <c r="J638" s="366"/>
      <c r="K638" s="374"/>
      <c r="L638" s="366"/>
      <c r="M638" s="375"/>
      <c r="N638" s="376"/>
      <c r="O638" s="376"/>
      <c r="P638" s="376"/>
      <c r="Q638" s="376"/>
      <c r="R638" s="376"/>
      <c r="S638" s="376"/>
      <c r="T638" s="376"/>
      <c r="U638" s="376"/>
      <c r="V638" s="376"/>
    </row>
    <row r="639" spans="1:22">
      <c r="A639" s="200"/>
      <c r="B639" s="200"/>
      <c r="C639" s="373"/>
      <c r="D639" s="200"/>
      <c r="E639" s="200"/>
      <c r="F639" s="200"/>
      <c r="G639" s="200"/>
      <c r="H639" s="200"/>
      <c r="I639" s="377"/>
      <c r="J639" s="366"/>
      <c r="K639" s="374"/>
      <c r="L639" s="366"/>
      <c r="M639" s="375"/>
      <c r="N639" s="376"/>
      <c r="O639" s="376"/>
      <c r="P639" s="376"/>
      <c r="Q639" s="376"/>
      <c r="R639" s="376"/>
      <c r="S639" s="376"/>
      <c r="T639" s="376"/>
      <c r="U639" s="376"/>
      <c r="V639" s="376"/>
    </row>
    <row r="640" spans="1:22">
      <c r="A640" s="200"/>
      <c r="B640" s="200"/>
      <c r="C640" s="373"/>
      <c r="D640" s="200"/>
      <c r="E640" s="200"/>
      <c r="F640" s="200"/>
      <c r="G640" s="200"/>
      <c r="H640" s="200"/>
      <c r="I640" s="377"/>
      <c r="J640" s="366"/>
      <c r="K640" s="374"/>
      <c r="L640" s="366"/>
      <c r="M640" s="375"/>
      <c r="N640" s="376"/>
      <c r="O640" s="376"/>
      <c r="P640" s="376"/>
      <c r="Q640" s="376"/>
      <c r="R640" s="376"/>
      <c r="S640" s="376"/>
      <c r="T640" s="376"/>
      <c r="U640" s="376"/>
      <c r="V640" s="376"/>
    </row>
    <row r="641" spans="1:22">
      <c r="A641" s="200"/>
      <c r="B641" s="200"/>
      <c r="C641" s="373"/>
      <c r="D641" s="200"/>
      <c r="E641" s="200"/>
      <c r="F641" s="200"/>
      <c r="G641" s="200"/>
      <c r="H641" s="200"/>
      <c r="I641" s="377"/>
      <c r="J641" s="366"/>
      <c r="K641" s="374"/>
      <c r="L641" s="366"/>
      <c r="M641" s="375"/>
      <c r="N641" s="376"/>
      <c r="O641" s="376"/>
      <c r="P641" s="376"/>
      <c r="Q641" s="376"/>
      <c r="R641" s="376"/>
      <c r="S641" s="376"/>
      <c r="T641" s="376"/>
      <c r="U641" s="376"/>
      <c r="V641" s="376"/>
    </row>
    <row r="642" spans="1:22">
      <c r="A642" s="200"/>
      <c r="B642" s="200"/>
      <c r="C642" s="373"/>
      <c r="D642" s="200"/>
      <c r="E642" s="200"/>
      <c r="F642" s="200"/>
      <c r="G642" s="200"/>
      <c r="H642" s="200"/>
      <c r="I642" s="377"/>
      <c r="J642" s="366"/>
      <c r="K642" s="374"/>
      <c r="L642" s="366"/>
      <c r="M642" s="375"/>
      <c r="N642" s="376"/>
      <c r="O642" s="376"/>
      <c r="P642" s="376"/>
      <c r="Q642" s="376"/>
      <c r="R642" s="376"/>
      <c r="S642" s="376"/>
      <c r="T642" s="376"/>
      <c r="U642" s="376"/>
      <c r="V642" s="376"/>
    </row>
    <row r="643" spans="1:22">
      <c r="A643" s="200"/>
      <c r="B643" s="200"/>
      <c r="C643" s="373"/>
      <c r="D643" s="200"/>
      <c r="E643" s="200"/>
      <c r="F643" s="200"/>
      <c r="G643" s="200"/>
      <c r="H643" s="200"/>
      <c r="I643" s="377"/>
      <c r="J643" s="366"/>
      <c r="K643" s="374"/>
      <c r="L643" s="366"/>
      <c r="M643" s="375"/>
      <c r="N643" s="376"/>
      <c r="O643" s="376"/>
      <c r="P643" s="376"/>
      <c r="Q643" s="376"/>
      <c r="R643" s="376"/>
      <c r="S643" s="376"/>
      <c r="T643" s="376"/>
      <c r="U643" s="376"/>
      <c r="V643" s="376"/>
    </row>
    <row r="644" spans="1:22">
      <c r="A644" s="200"/>
      <c r="B644" s="200"/>
      <c r="C644" s="373"/>
      <c r="D644" s="200"/>
      <c r="E644" s="200"/>
      <c r="F644" s="200"/>
      <c r="G644" s="200"/>
      <c r="H644" s="200"/>
      <c r="I644" s="377"/>
      <c r="J644" s="366"/>
      <c r="K644" s="374"/>
      <c r="L644" s="366"/>
      <c r="M644" s="375"/>
      <c r="N644" s="376"/>
      <c r="O644" s="376"/>
      <c r="P644" s="376"/>
      <c r="Q644" s="376"/>
      <c r="R644" s="376"/>
      <c r="S644" s="376"/>
      <c r="T644" s="376"/>
      <c r="U644" s="376"/>
      <c r="V644" s="376"/>
    </row>
    <row r="645" spans="1:22">
      <c r="A645" s="200"/>
      <c r="B645" s="200"/>
      <c r="C645" s="373"/>
      <c r="D645" s="200"/>
      <c r="E645" s="200"/>
      <c r="F645" s="200"/>
      <c r="G645" s="200"/>
      <c r="H645" s="200"/>
      <c r="I645" s="377"/>
      <c r="J645" s="366"/>
      <c r="K645" s="374"/>
      <c r="L645" s="366"/>
      <c r="M645" s="375"/>
      <c r="N645" s="376"/>
      <c r="O645" s="376"/>
      <c r="P645" s="376"/>
      <c r="Q645" s="376"/>
      <c r="R645" s="376"/>
      <c r="S645" s="376"/>
      <c r="T645" s="376"/>
      <c r="U645" s="376"/>
      <c r="V645" s="376"/>
    </row>
    <row r="646" spans="1:22">
      <c r="A646" s="200"/>
      <c r="B646" s="200"/>
      <c r="C646" s="373"/>
      <c r="D646" s="200"/>
      <c r="E646" s="200"/>
      <c r="F646" s="200"/>
      <c r="G646" s="200"/>
      <c r="H646" s="200"/>
      <c r="I646" s="377"/>
      <c r="J646" s="366"/>
      <c r="K646" s="374"/>
      <c r="L646" s="366"/>
      <c r="M646" s="375"/>
      <c r="N646" s="376"/>
      <c r="O646" s="376"/>
      <c r="P646" s="376"/>
      <c r="Q646" s="376"/>
      <c r="R646" s="376"/>
      <c r="S646" s="376"/>
      <c r="T646" s="376"/>
      <c r="U646" s="376"/>
      <c r="V646" s="376"/>
    </row>
    <row r="647" spans="1:22">
      <c r="A647" s="200"/>
      <c r="B647" s="200"/>
      <c r="C647" s="373"/>
      <c r="D647" s="200"/>
      <c r="E647" s="200"/>
      <c r="F647" s="200"/>
      <c r="G647" s="200"/>
      <c r="H647" s="200"/>
      <c r="I647" s="377"/>
      <c r="J647" s="366"/>
      <c r="K647" s="374"/>
      <c r="L647" s="366"/>
      <c r="M647" s="375"/>
      <c r="N647" s="376"/>
      <c r="O647" s="376"/>
      <c r="P647" s="376"/>
      <c r="Q647" s="376"/>
      <c r="R647" s="376"/>
      <c r="S647" s="376"/>
      <c r="T647" s="376"/>
      <c r="U647" s="376"/>
      <c r="V647" s="376"/>
    </row>
    <row r="648" spans="1:22">
      <c r="A648" s="200"/>
      <c r="B648" s="200"/>
      <c r="C648" s="373"/>
      <c r="D648" s="200"/>
      <c r="E648" s="200"/>
      <c r="F648" s="200"/>
      <c r="G648" s="200"/>
      <c r="H648" s="200"/>
      <c r="I648" s="377"/>
      <c r="J648" s="366"/>
      <c r="K648" s="374"/>
      <c r="L648" s="366"/>
      <c r="M648" s="375"/>
      <c r="N648" s="376"/>
      <c r="O648" s="376"/>
      <c r="P648" s="376"/>
      <c r="Q648" s="376"/>
      <c r="R648" s="376"/>
      <c r="S648" s="376"/>
      <c r="T648" s="376"/>
      <c r="U648" s="376"/>
      <c r="V648" s="376"/>
    </row>
    <row r="649" spans="1:22">
      <c r="A649" s="200"/>
      <c r="B649" s="200"/>
      <c r="C649" s="373"/>
      <c r="D649" s="200"/>
      <c r="E649" s="200"/>
      <c r="F649" s="200"/>
      <c r="G649" s="200"/>
      <c r="H649" s="200"/>
      <c r="I649" s="377"/>
      <c r="J649" s="366"/>
      <c r="K649" s="374"/>
      <c r="L649" s="366"/>
      <c r="M649" s="375"/>
      <c r="N649" s="376"/>
      <c r="O649" s="376"/>
      <c r="P649" s="376"/>
      <c r="Q649" s="376"/>
      <c r="R649" s="376"/>
      <c r="S649" s="376"/>
      <c r="T649" s="376"/>
      <c r="U649" s="376"/>
      <c r="V649" s="376"/>
    </row>
    <row r="650" spans="1:22">
      <c r="A650" s="200"/>
      <c r="B650" s="200"/>
      <c r="C650" s="373"/>
      <c r="D650" s="200"/>
      <c r="E650" s="200"/>
      <c r="F650" s="200"/>
      <c r="G650" s="200"/>
      <c r="H650" s="200"/>
      <c r="I650" s="377"/>
      <c r="J650" s="366"/>
      <c r="K650" s="374"/>
      <c r="L650" s="366"/>
      <c r="M650" s="375"/>
      <c r="N650" s="376"/>
      <c r="O650" s="376"/>
      <c r="P650" s="376"/>
      <c r="Q650" s="376"/>
      <c r="R650" s="376"/>
      <c r="S650" s="376"/>
      <c r="T650" s="376"/>
      <c r="U650" s="376"/>
      <c r="V650" s="376"/>
    </row>
    <row r="651" spans="1:22">
      <c r="A651" s="200"/>
      <c r="B651" s="200"/>
      <c r="C651" s="373"/>
      <c r="D651" s="200"/>
      <c r="E651" s="200"/>
      <c r="F651" s="200"/>
      <c r="G651" s="200"/>
      <c r="H651" s="200"/>
      <c r="I651" s="377"/>
      <c r="J651" s="366"/>
      <c r="K651" s="374"/>
      <c r="L651" s="366"/>
      <c r="M651" s="375"/>
      <c r="N651" s="376"/>
      <c r="O651" s="376"/>
      <c r="P651" s="376"/>
      <c r="Q651" s="376"/>
      <c r="R651" s="376"/>
      <c r="S651" s="376"/>
      <c r="T651" s="376"/>
      <c r="U651" s="376"/>
      <c r="V651" s="376"/>
    </row>
    <row r="652" spans="1:22">
      <c r="A652" s="200"/>
      <c r="B652" s="200"/>
      <c r="C652" s="373"/>
      <c r="D652" s="200"/>
      <c r="E652" s="200"/>
      <c r="F652" s="200"/>
      <c r="G652" s="200"/>
      <c r="H652" s="200"/>
      <c r="I652" s="377"/>
      <c r="J652" s="366"/>
      <c r="K652" s="374"/>
      <c r="L652" s="366"/>
      <c r="M652" s="375"/>
      <c r="N652" s="376"/>
      <c r="O652" s="376"/>
      <c r="P652" s="376"/>
      <c r="Q652" s="376"/>
      <c r="R652" s="376"/>
      <c r="S652" s="376"/>
      <c r="T652" s="376"/>
      <c r="U652" s="376"/>
      <c r="V652" s="376"/>
    </row>
    <row r="653" spans="1:22">
      <c r="A653" s="200"/>
      <c r="B653" s="200"/>
      <c r="C653" s="373"/>
      <c r="D653" s="200"/>
      <c r="E653" s="200"/>
      <c r="F653" s="200"/>
      <c r="G653" s="200"/>
      <c r="H653" s="200"/>
      <c r="I653" s="377"/>
      <c r="J653" s="366"/>
      <c r="K653" s="374"/>
      <c r="L653" s="366"/>
      <c r="M653" s="375"/>
      <c r="N653" s="376"/>
      <c r="O653" s="376"/>
      <c r="P653" s="376"/>
      <c r="Q653" s="376"/>
      <c r="R653" s="376"/>
      <c r="S653" s="376"/>
      <c r="T653" s="376"/>
      <c r="U653" s="376"/>
      <c r="V653" s="376"/>
    </row>
    <row r="654" spans="1:22">
      <c r="A654" s="200"/>
      <c r="B654" s="200"/>
      <c r="C654" s="373"/>
      <c r="D654" s="200"/>
      <c r="E654" s="200"/>
      <c r="F654" s="200"/>
      <c r="G654" s="200"/>
      <c r="H654" s="200"/>
      <c r="I654" s="377"/>
      <c r="J654" s="366"/>
      <c r="K654" s="374"/>
      <c r="L654" s="366"/>
      <c r="M654" s="375"/>
      <c r="N654" s="376"/>
      <c r="O654" s="376"/>
      <c r="P654" s="376"/>
      <c r="Q654" s="376"/>
      <c r="R654" s="376"/>
      <c r="S654" s="376"/>
      <c r="T654" s="376"/>
      <c r="U654" s="376"/>
      <c r="V654" s="376"/>
    </row>
    <row r="655" spans="1:22">
      <c r="A655" s="200"/>
      <c r="B655" s="200"/>
      <c r="C655" s="373"/>
      <c r="D655" s="200"/>
      <c r="E655" s="200"/>
      <c r="F655" s="200"/>
      <c r="G655" s="200"/>
      <c r="H655" s="200"/>
      <c r="I655" s="377"/>
      <c r="J655" s="366"/>
      <c r="K655" s="374"/>
      <c r="L655" s="366"/>
      <c r="M655" s="375"/>
      <c r="N655" s="376"/>
      <c r="O655" s="376"/>
      <c r="P655" s="376"/>
      <c r="Q655" s="376"/>
      <c r="R655" s="376"/>
      <c r="S655" s="376"/>
      <c r="T655" s="376"/>
      <c r="U655" s="376"/>
      <c r="V655" s="376"/>
    </row>
    <row r="656" spans="1:22">
      <c r="A656" s="200"/>
      <c r="B656" s="200"/>
      <c r="C656" s="373"/>
      <c r="D656" s="200"/>
      <c r="E656" s="200"/>
      <c r="F656" s="200"/>
      <c r="G656" s="200"/>
      <c r="H656" s="200"/>
      <c r="I656" s="377"/>
      <c r="J656" s="366"/>
      <c r="K656" s="374"/>
      <c r="L656" s="366"/>
      <c r="M656" s="375"/>
      <c r="N656" s="376"/>
      <c r="O656" s="376"/>
      <c r="P656" s="376"/>
      <c r="Q656" s="376"/>
      <c r="R656" s="376"/>
      <c r="S656" s="376"/>
      <c r="T656" s="376"/>
      <c r="U656" s="376"/>
      <c r="V656" s="376"/>
    </row>
    <row r="657" spans="1:22">
      <c r="A657" s="200"/>
      <c r="B657" s="200"/>
      <c r="C657" s="373"/>
      <c r="D657" s="200"/>
      <c r="E657" s="200"/>
      <c r="F657" s="200"/>
      <c r="G657" s="200"/>
      <c r="H657" s="200"/>
      <c r="I657" s="377"/>
      <c r="J657" s="366"/>
      <c r="K657" s="374"/>
      <c r="L657" s="366"/>
      <c r="M657" s="375"/>
      <c r="N657" s="376"/>
      <c r="O657" s="376"/>
      <c r="P657" s="376"/>
      <c r="Q657" s="376"/>
      <c r="R657" s="376"/>
      <c r="S657" s="376"/>
      <c r="T657" s="376"/>
      <c r="U657" s="376"/>
      <c r="V657" s="376"/>
    </row>
    <row r="658" spans="1:22">
      <c r="A658" s="200"/>
      <c r="B658" s="200"/>
      <c r="C658" s="373"/>
      <c r="D658" s="200"/>
      <c r="E658" s="200"/>
      <c r="F658" s="200"/>
      <c r="G658" s="200"/>
      <c r="H658" s="200"/>
      <c r="I658" s="377"/>
      <c r="J658" s="366"/>
      <c r="K658" s="374"/>
      <c r="L658" s="366"/>
      <c r="M658" s="375"/>
      <c r="N658" s="376"/>
      <c r="O658" s="376"/>
      <c r="P658" s="376"/>
      <c r="Q658" s="376"/>
      <c r="R658" s="376"/>
      <c r="S658" s="376"/>
      <c r="T658" s="376"/>
      <c r="U658" s="376"/>
      <c r="V658" s="376"/>
    </row>
    <row r="659" spans="1:22">
      <c r="A659" s="200"/>
      <c r="B659" s="200"/>
      <c r="C659" s="373"/>
      <c r="D659" s="200"/>
      <c r="E659" s="200"/>
      <c r="F659" s="200"/>
      <c r="G659" s="200"/>
      <c r="H659" s="200"/>
      <c r="I659" s="377"/>
      <c r="J659" s="366"/>
      <c r="K659" s="374"/>
      <c r="L659" s="366"/>
      <c r="M659" s="375"/>
      <c r="N659" s="376"/>
      <c r="O659" s="376"/>
      <c r="P659" s="376"/>
      <c r="Q659" s="376"/>
      <c r="R659" s="376"/>
      <c r="S659" s="376"/>
      <c r="T659" s="376"/>
      <c r="U659" s="376"/>
      <c r="V659" s="376"/>
    </row>
    <row r="660" spans="1:22">
      <c r="A660" s="200"/>
      <c r="B660" s="200"/>
      <c r="C660" s="373"/>
      <c r="D660" s="200"/>
      <c r="E660" s="200"/>
      <c r="F660" s="200"/>
      <c r="G660" s="200"/>
      <c r="H660" s="200"/>
      <c r="I660" s="377"/>
      <c r="J660" s="366"/>
      <c r="K660" s="374"/>
      <c r="L660" s="366"/>
      <c r="M660" s="375"/>
      <c r="N660" s="376"/>
      <c r="O660" s="376"/>
      <c r="P660" s="376"/>
      <c r="Q660" s="376"/>
      <c r="R660" s="376"/>
      <c r="S660" s="376"/>
      <c r="T660" s="376"/>
      <c r="U660" s="376"/>
      <c r="V660" s="376"/>
    </row>
    <row r="661" spans="1:22">
      <c r="A661" s="200"/>
      <c r="B661" s="200"/>
      <c r="C661" s="373"/>
      <c r="D661" s="200"/>
      <c r="E661" s="200"/>
      <c r="F661" s="200"/>
      <c r="G661" s="200"/>
      <c r="H661" s="200"/>
      <c r="I661" s="377"/>
      <c r="J661" s="366"/>
      <c r="K661" s="374"/>
      <c r="L661" s="366"/>
      <c r="M661" s="375"/>
      <c r="N661" s="376"/>
      <c r="O661" s="376"/>
      <c r="P661" s="376"/>
      <c r="Q661" s="376"/>
      <c r="R661" s="376"/>
      <c r="S661" s="376"/>
      <c r="T661" s="376"/>
      <c r="U661" s="376"/>
      <c r="V661" s="376"/>
    </row>
    <row r="662" spans="1:22">
      <c r="A662" s="200"/>
      <c r="B662" s="200"/>
      <c r="C662" s="373"/>
      <c r="D662" s="200"/>
      <c r="E662" s="200"/>
      <c r="F662" s="200"/>
      <c r="G662" s="200"/>
      <c r="H662" s="200"/>
      <c r="I662" s="377"/>
      <c r="J662" s="366"/>
      <c r="K662" s="374"/>
      <c r="L662" s="366"/>
      <c r="M662" s="375"/>
      <c r="N662" s="376"/>
      <c r="O662" s="376"/>
      <c r="P662" s="376"/>
      <c r="Q662" s="376"/>
      <c r="R662" s="376"/>
      <c r="S662" s="376"/>
      <c r="T662" s="376"/>
      <c r="U662" s="376"/>
      <c r="V662" s="376"/>
    </row>
    <row r="663" spans="1:22">
      <c r="A663" s="200"/>
      <c r="B663" s="200"/>
      <c r="C663" s="373"/>
      <c r="D663" s="200"/>
      <c r="E663" s="200"/>
      <c r="F663" s="200"/>
      <c r="G663" s="200"/>
      <c r="H663" s="200"/>
      <c r="I663" s="377"/>
      <c r="J663" s="366"/>
      <c r="K663" s="374"/>
      <c r="L663" s="366"/>
      <c r="M663" s="375"/>
      <c r="N663" s="376"/>
      <c r="O663" s="376"/>
      <c r="P663" s="376"/>
      <c r="Q663" s="376"/>
      <c r="R663" s="376"/>
      <c r="S663" s="376"/>
      <c r="T663" s="376"/>
      <c r="U663" s="376"/>
      <c r="V663" s="376"/>
    </row>
    <row r="664" spans="1:22">
      <c r="A664" s="200"/>
      <c r="B664" s="200"/>
      <c r="C664" s="373"/>
      <c r="D664" s="200"/>
      <c r="E664" s="200"/>
      <c r="F664" s="200"/>
      <c r="G664" s="200"/>
      <c r="H664" s="200"/>
      <c r="I664" s="377"/>
      <c r="J664" s="366"/>
      <c r="K664" s="374"/>
      <c r="L664" s="366"/>
      <c r="M664" s="375"/>
      <c r="N664" s="376"/>
      <c r="O664" s="376"/>
      <c r="P664" s="376"/>
      <c r="Q664" s="376"/>
      <c r="R664" s="376"/>
      <c r="S664" s="376"/>
      <c r="T664" s="376"/>
      <c r="U664" s="376"/>
      <c r="V664" s="376"/>
    </row>
    <row r="665" spans="1:22">
      <c r="A665" s="200"/>
      <c r="B665" s="200"/>
      <c r="C665" s="373"/>
      <c r="D665" s="200"/>
      <c r="E665" s="200"/>
      <c r="F665" s="200"/>
      <c r="G665" s="200"/>
      <c r="H665" s="200"/>
      <c r="I665" s="377"/>
      <c r="J665" s="366"/>
      <c r="K665" s="374"/>
      <c r="L665" s="366"/>
      <c r="M665" s="375"/>
      <c r="N665" s="376"/>
      <c r="O665" s="376"/>
      <c r="P665" s="376"/>
      <c r="Q665" s="376"/>
      <c r="R665" s="376"/>
      <c r="S665" s="376"/>
      <c r="T665" s="376"/>
      <c r="U665" s="376"/>
      <c r="V665" s="376"/>
    </row>
    <row r="666" spans="1:22">
      <c r="A666" s="200"/>
      <c r="B666" s="200"/>
      <c r="C666" s="373"/>
      <c r="D666" s="200"/>
      <c r="E666" s="200"/>
      <c r="F666" s="200"/>
      <c r="G666" s="200"/>
      <c r="H666" s="200"/>
      <c r="I666" s="377"/>
      <c r="J666" s="366"/>
      <c r="K666" s="374"/>
      <c r="L666" s="366"/>
      <c r="M666" s="375"/>
      <c r="N666" s="376"/>
      <c r="O666" s="376"/>
      <c r="P666" s="376"/>
      <c r="Q666" s="376"/>
      <c r="R666" s="376"/>
      <c r="S666" s="376"/>
      <c r="T666" s="376"/>
      <c r="U666" s="376"/>
      <c r="V666" s="376"/>
    </row>
    <row r="667" spans="1:22">
      <c r="A667" s="200"/>
      <c r="B667" s="200"/>
      <c r="C667" s="373"/>
      <c r="D667" s="200"/>
      <c r="E667" s="200"/>
      <c r="F667" s="200"/>
      <c r="G667" s="200"/>
      <c r="H667" s="200"/>
      <c r="I667" s="377"/>
      <c r="J667" s="366"/>
      <c r="K667" s="374"/>
      <c r="L667" s="366"/>
      <c r="M667" s="375"/>
      <c r="N667" s="376"/>
      <c r="O667" s="376"/>
      <c r="P667" s="376"/>
      <c r="Q667" s="376"/>
      <c r="R667" s="376"/>
      <c r="S667" s="376"/>
      <c r="T667" s="376"/>
      <c r="U667" s="376"/>
      <c r="V667" s="376"/>
    </row>
    <row r="668" spans="1:22">
      <c r="A668" s="200"/>
      <c r="B668" s="200"/>
      <c r="C668" s="373"/>
      <c r="D668" s="200"/>
      <c r="E668" s="200"/>
      <c r="F668" s="200"/>
      <c r="G668" s="200"/>
      <c r="H668" s="200"/>
      <c r="I668" s="377"/>
      <c r="J668" s="366"/>
      <c r="K668" s="374"/>
      <c r="L668" s="366"/>
      <c r="M668" s="375"/>
      <c r="N668" s="376"/>
      <c r="O668" s="376"/>
      <c r="P668" s="376"/>
      <c r="Q668" s="376"/>
      <c r="R668" s="376"/>
      <c r="S668" s="376"/>
      <c r="T668" s="376"/>
      <c r="U668" s="376"/>
      <c r="V668" s="376"/>
    </row>
    <row r="669" spans="1:22">
      <c r="A669" s="200"/>
      <c r="B669" s="200"/>
      <c r="C669" s="373"/>
      <c r="D669" s="200"/>
      <c r="E669" s="200"/>
      <c r="F669" s="200"/>
      <c r="G669" s="200"/>
      <c r="H669" s="200"/>
      <c r="I669" s="377"/>
      <c r="J669" s="366"/>
      <c r="K669" s="374"/>
      <c r="L669" s="366"/>
      <c r="M669" s="375"/>
      <c r="N669" s="376"/>
      <c r="O669" s="376"/>
      <c r="P669" s="376"/>
      <c r="Q669" s="376"/>
      <c r="R669" s="376"/>
      <c r="S669" s="376"/>
      <c r="T669" s="376"/>
      <c r="U669" s="376"/>
      <c r="V669" s="376"/>
    </row>
    <row r="670" spans="1:22">
      <c r="A670" s="200"/>
      <c r="B670" s="200"/>
      <c r="C670" s="373"/>
      <c r="D670" s="200"/>
      <c r="E670" s="200"/>
      <c r="F670" s="200"/>
      <c r="G670" s="200"/>
      <c r="H670" s="200"/>
      <c r="I670" s="377"/>
      <c r="J670" s="366"/>
      <c r="K670" s="374"/>
      <c r="L670" s="366"/>
      <c r="M670" s="375"/>
      <c r="N670" s="376"/>
      <c r="O670" s="376"/>
      <c r="P670" s="376"/>
      <c r="Q670" s="376"/>
      <c r="R670" s="376"/>
      <c r="S670" s="376"/>
      <c r="T670" s="376"/>
      <c r="U670" s="376"/>
      <c r="V670" s="376"/>
    </row>
    <row r="671" spans="1:22">
      <c r="A671" s="200"/>
      <c r="B671" s="200"/>
      <c r="C671" s="373"/>
      <c r="D671" s="200"/>
      <c r="E671" s="200"/>
      <c r="F671" s="200"/>
      <c r="G671" s="200"/>
      <c r="H671" s="200"/>
      <c r="I671" s="377"/>
      <c r="J671" s="366"/>
      <c r="K671" s="374"/>
      <c r="L671" s="366"/>
      <c r="M671" s="375"/>
      <c r="N671" s="376"/>
      <c r="O671" s="376"/>
      <c r="P671" s="376"/>
      <c r="Q671" s="376"/>
      <c r="R671" s="376"/>
      <c r="S671" s="376"/>
      <c r="T671" s="376"/>
      <c r="U671" s="376"/>
      <c r="V671" s="376"/>
    </row>
    <row r="672" spans="1:22">
      <c r="A672" s="200"/>
      <c r="B672" s="200"/>
      <c r="C672" s="373"/>
      <c r="D672" s="200"/>
      <c r="E672" s="200"/>
      <c r="F672" s="200"/>
      <c r="G672" s="200"/>
      <c r="H672" s="200"/>
      <c r="I672" s="377"/>
      <c r="J672" s="366"/>
      <c r="K672" s="374"/>
      <c r="L672" s="366"/>
      <c r="M672" s="375"/>
      <c r="N672" s="376"/>
      <c r="O672" s="376"/>
      <c r="P672" s="376"/>
      <c r="Q672" s="376"/>
      <c r="R672" s="376"/>
      <c r="S672" s="376"/>
      <c r="T672" s="376"/>
      <c r="U672" s="376"/>
      <c r="V672" s="376"/>
    </row>
    <row r="673" spans="1:22">
      <c r="A673" s="200"/>
      <c r="B673" s="200"/>
      <c r="C673" s="373"/>
      <c r="D673" s="200"/>
      <c r="E673" s="200"/>
      <c r="F673" s="200"/>
      <c r="G673" s="200"/>
      <c r="H673" s="200"/>
      <c r="I673" s="377"/>
      <c r="J673" s="366"/>
      <c r="K673" s="374"/>
      <c r="L673" s="366"/>
      <c r="M673" s="375"/>
      <c r="N673" s="376"/>
      <c r="O673" s="376"/>
      <c r="P673" s="376"/>
      <c r="Q673" s="376"/>
      <c r="R673" s="376"/>
      <c r="S673" s="376"/>
      <c r="T673" s="376"/>
      <c r="U673" s="376"/>
      <c r="V673" s="376"/>
    </row>
    <row r="674" spans="1:22">
      <c r="A674" s="200"/>
      <c r="B674" s="200"/>
      <c r="C674" s="373"/>
      <c r="D674" s="200"/>
      <c r="E674" s="200"/>
      <c r="F674" s="200"/>
      <c r="G674" s="200"/>
      <c r="H674" s="200"/>
      <c r="I674" s="377"/>
      <c r="J674" s="366"/>
      <c r="K674" s="374"/>
      <c r="L674" s="366"/>
      <c r="M674" s="375"/>
      <c r="N674" s="376"/>
      <c r="O674" s="376"/>
      <c r="P674" s="376"/>
      <c r="Q674" s="376"/>
      <c r="R674" s="376"/>
      <c r="S674" s="376"/>
      <c r="T674" s="376"/>
      <c r="U674" s="376"/>
      <c r="V674" s="376"/>
    </row>
    <row r="675" spans="1:22">
      <c r="A675" s="200"/>
      <c r="B675" s="200"/>
      <c r="C675" s="373"/>
      <c r="D675" s="200"/>
      <c r="E675" s="200"/>
      <c r="F675" s="200"/>
      <c r="G675" s="200"/>
      <c r="H675" s="200"/>
      <c r="I675" s="377"/>
      <c r="J675" s="366"/>
      <c r="K675" s="374"/>
      <c r="L675" s="366"/>
      <c r="M675" s="375"/>
      <c r="N675" s="376"/>
      <c r="O675" s="376"/>
      <c r="P675" s="376"/>
      <c r="Q675" s="376"/>
      <c r="R675" s="376"/>
      <c r="S675" s="376"/>
      <c r="T675" s="376"/>
      <c r="U675" s="376"/>
      <c r="V675" s="376"/>
    </row>
    <row r="676" spans="1:22">
      <c r="A676" s="200"/>
      <c r="B676" s="200"/>
      <c r="C676" s="373"/>
      <c r="D676" s="200"/>
      <c r="E676" s="200"/>
      <c r="F676" s="200"/>
      <c r="G676" s="200"/>
      <c r="H676" s="200"/>
      <c r="I676" s="377"/>
      <c r="J676" s="366"/>
      <c r="K676" s="374"/>
      <c r="L676" s="366"/>
      <c r="M676" s="375"/>
      <c r="N676" s="376"/>
      <c r="O676" s="376"/>
      <c r="P676" s="376"/>
      <c r="Q676" s="376"/>
      <c r="R676" s="376"/>
      <c r="S676" s="376"/>
      <c r="T676" s="376"/>
      <c r="U676" s="376"/>
      <c r="V676" s="376"/>
    </row>
    <row r="677" spans="1:22">
      <c r="A677" s="200"/>
      <c r="B677" s="200"/>
      <c r="C677" s="373"/>
      <c r="D677" s="200"/>
      <c r="E677" s="200"/>
      <c r="F677" s="200"/>
      <c r="G677" s="200"/>
      <c r="H677" s="200"/>
      <c r="I677" s="377"/>
      <c r="J677" s="366"/>
      <c r="K677" s="374"/>
      <c r="L677" s="366"/>
      <c r="M677" s="375"/>
      <c r="N677" s="376"/>
      <c r="O677" s="376"/>
      <c r="P677" s="376"/>
      <c r="Q677" s="376"/>
      <c r="R677" s="376"/>
      <c r="S677" s="376"/>
      <c r="T677" s="376"/>
      <c r="U677" s="376"/>
      <c r="V677" s="376"/>
    </row>
    <row r="678" spans="1:22">
      <c r="A678" s="200"/>
      <c r="B678" s="200"/>
      <c r="C678" s="373"/>
      <c r="D678" s="200"/>
      <c r="E678" s="200"/>
      <c r="F678" s="200"/>
      <c r="G678" s="200"/>
      <c r="H678" s="200"/>
      <c r="I678" s="377"/>
      <c r="J678" s="366"/>
      <c r="K678" s="374"/>
      <c r="L678" s="366"/>
      <c r="M678" s="375"/>
      <c r="N678" s="376"/>
      <c r="O678" s="376"/>
      <c r="P678" s="376"/>
      <c r="Q678" s="376"/>
      <c r="R678" s="376"/>
      <c r="S678" s="376"/>
      <c r="T678" s="376"/>
      <c r="U678" s="376"/>
      <c r="V678" s="376"/>
    </row>
    <row r="679" spans="1:22">
      <c r="A679" s="200"/>
      <c r="B679" s="200"/>
      <c r="C679" s="373"/>
      <c r="D679" s="200"/>
      <c r="E679" s="200"/>
      <c r="F679" s="200"/>
      <c r="G679" s="200"/>
      <c r="H679" s="200"/>
      <c r="I679" s="377"/>
      <c r="J679" s="366"/>
      <c r="K679" s="374"/>
      <c r="L679" s="366"/>
      <c r="M679" s="375"/>
      <c r="N679" s="376"/>
      <c r="O679" s="376"/>
      <c r="P679" s="376"/>
      <c r="Q679" s="376"/>
      <c r="R679" s="376"/>
      <c r="S679" s="376"/>
      <c r="T679" s="376"/>
      <c r="U679" s="376"/>
      <c r="V679" s="376"/>
    </row>
    <row r="680" spans="1:22">
      <c r="A680" s="200"/>
      <c r="B680" s="200"/>
      <c r="C680" s="373"/>
      <c r="D680" s="200"/>
      <c r="E680" s="200"/>
      <c r="F680" s="200"/>
      <c r="G680" s="200"/>
      <c r="H680" s="200"/>
      <c r="I680" s="377"/>
      <c r="J680" s="366"/>
      <c r="K680" s="374"/>
      <c r="L680" s="366"/>
      <c r="M680" s="375"/>
      <c r="N680" s="376"/>
      <c r="O680" s="376"/>
      <c r="P680" s="376"/>
      <c r="Q680" s="376"/>
      <c r="R680" s="376"/>
      <c r="S680" s="376"/>
      <c r="T680" s="376"/>
      <c r="U680" s="376"/>
      <c r="V680" s="376"/>
    </row>
    <row r="681" spans="1:22">
      <c r="A681" s="200"/>
      <c r="B681" s="200"/>
      <c r="C681" s="373"/>
      <c r="D681" s="200"/>
      <c r="E681" s="200"/>
      <c r="F681" s="200"/>
      <c r="G681" s="200"/>
      <c r="H681" s="200"/>
      <c r="I681" s="377"/>
      <c r="J681" s="366"/>
      <c r="K681" s="374"/>
      <c r="L681" s="366"/>
      <c r="M681" s="375"/>
      <c r="N681" s="376"/>
      <c r="O681" s="376"/>
      <c r="P681" s="376"/>
      <c r="Q681" s="376"/>
      <c r="R681" s="376"/>
      <c r="S681" s="376"/>
      <c r="T681" s="376"/>
      <c r="U681" s="376"/>
      <c r="V681" s="376"/>
    </row>
    <row r="682" spans="1:22">
      <c r="A682" s="200"/>
      <c r="B682" s="200"/>
      <c r="C682" s="373"/>
      <c r="D682" s="200"/>
      <c r="E682" s="200"/>
      <c r="F682" s="200"/>
      <c r="G682" s="200"/>
      <c r="H682" s="200"/>
      <c r="I682" s="377"/>
      <c r="J682" s="366"/>
      <c r="K682" s="374"/>
      <c r="L682" s="366"/>
      <c r="M682" s="375"/>
      <c r="N682" s="376"/>
      <c r="O682" s="376"/>
      <c r="P682" s="376"/>
      <c r="Q682" s="376"/>
      <c r="R682" s="376"/>
      <c r="S682" s="376"/>
      <c r="T682" s="376"/>
      <c r="U682" s="376"/>
      <c r="V682" s="376"/>
    </row>
    <row r="683" spans="1:22">
      <c r="A683" s="200"/>
      <c r="B683" s="200"/>
      <c r="C683" s="373"/>
      <c r="D683" s="200"/>
      <c r="E683" s="200"/>
      <c r="F683" s="200"/>
      <c r="G683" s="200"/>
      <c r="H683" s="200"/>
      <c r="I683" s="377"/>
      <c r="J683" s="366"/>
      <c r="K683" s="374"/>
      <c r="L683" s="366"/>
      <c r="M683" s="375"/>
      <c r="N683" s="376"/>
      <c r="O683" s="376"/>
      <c r="P683" s="376"/>
      <c r="Q683" s="376"/>
      <c r="R683" s="376"/>
      <c r="S683" s="376"/>
      <c r="T683" s="376"/>
      <c r="U683" s="376"/>
      <c r="V683" s="376"/>
    </row>
    <row r="684" spans="1:22">
      <c r="A684" s="200"/>
      <c r="B684" s="200"/>
      <c r="C684" s="373"/>
      <c r="D684" s="200"/>
      <c r="E684" s="200"/>
      <c r="F684" s="200"/>
      <c r="G684" s="200"/>
      <c r="H684" s="200"/>
      <c r="I684" s="377"/>
      <c r="J684" s="366"/>
      <c r="K684" s="374"/>
      <c r="L684" s="366"/>
      <c r="M684" s="375"/>
      <c r="N684" s="376"/>
      <c r="O684" s="376"/>
      <c r="P684" s="376"/>
      <c r="Q684" s="376"/>
      <c r="R684" s="376"/>
      <c r="S684" s="376"/>
      <c r="T684" s="376"/>
      <c r="U684" s="376"/>
      <c r="V684" s="376"/>
    </row>
    <row r="685" spans="1:22">
      <c r="A685" s="200"/>
      <c r="B685" s="200"/>
      <c r="C685" s="373"/>
      <c r="D685" s="200"/>
      <c r="E685" s="200"/>
      <c r="F685" s="200"/>
      <c r="G685" s="200"/>
      <c r="H685" s="200"/>
      <c r="I685" s="377"/>
      <c r="J685" s="366"/>
      <c r="K685" s="374"/>
      <c r="L685" s="366"/>
      <c r="M685" s="375"/>
      <c r="N685" s="376"/>
      <c r="O685" s="376"/>
      <c r="P685" s="376"/>
      <c r="Q685" s="376"/>
      <c r="R685" s="376"/>
      <c r="S685" s="376"/>
      <c r="T685" s="376"/>
      <c r="U685" s="376"/>
      <c r="V685" s="376"/>
    </row>
    <row r="686" spans="1:22">
      <c r="A686" s="200"/>
      <c r="B686" s="200"/>
      <c r="C686" s="373"/>
      <c r="D686" s="200"/>
      <c r="E686" s="200"/>
      <c r="F686" s="200"/>
      <c r="G686" s="200"/>
      <c r="H686" s="200"/>
      <c r="I686" s="377"/>
      <c r="J686" s="366"/>
      <c r="K686" s="374"/>
      <c r="L686" s="366"/>
      <c r="M686" s="375"/>
      <c r="N686" s="376"/>
      <c r="O686" s="376"/>
      <c r="P686" s="376"/>
      <c r="Q686" s="376"/>
      <c r="R686" s="376"/>
      <c r="S686" s="376"/>
      <c r="T686" s="376"/>
      <c r="U686" s="376"/>
      <c r="V686" s="376"/>
    </row>
    <row r="687" spans="1:22">
      <c r="A687" s="200"/>
      <c r="B687" s="200"/>
      <c r="C687" s="373"/>
      <c r="D687" s="200"/>
      <c r="E687" s="200"/>
      <c r="F687" s="200"/>
      <c r="G687" s="200"/>
      <c r="H687" s="200"/>
      <c r="I687" s="377"/>
      <c r="J687" s="366"/>
      <c r="K687" s="374"/>
      <c r="L687" s="366"/>
      <c r="M687" s="375"/>
      <c r="N687" s="376"/>
      <c r="O687" s="376"/>
      <c r="P687" s="376"/>
      <c r="Q687" s="376"/>
      <c r="R687" s="376"/>
      <c r="S687" s="376"/>
      <c r="T687" s="376"/>
      <c r="U687" s="376"/>
      <c r="V687" s="376"/>
    </row>
    <row r="688" spans="1:22">
      <c r="A688" s="200"/>
      <c r="B688" s="200"/>
      <c r="C688" s="373"/>
      <c r="D688" s="200"/>
      <c r="E688" s="200"/>
      <c r="F688" s="200"/>
      <c r="G688" s="200"/>
      <c r="H688" s="200"/>
      <c r="I688" s="377"/>
      <c r="J688" s="366"/>
      <c r="K688" s="374"/>
      <c r="L688" s="366"/>
      <c r="M688" s="375"/>
      <c r="N688" s="376"/>
      <c r="O688" s="376"/>
      <c r="P688" s="376"/>
      <c r="Q688" s="376"/>
      <c r="R688" s="376"/>
      <c r="S688" s="376"/>
      <c r="T688" s="376"/>
      <c r="U688" s="376"/>
      <c r="V688" s="376"/>
    </row>
    <row r="689" spans="1:22">
      <c r="A689" s="200"/>
      <c r="B689" s="200"/>
      <c r="C689" s="373"/>
      <c r="D689" s="200"/>
      <c r="E689" s="200"/>
      <c r="F689" s="200"/>
      <c r="G689" s="200"/>
      <c r="H689" s="200"/>
      <c r="I689" s="377"/>
      <c r="J689" s="366"/>
      <c r="K689" s="374"/>
      <c r="L689" s="366"/>
      <c r="M689" s="375"/>
      <c r="N689" s="376"/>
      <c r="O689" s="376"/>
      <c r="P689" s="376"/>
      <c r="Q689" s="376"/>
      <c r="R689" s="376"/>
      <c r="S689" s="376"/>
      <c r="T689" s="376"/>
      <c r="U689" s="376"/>
      <c r="V689" s="376"/>
    </row>
    <row r="690" spans="1:22">
      <c r="A690" s="200"/>
      <c r="B690" s="200"/>
      <c r="C690" s="373"/>
      <c r="D690" s="200"/>
      <c r="E690" s="200"/>
      <c r="F690" s="200"/>
      <c r="G690" s="200"/>
      <c r="H690" s="200"/>
      <c r="I690" s="377"/>
      <c r="J690" s="366"/>
      <c r="K690" s="374"/>
      <c r="L690" s="366"/>
      <c r="M690" s="375"/>
      <c r="N690" s="376"/>
      <c r="O690" s="376"/>
      <c r="P690" s="376"/>
      <c r="Q690" s="376"/>
      <c r="R690" s="376"/>
      <c r="S690" s="376"/>
      <c r="T690" s="376"/>
      <c r="U690" s="376"/>
      <c r="V690" s="376"/>
    </row>
    <row r="691" spans="1:22">
      <c r="A691" s="200"/>
      <c r="B691" s="200"/>
      <c r="C691" s="373"/>
      <c r="D691" s="200"/>
      <c r="E691" s="200"/>
      <c r="F691" s="200"/>
      <c r="G691" s="200"/>
      <c r="H691" s="200"/>
      <c r="I691" s="377"/>
      <c r="J691" s="366"/>
      <c r="K691" s="374"/>
      <c r="L691" s="366"/>
      <c r="M691" s="375"/>
      <c r="N691" s="376"/>
      <c r="O691" s="376"/>
      <c r="P691" s="376"/>
      <c r="Q691" s="376"/>
      <c r="R691" s="376"/>
      <c r="S691" s="376"/>
      <c r="T691" s="376"/>
      <c r="U691" s="376"/>
      <c r="V691" s="376"/>
    </row>
    <row r="692" spans="1:22">
      <c r="A692" s="200"/>
      <c r="B692" s="200"/>
      <c r="C692" s="373"/>
      <c r="D692" s="200"/>
      <c r="E692" s="200"/>
      <c r="F692" s="200"/>
      <c r="G692" s="200"/>
      <c r="H692" s="200"/>
      <c r="I692" s="377"/>
      <c r="J692" s="366"/>
      <c r="K692" s="374"/>
      <c r="L692" s="366"/>
      <c r="M692" s="375"/>
      <c r="N692" s="376"/>
      <c r="O692" s="376"/>
      <c r="P692" s="376"/>
      <c r="Q692" s="376"/>
      <c r="R692" s="376"/>
      <c r="S692" s="376"/>
      <c r="T692" s="376"/>
      <c r="U692" s="376"/>
      <c r="V692" s="376"/>
    </row>
    <row r="693" spans="1:22">
      <c r="A693" s="200"/>
      <c r="B693" s="200"/>
      <c r="C693" s="373"/>
      <c r="D693" s="200"/>
      <c r="E693" s="200"/>
      <c r="F693" s="200"/>
      <c r="G693" s="200"/>
      <c r="H693" s="200"/>
      <c r="I693" s="377"/>
      <c r="J693" s="366"/>
      <c r="K693" s="374"/>
      <c r="L693" s="366"/>
      <c r="M693" s="375"/>
      <c r="N693" s="376"/>
      <c r="O693" s="376"/>
      <c r="P693" s="376"/>
      <c r="Q693" s="376"/>
      <c r="R693" s="376"/>
      <c r="S693" s="376"/>
      <c r="T693" s="376"/>
      <c r="U693" s="376"/>
      <c r="V693" s="376"/>
    </row>
    <row r="694" spans="1:22">
      <c r="A694" s="200"/>
      <c r="B694" s="200"/>
      <c r="C694" s="373"/>
      <c r="D694" s="200"/>
      <c r="E694" s="200"/>
      <c r="F694" s="200"/>
      <c r="G694" s="200"/>
      <c r="H694" s="200"/>
      <c r="I694" s="377"/>
      <c r="J694" s="366"/>
      <c r="K694" s="374"/>
      <c r="L694" s="366"/>
      <c r="M694" s="375"/>
      <c r="N694" s="376"/>
      <c r="O694" s="376"/>
      <c r="P694" s="376"/>
      <c r="Q694" s="376"/>
      <c r="R694" s="376"/>
      <c r="S694" s="376"/>
      <c r="T694" s="376"/>
      <c r="U694" s="376"/>
      <c r="V694" s="376"/>
    </row>
    <row r="695" spans="1:22">
      <c r="A695" s="200"/>
      <c r="B695" s="200"/>
      <c r="C695" s="373"/>
      <c r="D695" s="200"/>
      <c r="E695" s="200"/>
      <c r="F695" s="200"/>
      <c r="G695" s="200"/>
      <c r="H695" s="200"/>
      <c r="I695" s="377"/>
      <c r="J695" s="366"/>
      <c r="K695" s="374"/>
      <c r="L695" s="366"/>
      <c r="M695" s="375"/>
      <c r="N695" s="376"/>
      <c r="O695" s="376"/>
      <c r="P695" s="376"/>
      <c r="Q695" s="376"/>
      <c r="R695" s="376"/>
      <c r="S695" s="376"/>
      <c r="T695" s="376"/>
      <c r="U695" s="376"/>
      <c r="V695" s="376"/>
    </row>
    <row r="696" spans="1:22">
      <c r="A696" s="200"/>
      <c r="B696" s="200"/>
      <c r="C696" s="373"/>
      <c r="D696" s="200"/>
      <c r="E696" s="200"/>
      <c r="F696" s="200"/>
      <c r="G696" s="200"/>
      <c r="H696" s="200"/>
      <c r="I696" s="377"/>
      <c r="J696" s="366"/>
      <c r="K696" s="374"/>
      <c r="L696" s="366"/>
      <c r="M696" s="375"/>
      <c r="N696" s="376"/>
      <c r="O696" s="376"/>
      <c r="P696" s="376"/>
      <c r="Q696" s="376"/>
      <c r="R696" s="376"/>
      <c r="S696" s="376"/>
      <c r="T696" s="376"/>
      <c r="U696" s="376"/>
      <c r="V696" s="376"/>
    </row>
    <row r="697" spans="1:22">
      <c r="A697" s="200"/>
      <c r="B697" s="200"/>
      <c r="C697" s="373"/>
      <c r="D697" s="200"/>
      <c r="E697" s="200"/>
      <c r="F697" s="200"/>
      <c r="G697" s="200"/>
      <c r="H697" s="200"/>
      <c r="I697" s="377"/>
      <c r="J697" s="366"/>
      <c r="K697" s="374"/>
      <c r="L697" s="366"/>
      <c r="M697" s="375"/>
      <c r="N697" s="376"/>
      <c r="O697" s="376"/>
      <c r="P697" s="376"/>
      <c r="Q697" s="376"/>
      <c r="R697" s="376"/>
      <c r="S697" s="376"/>
      <c r="T697" s="376"/>
      <c r="U697" s="376"/>
      <c r="V697" s="376"/>
    </row>
    <row r="698" spans="1:22">
      <c r="A698" s="200"/>
      <c r="B698" s="200"/>
      <c r="C698" s="373"/>
      <c r="D698" s="200"/>
      <c r="E698" s="200"/>
      <c r="F698" s="200"/>
      <c r="G698" s="200"/>
      <c r="H698" s="200"/>
      <c r="I698" s="377"/>
      <c r="J698" s="366"/>
      <c r="K698" s="374"/>
      <c r="L698" s="366"/>
      <c r="M698" s="375"/>
      <c r="N698" s="376"/>
      <c r="O698" s="376"/>
      <c r="P698" s="376"/>
      <c r="Q698" s="376"/>
      <c r="R698" s="376"/>
      <c r="S698" s="376"/>
      <c r="T698" s="376"/>
      <c r="U698" s="376"/>
      <c r="V698" s="376"/>
    </row>
    <row r="699" spans="1:22">
      <c r="A699" s="200"/>
      <c r="B699" s="200"/>
      <c r="C699" s="373"/>
      <c r="D699" s="200"/>
      <c r="E699" s="200"/>
      <c r="F699" s="200"/>
      <c r="G699" s="200"/>
      <c r="H699" s="200"/>
      <c r="I699" s="377"/>
      <c r="J699" s="366"/>
      <c r="K699" s="374"/>
      <c r="L699" s="366"/>
      <c r="M699" s="375"/>
      <c r="N699" s="376"/>
      <c r="O699" s="376"/>
      <c r="P699" s="376"/>
      <c r="Q699" s="376"/>
      <c r="R699" s="376"/>
      <c r="S699" s="376"/>
      <c r="T699" s="376"/>
      <c r="U699" s="376"/>
      <c r="V699" s="376"/>
    </row>
    <row r="700" spans="1:22">
      <c r="A700" s="200"/>
      <c r="B700" s="200"/>
      <c r="C700" s="373"/>
      <c r="D700" s="200"/>
      <c r="E700" s="200"/>
      <c r="F700" s="200"/>
      <c r="G700" s="200"/>
      <c r="H700" s="200"/>
      <c r="I700" s="377"/>
      <c r="J700" s="366"/>
      <c r="K700" s="374"/>
      <c r="L700" s="366"/>
      <c r="M700" s="375"/>
      <c r="N700" s="376"/>
      <c r="O700" s="376"/>
      <c r="P700" s="376"/>
      <c r="Q700" s="376"/>
      <c r="R700" s="376"/>
      <c r="S700" s="376"/>
      <c r="T700" s="376"/>
      <c r="U700" s="376"/>
      <c r="V700" s="376"/>
    </row>
    <row r="701" spans="1:22">
      <c r="A701" s="200"/>
      <c r="B701" s="200"/>
      <c r="C701" s="373"/>
      <c r="D701" s="200"/>
      <c r="E701" s="200"/>
      <c r="F701" s="200"/>
      <c r="G701" s="200"/>
      <c r="H701" s="200"/>
      <c r="I701" s="377"/>
      <c r="J701" s="366"/>
      <c r="K701" s="374"/>
      <c r="L701" s="366"/>
      <c r="M701" s="375"/>
      <c r="N701" s="376"/>
      <c r="O701" s="376"/>
      <c r="P701" s="376"/>
      <c r="Q701" s="376"/>
      <c r="R701" s="376"/>
      <c r="S701" s="376"/>
      <c r="T701" s="376"/>
      <c r="U701" s="376"/>
      <c r="V701" s="376"/>
    </row>
    <row r="702" spans="1:22">
      <c r="A702" s="200"/>
      <c r="B702" s="200"/>
      <c r="C702" s="373"/>
      <c r="D702" s="200"/>
      <c r="E702" s="200"/>
      <c r="F702" s="200"/>
      <c r="G702" s="200"/>
      <c r="H702" s="200"/>
      <c r="I702" s="377"/>
      <c r="J702" s="366"/>
      <c r="K702" s="374"/>
      <c r="L702" s="366"/>
      <c r="M702" s="375"/>
      <c r="N702" s="376"/>
      <c r="O702" s="376"/>
      <c r="P702" s="376"/>
      <c r="Q702" s="376"/>
      <c r="R702" s="376"/>
      <c r="S702" s="376"/>
      <c r="T702" s="376"/>
      <c r="U702" s="376"/>
      <c r="V702" s="376"/>
    </row>
    <row r="703" spans="1:22">
      <c r="A703" s="200"/>
      <c r="B703" s="200"/>
      <c r="C703" s="373"/>
      <c r="D703" s="200"/>
      <c r="E703" s="200"/>
      <c r="F703" s="200"/>
      <c r="G703" s="200"/>
      <c r="H703" s="200"/>
      <c r="I703" s="377"/>
      <c r="J703" s="366"/>
      <c r="K703" s="374"/>
      <c r="L703" s="366"/>
      <c r="M703" s="375"/>
      <c r="N703" s="376"/>
      <c r="O703" s="376"/>
      <c r="P703" s="376"/>
      <c r="Q703" s="376"/>
      <c r="R703" s="376"/>
      <c r="S703" s="376"/>
      <c r="T703" s="376"/>
      <c r="U703" s="376"/>
      <c r="V703" s="376"/>
    </row>
    <row r="704" spans="1:22">
      <c r="A704" s="200"/>
      <c r="B704" s="200"/>
      <c r="C704" s="373"/>
      <c r="D704" s="200"/>
      <c r="E704" s="200"/>
      <c r="F704" s="200"/>
      <c r="G704" s="200"/>
      <c r="H704" s="200"/>
      <c r="I704" s="377"/>
      <c r="J704" s="366"/>
      <c r="K704" s="374"/>
      <c r="L704" s="366"/>
      <c r="M704" s="375"/>
      <c r="N704" s="376"/>
      <c r="O704" s="376"/>
      <c r="P704" s="376"/>
      <c r="Q704" s="376"/>
      <c r="R704" s="376"/>
      <c r="S704" s="376"/>
      <c r="T704" s="376"/>
      <c r="U704" s="376"/>
      <c r="V704" s="376"/>
    </row>
    <row r="705" spans="1:22">
      <c r="A705" s="200"/>
      <c r="B705" s="200"/>
      <c r="C705" s="373"/>
      <c r="D705" s="200"/>
      <c r="E705" s="200"/>
      <c r="F705" s="200"/>
      <c r="G705" s="200"/>
      <c r="H705" s="200"/>
      <c r="I705" s="377"/>
      <c r="J705" s="366"/>
      <c r="K705" s="374"/>
      <c r="L705" s="366"/>
      <c r="M705" s="375"/>
      <c r="N705" s="376"/>
      <c r="O705" s="376"/>
      <c r="P705" s="376"/>
      <c r="Q705" s="376"/>
      <c r="R705" s="376"/>
      <c r="S705" s="376"/>
      <c r="T705" s="376"/>
      <c r="U705" s="376"/>
      <c r="V705" s="376"/>
    </row>
    <row r="706" spans="1:22">
      <c r="A706" s="200"/>
      <c r="B706" s="200"/>
      <c r="C706" s="373"/>
      <c r="D706" s="200"/>
      <c r="E706" s="200"/>
      <c r="F706" s="200"/>
      <c r="G706" s="200"/>
      <c r="H706" s="200"/>
      <c r="I706" s="377"/>
      <c r="J706" s="366"/>
      <c r="K706" s="374"/>
      <c r="L706" s="366"/>
      <c r="M706" s="375"/>
      <c r="N706" s="376"/>
      <c r="O706" s="376"/>
      <c r="P706" s="376"/>
      <c r="Q706" s="376"/>
      <c r="R706" s="376"/>
      <c r="S706" s="376"/>
      <c r="T706" s="376"/>
      <c r="U706" s="376"/>
      <c r="V706" s="376"/>
    </row>
    <row r="707" spans="1:22">
      <c r="A707" s="200"/>
      <c r="B707" s="200"/>
      <c r="C707" s="373"/>
      <c r="D707" s="200"/>
      <c r="E707" s="200"/>
      <c r="F707" s="200"/>
      <c r="G707" s="200"/>
      <c r="H707" s="200"/>
      <c r="I707" s="377"/>
      <c r="J707" s="366"/>
      <c r="K707" s="374"/>
      <c r="L707" s="366"/>
      <c r="M707" s="375"/>
      <c r="N707" s="376"/>
      <c r="O707" s="376"/>
      <c r="P707" s="376"/>
      <c r="Q707" s="376"/>
      <c r="R707" s="376"/>
      <c r="S707" s="376"/>
      <c r="T707" s="376"/>
      <c r="U707" s="376"/>
      <c r="V707" s="376"/>
    </row>
    <row r="708" spans="1:22">
      <c r="A708" s="200"/>
      <c r="B708" s="200"/>
      <c r="C708" s="373"/>
      <c r="D708" s="200"/>
      <c r="E708" s="200"/>
      <c r="F708" s="200"/>
      <c r="G708" s="200"/>
      <c r="H708" s="200"/>
      <c r="I708" s="377"/>
      <c r="J708" s="366"/>
      <c r="K708" s="374"/>
      <c r="L708" s="366"/>
      <c r="M708" s="375"/>
      <c r="N708" s="376"/>
      <c r="O708" s="376"/>
      <c r="P708" s="376"/>
      <c r="Q708" s="376"/>
      <c r="R708" s="376"/>
      <c r="S708" s="376"/>
      <c r="T708" s="376"/>
      <c r="U708" s="376"/>
      <c r="V708" s="376"/>
    </row>
    <row r="709" spans="1:22">
      <c r="A709" s="200"/>
      <c r="B709" s="200"/>
      <c r="C709" s="373"/>
      <c r="D709" s="200"/>
      <c r="E709" s="200"/>
      <c r="F709" s="200"/>
      <c r="G709" s="200"/>
      <c r="H709" s="200"/>
      <c r="I709" s="377"/>
      <c r="J709" s="366"/>
      <c r="K709" s="374"/>
      <c r="L709" s="366"/>
      <c r="M709" s="375"/>
      <c r="N709" s="376"/>
      <c r="O709" s="376"/>
      <c r="P709" s="376"/>
      <c r="Q709" s="376"/>
      <c r="R709" s="376"/>
      <c r="S709" s="376"/>
      <c r="T709" s="376"/>
      <c r="U709" s="376"/>
      <c r="V709" s="376"/>
    </row>
    <row r="710" spans="1:22">
      <c r="A710" s="200"/>
      <c r="B710" s="200"/>
      <c r="C710" s="373"/>
      <c r="D710" s="200"/>
      <c r="E710" s="200"/>
      <c r="F710" s="200"/>
      <c r="G710" s="200"/>
      <c r="H710" s="200"/>
      <c r="I710" s="377"/>
      <c r="J710" s="366"/>
      <c r="K710" s="374"/>
      <c r="L710" s="366"/>
      <c r="M710" s="375"/>
      <c r="N710" s="376"/>
      <c r="O710" s="376"/>
      <c r="P710" s="376"/>
      <c r="Q710" s="376"/>
      <c r="R710" s="376"/>
      <c r="S710" s="376"/>
      <c r="T710" s="376"/>
      <c r="U710" s="376"/>
      <c r="V710" s="376"/>
    </row>
    <row r="711" spans="1:22">
      <c r="A711" s="200"/>
      <c r="B711" s="200"/>
      <c r="C711" s="373"/>
      <c r="D711" s="200"/>
      <c r="E711" s="200"/>
      <c r="F711" s="200"/>
      <c r="G711" s="200"/>
      <c r="H711" s="200"/>
      <c r="I711" s="377"/>
      <c r="J711" s="366"/>
      <c r="K711" s="374"/>
      <c r="L711" s="366"/>
      <c r="M711" s="375"/>
      <c r="N711" s="376"/>
      <c r="O711" s="376"/>
      <c r="P711" s="376"/>
      <c r="Q711" s="376"/>
      <c r="R711" s="376"/>
      <c r="S711" s="376"/>
      <c r="T711" s="376"/>
      <c r="U711" s="376"/>
      <c r="V711" s="376"/>
    </row>
    <row r="712" spans="1:22">
      <c r="A712" s="200"/>
      <c r="B712" s="200"/>
      <c r="C712" s="373"/>
      <c r="D712" s="200"/>
      <c r="E712" s="200"/>
      <c r="F712" s="200"/>
      <c r="G712" s="200"/>
      <c r="H712" s="200"/>
      <c r="I712" s="377"/>
      <c r="J712" s="366"/>
      <c r="K712" s="374"/>
      <c r="L712" s="366"/>
      <c r="M712" s="375"/>
      <c r="N712" s="376"/>
      <c r="O712" s="376"/>
      <c r="P712" s="376"/>
      <c r="Q712" s="376"/>
      <c r="R712" s="376"/>
      <c r="S712" s="376"/>
      <c r="T712" s="376"/>
      <c r="U712" s="376"/>
      <c r="V712" s="376"/>
    </row>
    <row r="713" spans="1:22">
      <c r="A713" s="200"/>
      <c r="B713" s="200"/>
      <c r="C713" s="373"/>
      <c r="D713" s="200"/>
      <c r="E713" s="200"/>
      <c r="F713" s="200"/>
      <c r="G713" s="200"/>
      <c r="H713" s="200"/>
      <c r="I713" s="377"/>
      <c r="J713" s="366"/>
      <c r="K713" s="374"/>
      <c r="L713" s="366"/>
      <c r="M713" s="375"/>
      <c r="N713" s="376"/>
      <c r="O713" s="376"/>
      <c r="P713" s="376"/>
      <c r="Q713" s="376"/>
      <c r="R713" s="376"/>
      <c r="S713" s="376"/>
      <c r="T713" s="376"/>
      <c r="U713" s="376"/>
      <c r="V713" s="376"/>
    </row>
    <row r="714" spans="1:22">
      <c r="A714" s="200"/>
      <c r="B714" s="200"/>
      <c r="C714" s="373"/>
      <c r="D714" s="200"/>
      <c r="E714" s="200"/>
      <c r="F714" s="200"/>
      <c r="G714" s="200"/>
      <c r="H714" s="200"/>
      <c r="I714" s="377"/>
      <c r="J714" s="366"/>
      <c r="K714" s="374"/>
      <c r="L714" s="366"/>
      <c r="M714" s="375"/>
      <c r="N714" s="376"/>
      <c r="O714" s="376"/>
      <c r="P714" s="376"/>
      <c r="Q714" s="376"/>
      <c r="R714" s="376"/>
      <c r="S714" s="376"/>
      <c r="T714" s="376"/>
      <c r="U714" s="376"/>
      <c r="V714" s="376"/>
    </row>
    <row r="715" spans="1:22">
      <c r="A715" s="200"/>
      <c r="B715" s="200"/>
      <c r="C715" s="373"/>
      <c r="D715" s="200"/>
      <c r="E715" s="200"/>
      <c r="F715" s="200"/>
      <c r="G715" s="200"/>
      <c r="H715" s="200"/>
      <c r="I715" s="377"/>
      <c r="J715" s="366"/>
      <c r="K715" s="374"/>
      <c r="L715" s="366"/>
      <c r="M715" s="375"/>
      <c r="N715" s="376"/>
      <c r="O715" s="376"/>
      <c r="P715" s="376"/>
      <c r="Q715" s="376"/>
      <c r="R715" s="376"/>
      <c r="S715" s="376"/>
      <c r="T715" s="376"/>
      <c r="U715" s="376"/>
      <c r="V715" s="376"/>
    </row>
    <row r="716" spans="1:22">
      <c r="A716" s="200"/>
      <c r="B716" s="200"/>
      <c r="C716" s="373"/>
      <c r="D716" s="200"/>
      <c r="E716" s="200"/>
      <c r="F716" s="200"/>
      <c r="G716" s="200"/>
      <c r="H716" s="200"/>
      <c r="I716" s="377"/>
      <c r="J716" s="366"/>
      <c r="K716" s="374"/>
      <c r="L716" s="366"/>
      <c r="M716" s="375"/>
      <c r="N716" s="376"/>
      <c r="O716" s="376"/>
      <c r="P716" s="376"/>
      <c r="Q716" s="376"/>
      <c r="R716" s="376"/>
      <c r="S716" s="376"/>
      <c r="T716" s="376"/>
      <c r="U716" s="376"/>
      <c r="V716" s="376"/>
    </row>
    <row r="717" spans="1:22">
      <c r="A717" s="200"/>
      <c r="B717" s="200"/>
      <c r="C717" s="373"/>
      <c r="D717" s="200"/>
      <c r="E717" s="200"/>
      <c r="F717" s="200"/>
      <c r="G717" s="200"/>
      <c r="H717" s="200"/>
      <c r="I717" s="377"/>
      <c r="J717" s="366"/>
      <c r="K717" s="374"/>
      <c r="L717" s="366"/>
      <c r="M717" s="375"/>
      <c r="N717" s="376"/>
      <c r="O717" s="376"/>
      <c r="P717" s="376"/>
      <c r="Q717" s="376"/>
      <c r="R717" s="376"/>
      <c r="S717" s="376"/>
      <c r="T717" s="376"/>
      <c r="U717" s="376"/>
      <c r="V717" s="376"/>
    </row>
    <row r="718" spans="1:22">
      <c r="A718" s="200"/>
      <c r="B718" s="200"/>
      <c r="C718" s="373"/>
      <c r="D718" s="200"/>
      <c r="E718" s="200"/>
      <c r="F718" s="200"/>
      <c r="G718" s="200"/>
      <c r="H718" s="200"/>
      <c r="I718" s="377"/>
      <c r="J718" s="366"/>
      <c r="K718" s="374"/>
      <c r="L718" s="366"/>
      <c r="M718" s="375"/>
      <c r="N718" s="376"/>
      <c r="O718" s="376"/>
      <c r="P718" s="376"/>
      <c r="Q718" s="376"/>
      <c r="R718" s="376"/>
      <c r="S718" s="376"/>
      <c r="T718" s="376"/>
      <c r="U718" s="376"/>
      <c r="V718" s="376"/>
    </row>
    <row r="719" spans="1:22">
      <c r="A719" s="200"/>
      <c r="B719" s="200"/>
      <c r="C719" s="373"/>
      <c r="D719" s="200"/>
      <c r="E719" s="200"/>
      <c r="F719" s="200"/>
      <c r="G719" s="200"/>
      <c r="H719" s="200"/>
      <c r="I719" s="377"/>
      <c r="J719" s="366"/>
      <c r="K719" s="374"/>
      <c r="L719" s="366"/>
      <c r="M719" s="375"/>
      <c r="N719" s="376"/>
      <c r="O719" s="376"/>
      <c r="P719" s="376"/>
      <c r="Q719" s="376"/>
      <c r="R719" s="376"/>
      <c r="S719" s="376"/>
      <c r="T719" s="376"/>
      <c r="U719" s="376"/>
      <c r="V719" s="376"/>
    </row>
    <row r="720" spans="1:22">
      <c r="A720" s="200"/>
      <c r="B720" s="200"/>
      <c r="C720" s="373"/>
      <c r="D720" s="200"/>
      <c r="E720" s="200"/>
      <c r="F720" s="200"/>
      <c r="G720" s="200"/>
      <c r="H720" s="200"/>
      <c r="I720" s="377"/>
      <c r="J720" s="366"/>
      <c r="K720" s="374"/>
      <c r="L720" s="366"/>
      <c r="M720" s="375"/>
      <c r="N720" s="376"/>
      <c r="O720" s="376"/>
      <c r="P720" s="376"/>
      <c r="Q720" s="376"/>
      <c r="R720" s="376"/>
      <c r="S720" s="376"/>
      <c r="T720" s="376"/>
      <c r="U720" s="376"/>
      <c r="V720" s="376"/>
    </row>
    <row r="721" spans="1:22">
      <c r="A721" s="200"/>
      <c r="B721" s="200"/>
      <c r="C721" s="373"/>
      <c r="D721" s="200"/>
      <c r="E721" s="200"/>
      <c r="F721" s="200"/>
      <c r="G721" s="200"/>
      <c r="H721" s="200"/>
      <c r="I721" s="377"/>
      <c r="J721" s="366"/>
      <c r="K721" s="374"/>
      <c r="L721" s="366"/>
      <c r="M721" s="375"/>
      <c r="N721" s="376"/>
      <c r="O721" s="376"/>
      <c r="P721" s="376"/>
      <c r="Q721" s="376"/>
      <c r="R721" s="376"/>
      <c r="S721" s="376"/>
      <c r="T721" s="376"/>
      <c r="U721" s="376"/>
      <c r="V721" s="376"/>
    </row>
    <row r="722" spans="1:22">
      <c r="A722" s="200"/>
      <c r="B722" s="200"/>
      <c r="C722" s="373"/>
      <c r="D722" s="200"/>
      <c r="E722" s="200"/>
      <c r="F722" s="200"/>
      <c r="G722" s="200"/>
      <c r="H722" s="200"/>
      <c r="I722" s="377"/>
      <c r="J722" s="366"/>
      <c r="K722" s="374"/>
      <c r="L722" s="366"/>
      <c r="M722" s="375"/>
      <c r="N722" s="376"/>
      <c r="O722" s="376"/>
      <c r="P722" s="376"/>
      <c r="Q722" s="376"/>
      <c r="R722" s="376"/>
      <c r="S722" s="376"/>
      <c r="T722" s="376"/>
      <c r="U722" s="376"/>
      <c r="V722" s="376"/>
    </row>
    <row r="723" spans="1:22">
      <c r="A723" s="200"/>
      <c r="B723" s="200"/>
      <c r="C723" s="373"/>
      <c r="D723" s="200"/>
      <c r="E723" s="200"/>
      <c r="F723" s="200"/>
      <c r="G723" s="200"/>
      <c r="H723" s="200"/>
      <c r="I723" s="377"/>
      <c r="J723" s="366"/>
      <c r="K723" s="374"/>
      <c r="L723" s="366"/>
      <c r="M723" s="375"/>
      <c r="N723" s="376"/>
      <c r="O723" s="376"/>
      <c r="P723" s="376"/>
      <c r="Q723" s="376"/>
      <c r="R723" s="376"/>
      <c r="S723" s="376"/>
      <c r="T723" s="376"/>
      <c r="U723" s="376"/>
      <c r="V723" s="376"/>
    </row>
    <row r="724" spans="1:22">
      <c r="A724" s="200"/>
      <c r="B724" s="200"/>
      <c r="C724" s="373"/>
      <c r="D724" s="200"/>
      <c r="E724" s="200"/>
      <c r="F724" s="200"/>
      <c r="G724" s="200"/>
      <c r="H724" s="200"/>
      <c r="I724" s="377"/>
      <c r="J724" s="366"/>
      <c r="K724" s="374"/>
      <c r="L724" s="366"/>
      <c r="M724" s="375"/>
      <c r="N724" s="376"/>
      <c r="O724" s="376"/>
      <c r="P724" s="376"/>
      <c r="Q724" s="376"/>
      <c r="R724" s="376"/>
      <c r="S724" s="376"/>
      <c r="T724" s="376"/>
      <c r="U724" s="376"/>
      <c r="V724" s="376"/>
    </row>
    <row r="725" spans="1:22">
      <c r="A725" s="200"/>
      <c r="B725" s="200"/>
      <c r="C725" s="373"/>
      <c r="D725" s="200"/>
      <c r="E725" s="200"/>
      <c r="F725" s="200"/>
      <c r="G725" s="200"/>
      <c r="H725" s="200"/>
      <c r="I725" s="377"/>
      <c r="J725" s="366"/>
      <c r="K725" s="374"/>
      <c r="L725" s="366"/>
      <c r="M725" s="375"/>
      <c r="N725" s="376"/>
      <c r="O725" s="376"/>
      <c r="P725" s="376"/>
      <c r="Q725" s="376"/>
      <c r="R725" s="376"/>
      <c r="S725" s="376"/>
      <c r="T725" s="376"/>
      <c r="U725" s="376"/>
      <c r="V725" s="376"/>
    </row>
    <row r="726" spans="1:22">
      <c r="A726" s="200"/>
      <c r="B726" s="200"/>
      <c r="C726" s="373"/>
      <c r="D726" s="200"/>
      <c r="E726" s="200"/>
      <c r="F726" s="200"/>
      <c r="G726" s="200"/>
      <c r="H726" s="200"/>
      <c r="I726" s="377"/>
      <c r="J726" s="366"/>
      <c r="K726" s="374"/>
      <c r="L726" s="366"/>
      <c r="M726" s="375"/>
      <c r="N726" s="376"/>
      <c r="O726" s="376"/>
      <c r="P726" s="376"/>
      <c r="Q726" s="376"/>
      <c r="R726" s="376"/>
      <c r="S726" s="376"/>
      <c r="T726" s="376"/>
      <c r="U726" s="376"/>
      <c r="V726" s="376"/>
    </row>
    <row r="727" spans="1:22">
      <c r="A727" s="200"/>
      <c r="B727" s="200"/>
      <c r="C727" s="373"/>
      <c r="D727" s="200"/>
      <c r="E727" s="200"/>
      <c r="F727" s="200"/>
      <c r="G727" s="200"/>
      <c r="H727" s="200"/>
      <c r="I727" s="377"/>
      <c r="J727" s="366"/>
      <c r="K727" s="374"/>
      <c r="L727" s="366"/>
      <c r="M727" s="375"/>
      <c r="N727" s="376"/>
      <c r="O727" s="376"/>
      <c r="P727" s="376"/>
      <c r="Q727" s="376"/>
      <c r="R727" s="376"/>
      <c r="S727" s="376"/>
      <c r="T727" s="376"/>
      <c r="U727" s="376"/>
      <c r="V727" s="376"/>
    </row>
    <row r="728" spans="1:22">
      <c r="A728" s="200"/>
      <c r="B728" s="200"/>
      <c r="C728" s="373"/>
      <c r="D728" s="200"/>
      <c r="E728" s="200"/>
      <c r="F728" s="200"/>
      <c r="G728" s="200"/>
      <c r="H728" s="200"/>
      <c r="I728" s="377"/>
      <c r="J728" s="366"/>
      <c r="K728" s="374"/>
      <c r="L728" s="366"/>
      <c r="M728" s="375"/>
      <c r="N728" s="376"/>
      <c r="O728" s="376"/>
      <c r="P728" s="376"/>
      <c r="Q728" s="376"/>
      <c r="R728" s="376"/>
      <c r="S728" s="376"/>
      <c r="T728" s="376"/>
      <c r="U728" s="376"/>
      <c r="V728" s="376"/>
    </row>
    <row r="729" spans="1:22">
      <c r="A729" s="200"/>
      <c r="B729" s="200"/>
      <c r="C729" s="373"/>
      <c r="D729" s="200"/>
      <c r="E729" s="200"/>
      <c r="F729" s="200"/>
      <c r="G729" s="200"/>
      <c r="H729" s="200"/>
      <c r="I729" s="377"/>
      <c r="J729" s="366"/>
      <c r="K729" s="374"/>
      <c r="L729" s="366"/>
      <c r="M729" s="375"/>
      <c r="N729" s="376"/>
      <c r="O729" s="376"/>
      <c r="P729" s="376"/>
      <c r="Q729" s="376"/>
      <c r="R729" s="376"/>
      <c r="S729" s="376"/>
      <c r="T729" s="376"/>
      <c r="U729" s="376"/>
      <c r="V729" s="376"/>
    </row>
    <row r="730" spans="1:22">
      <c r="A730" s="200"/>
      <c r="B730" s="200"/>
      <c r="C730" s="373"/>
      <c r="D730" s="200"/>
      <c r="E730" s="200"/>
      <c r="F730" s="200"/>
      <c r="G730" s="200"/>
      <c r="H730" s="200"/>
      <c r="I730" s="377"/>
      <c r="J730" s="366"/>
      <c r="K730" s="374"/>
      <c r="L730" s="366"/>
      <c r="M730" s="375"/>
      <c r="N730" s="376"/>
      <c r="O730" s="376"/>
      <c r="P730" s="376"/>
      <c r="Q730" s="376"/>
      <c r="R730" s="376"/>
      <c r="S730" s="376"/>
      <c r="T730" s="376"/>
      <c r="U730" s="376"/>
      <c r="V730" s="376"/>
    </row>
    <row r="731" spans="1:22">
      <c r="A731" s="200"/>
      <c r="B731" s="200"/>
      <c r="C731" s="373"/>
      <c r="D731" s="200"/>
      <c r="E731" s="200"/>
      <c r="F731" s="200"/>
      <c r="G731" s="200"/>
      <c r="H731" s="200"/>
      <c r="I731" s="377"/>
      <c r="J731" s="366"/>
      <c r="K731" s="374"/>
      <c r="L731" s="366"/>
      <c r="M731" s="375"/>
      <c r="N731" s="376"/>
      <c r="O731" s="376"/>
      <c r="P731" s="376"/>
      <c r="Q731" s="376"/>
      <c r="R731" s="376"/>
      <c r="S731" s="376"/>
      <c r="T731" s="376"/>
      <c r="U731" s="376"/>
      <c r="V731" s="376"/>
    </row>
    <row r="732" spans="1:22">
      <c r="A732" s="200"/>
      <c r="B732" s="200"/>
      <c r="C732" s="373"/>
      <c r="D732" s="200"/>
      <c r="E732" s="200"/>
      <c r="F732" s="200"/>
      <c r="G732" s="200"/>
      <c r="H732" s="200"/>
      <c r="I732" s="377"/>
      <c r="J732" s="366"/>
      <c r="K732" s="374"/>
      <c r="L732" s="366"/>
      <c r="M732" s="375"/>
      <c r="N732" s="376"/>
      <c r="O732" s="376"/>
      <c r="P732" s="376"/>
      <c r="Q732" s="376"/>
      <c r="R732" s="376"/>
      <c r="S732" s="376"/>
      <c r="T732" s="376"/>
      <c r="U732" s="376"/>
      <c r="V732" s="376"/>
    </row>
    <row r="733" spans="1:22">
      <c r="A733" s="200"/>
      <c r="B733" s="200"/>
      <c r="C733" s="373"/>
      <c r="D733" s="200"/>
      <c r="E733" s="200"/>
      <c r="F733" s="200"/>
      <c r="G733" s="200"/>
      <c r="H733" s="200"/>
      <c r="I733" s="377"/>
      <c r="J733" s="366"/>
      <c r="K733" s="374"/>
      <c r="L733" s="366"/>
      <c r="M733" s="375"/>
      <c r="N733" s="376"/>
      <c r="O733" s="376"/>
      <c r="P733" s="376"/>
      <c r="Q733" s="376"/>
      <c r="R733" s="376"/>
      <c r="S733" s="376"/>
      <c r="T733" s="376"/>
      <c r="U733" s="376"/>
      <c r="V733" s="376"/>
    </row>
    <row r="734" spans="1:22">
      <c r="A734" s="200"/>
      <c r="B734" s="200"/>
      <c r="C734" s="373"/>
      <c r="D734" s="200"/>
      <c r="E734" s="200"/>
      <c r="F734" s="200"/>
      <c r="G734" s="200"/>
      <c r="H734" s="200"/>
      <c r="I734" s="377"/>
      <c r="J734" s="366"/>
      <c r="K734" s="374"/>
      <c r="L734" s="366"/>
      <c r="M734" s="375"/>
      <c r="N734" s="376"/>
      <c r="O734" s="376"/>
      <c r="P734" s="376"/>
      <c r="Q734" s="376"/>
      <c r="R734" s="376"/>
      <c r="S734" s="376"/>
      <c r="T734" s="376"/>
      <c r="U734" s="376"/>
      <c r="V734" s="376"/>
    </row>
    <row r="735" spans="1:22">
      <c r="A735" s="200"/>
      <c r="B735" s="200"/>
      <c r="C735" s="373"/>
      <c r="D735" s="200"/>
      <c r="E735" s="200"/>
      <c r="F735" s="200"/>
      <c r="G735" s="200"/>
      <c r="H735" s="200"/>
      <c r="I735" s="377"/>
      <c r="J735" s="366"/>
      <c r="K735" s="374"/>
      <c r="L735" s="366"/>
      <c r="M735" s="375"/>
      <c r="N735" s="376"/>
      <c r="O735" s="376"/>
      <c r="P735" s="376"/>
      <c r="Q735" s="376"/>
      <c r="R735" s="376"/>
      <c r="S735" s="376"/>
      <c r="T735" s="376"/>
      <c r="U735" s="376"/>
      <c r="V735" s="376"/>
    </row>
    <row r="736" spans="1:22">
      <c r="A736" s="200"/>
      <c r="B736" s="200"/>
      <c r="C736" s="373"/>
      <c r="D736" s="200"/>
      <c r="E736" s="200"/>
      <c r="F736" s="200"/>
      <c r="G736" s="200"/>
      <c r="H736" s="200"/>
      <c r="I736" s="377"/>
      <c r="J736" s="366"/>
      <c r="K736" s="374"/>
      <c r="L736" s="366"/>
      <c r="M736" s="375"/>
      <c r="N736" s="376"/>
      <c r="O736" s="376"/>
      <c r="P736" s="376"/>
      <c r="Q736" s="376"/>
      <c r="R736" s="376"/>
      <c r="S736" s="376"/>
      <c r="T736" s="376"/>
      <c r="U736" s="376"/>
      <c r="V736" s="376"/>
    </row>
    <row r="737" spans="1:22">
      <c r="A737" s="200"/>
      <c r="B737" s="200"/>
      <c r="C737" s="373"/>
      <c r="D737" s="200"/>
      <c r="E737" s="200"/>
      <c r="F737" s="200"/>
      <c r="G737" s="200"/>
      <c r="H737" s="200"/>
      <c r="I737" s="377"/>
      <c r="J737" s="366"/>
      <c r="K737" s="374"/>
      <c r="L737" s="366"/>
      <c r="M737" s="375"/>
      <c r="N737" s="376"/>
      <c r="O737" s="376"/>
      <c r="P737" s="376"/>
      <c r="Q737" s="376"/>
      <c r="R737" s="376"/>
      <c r="S737" s="376"/>
      <c r="T737" s="376"/>
      <c r="U737" s="376"/>
      <c r="V737" s="376"/>
    </row>
    <row r="738" spans="1:22">
      <c r="A738" s="200"/>
      <c r="B738" s="200"/>
      <c r="C738" s="373"/>
      <c r="D738" s="200"/>
      <c r="E738" s="200"/>
      <c r="F738" s="200"/>
      <c r="G738" s="200"/>
      <c r="H738" s="200"/>
      <c r="I738" s="377"/>
      <c r="J738" s="366"/>
      <c r="K738" s="374"/>
      <c r="L738" s="366"/>
      <c r="M738" s="375"/>
      <c r="N738" s="376"/>
      <c r="O738" s="376"/>
      <c r="P738" s="376"/>
      <c r="Q738" s="376"/>
      <c r="R738" s="376"/>
      <c r="S738" s="376"/>
      <c r="T738" s="376"/>
      <c r="U738" s="376"/>
      <c r="V738" s="376"/>
    </row>
    <row r="739" spans="1:22">
      <c r="A739" s="200"/>
      <c r="B739" s="200"/>
      <c r="C739" s="373"/>
      <c r="D739" s="200"/>
      <c r="E739" s="200"/>
      <c r="F739" s="200"/>
      <c r="G739" s="200"/>
      <c r="H739" s="200"/>
      <c r="I739" s="377"/>
      <c r="J739" s="366"/>
      <c r="K739" s="374"/>
      <c r="L739" s="366"/>
      <c r="M739" s="375"/>
      <c r="N739" s="376"/>
      <c r="O739" s="376"/>
      <c r="P739" s="376"/>
      <c r="Q739" s="376"/>
      <c r="R739" s="376"/>
      <c r="S739" s="376"/>
      <c r="T739" s="376"/>
      <c r="U739" s="376"/>
      <c r="V739" s="376"/>
    </row>
    <row r="740" spans="1:22">
      <c r="A740" s="200"/>
      <c r="B740" s="200"/>
      <c r="C740" s="373"/>
      <c r="D740" s="200"/>
      <c r="E740" s="200"/>
      <c r="F740" s="200"/>
      <c r="G740" s="200"/>
      <c r="H740" s="200"/>
      <c r="I740" s="377"/>
      <c r="J740" s="366"/>
      <c r="K740" s="374"/>
      <c r="L740" s="366"/>
      <c r="M740" s="375"/>
      <c r="N740" s="376"/>
      <c r="O740" s="376"/>
      <c r="P740" s="376"/>
      <c r="Q740" s="376"/>
      <c r="R740" s="376"/>
      <c r="S740" s="376"/>
      <c r="T740" s="376"/>
      <c r="U740" s="376"/>
      <c r="V740" s="376"/>
    </row>
    <row r="741" spans="1:22">
      <c r="A741" s="200"/>
      <c r="B741" s="200"/>
      <c r="C741" s="373"/>
      <c r="D741" s="200"/>
      <c r="E741" s="200"/>
      <c r="F741" s="200"/>
      <c r="G741" s="200"/>
      <c r="H741" s="200"/>
      <c r="I741" s="377"/>
      <c r="J741" s="366"/>
      <c r="K741" s="374"/>
      <c r="L741" s="366"/>
      <c r="M741" s="375"/>
      <c r="N741" s="376"/>
      <c r="O741" s="376"/>
      <c r="P741" s="376"/>
      <c r="Q741" s="376"/>
      <c r="R741" s="376"/>
      <c r="S741" s="376"/>
      <c r="T741" s="376"/>
      <c r="U741" s="376"/>
      <c r="V741" s="376"/>
    </row>
    <row r="742" spans="1:22">
      <c r="A742" s="200"/>
      <c r="B742" s="200"/>
      <c r="C742" s="373"/>
      <c r="D742" s="200"/>
      <c r="E742" s="200"/>
      <c r="F742" s="200"/>
      <c r="G742" s="200"/>
      <c r="H742" s="200"/>
      <c r="I742" s="377"/>
      <c r="J742" s="366"/>
      <c r="K742" s="374"/>
      <c r="L742" s="366"/>
      <c r="M742" s="375"/>
      <c r="N742" s="376"/>
      <c r="O742" s="376"/>
      <c r="P742" s="376"/>
      <c r="Q742" s="376"/>
      <c r="R742" s="376"/>
      <c r="S742" s="376"/>
      <c r="T742" s="376"/>
      <c r="U742" s="376"/>
      <c r="V742" s="376"/>
    </row>
    <row r="743" spans="1:22">
      <c r="A743" s="200"/>
      <c r="B743" s="200"/>
      <c r="C743" s="373"/>
      <c r="D743" s="200"/>
      <c r="E743" s="200"/>
      <c r="F743" s="200"/>
      <c r="G743" s="200"/>
      <c r="H743" s="200"/>
      <c r="I743" s="377"/>
      <c r="J743" s="366"/>
      <c r="K743" s="374"/>
      <c r="L743" s="366"/>
      <c r="M743" s="375"/>
      <c r="N743" s="376"/>
      <c r="O743" s="376"/>
      <c r="P743" s="376"/>
      <c r="Q743" s="376"/>
      <c r="R743" s="376"/>
      <c r="S743" s="376"/>
      <c r="T743" s="376"/>
      <c r="U743" s="376"/>
      <c r="V743" s="376"/>
    </row>
    <row r="744" spans="1:22">
      <c r="A744" s="200"/>
      <c r="B744" s="200"/>
      <c r="C744" s="373"/>
      <c r="D744" s="200"/>
      <c r="E744" s="200"/>
      <c r="F744" s="200"/>
      <c r="G744" s="200"/>
      <c r="H744" s="200"/>
      <c r="I744" s="377"/>
      <c r="J744" s="366"/>
      <c r="K744" s="374"/>
      <c r="L744" s="366"/>
      <c r="M744" s="375"/>
      <c r="N744" s="376"/>
      <c r="O744" s="376"/>
      <c r="P744" s="376"/>
      <c r="Q744" s="376"/>
      <c r="R744" s="376"/>
      <c r="S744" s="376"/>
      <c r="T744" s="376"/>
      <c r="U744" s="376"/>
      <c r="V744" s="376"/>
    </row>
    <row r="745" spans="1:22">
      <c r="A745" s="200"/>
      <c r="B745" s="200"/>
      <c r="C745" s="373"/>
      <c r="D745" s="200"/>
      <c r="E745" s="200"/>
      <c r="F745" s="200"/>
      <c r="G745" s="200"/>
      <c r="H745" s="200"/>
      <c r="I745" s="377"/>
      <c r="J745" s="366"/>
      <c r="K745" s="374"/>
      <c r="L745" s="366"/>
      <c r="M745" s="375"/>
      <c r="N745" s="376"/>
      <c r="O745" s="376"/>
      <c r="P745" s="376"/>
      <c r="Q745" s="376"/>
      <c r="R745" s="376"/>
      <c r="S745" s="376"/>
      <c r="T745" s="376"/>
      <c r="U745" s="376"/>
      <c r="V745" s="376"/>
    </row>
    <row r="746" spans="1:22">
      <c r="A746" s="200"/>
      <c r="B746" s="200"/>
      <c r="C746" s="373"/>
      <c r="D746" s="200"/>
      <c r="E746" s="200"/>
      <c r="F746" s="200"/>
      <c r="G746" s="200"/>
      <c r="H746" s="200"/>
      <c r="I746" s="377"/>
      <c r="J746" s="366"/>
      <c r="K746" s="374"/>
      <c r="L746" s="366"/>
      <c r="M746" s="375"/>
      <c r="N746" s="376"/>
      <c r="O746" s="376"/>
      <c r="P746" s="376"/>
      <c r="Q746" s="376"/>
      <c r="R746" s="376"/>
      <c r="S746" s="376"/>
      <c r="T746" s="376"/>
      <c r="U746" s="376"/>
      <c r="V746" s="376"/>
    </row>
    <row r="747" spans="1:22">
      <c r="A747" s="200"/>
      <c r="B747" s="200"/>
      <c r="C747" s="373"/>
      <c r="D747" s="200"/>
      <c r="E747" s="200"/>
      <c r="F747" s="200"/>
      <c r="G747" s="200"/>
      <c r="H747" s="200"/>
      <c r="I747" s="377"/>
      <c r="J747" s="366"/>
      <c r="K747" s="374"/>
      <c r="L747" s="366"/>
      <c r="M747" s="375"/>
      <c r="N747" s="376"/>
      <c r="O747" s="376"/>
      <c r="P747" s="376"/>
      <c r="Q747" s="376"/>
      <c r="R747" s="376"/>
      <c r="S747" s="376"/>
      <c r="T747" s="376"/>
      <c r="U747" s="376"/>
      <c r="V747" s="376"/>
    </row>
    <row r="748" spans="1:22">
      <c r="A748" s="200"/>
      <c r="B748" s="200"/>
      <c r="C748" s="373"/>
      <c r="D748" s="200"/>
      <c r="E748" s="200"/>
      <c r="F748" s="200"/>
      <c r="G748" s="200"/>
      <c r="H748" s="200"/>
      <c r="I748" s="377"/>
      <c r="J748" s="366"/>
      <c r="K748" s="374"/>
      <c r="L748" s="366"/>
      <c r="M748" s="375"/>
      <c r="N748" s="376"/>
      <c r="O748" s="376"/>
      <c r="P748" s="376"/>
      <c r="Q748" s="376"/>
      <c r="R748" s="376"/>
      <c r="S748" s="376"/>
      <c r="T748" s="376"/>
      <c r="U748" s="376"/>
      <c r="V748" s="376"/>
    </row>
    <row r="749" spans="1:22">
      <c r="A749" s="200"/>
      <c r="B749" s="200"/>
      <c r="C749" s="373"/>
      <c r="D749" s="200"/>
      <c r="E749" s="200"/>
      <c r="F749" s="200"/>
      <c r="G749" s="200"/>
      <c r="H749" s="200"/>
      <c r="I749" s="377"/>
      <c r="J749" s="366"/>
      <c r="K749" s="374"/>
      <c r="L749" s="366"/>
      <c r="M749" s="375"/>
      <c r="N749" s="376"/>
      <c r="O749" s="376"/>
      <c r="P749" s="376"/>
      <c r="Q749" s="376"/>
      <c r="R749" s="376"/>
      <c r="S749" s="376"/>
      <c r="T749" s="376"/>
      <c r="U749" s="376"/>
      <c r="V749" s="376"/>
    </row>
    <row r="750" spans="1:22">
      <c r="A750" s="200"/>
      <c r="B750" s="200"/>
      <c r="C750" s="373"/>
      <c r="D750" s="200"/>
      <c r="E750" s="200"/>
      <c r="F750" s="200"/>
      <c r="G750" s="200"/>
      <c r="H750" s="200"/>
      <c r="I750" s="377"/>
      <c r="J750" s="366"/>
      <c r="K750" s="374"/>
      <c r="L750" s="366"/>
      <c r="M750" s="375"/>
      <c r="N750" s="376"/>
      <c r="O750" s="376"/>
      <c r="P750" s="376"/>
      <c r="Q750" s="376"/>
      <c r="R750" s="376"/>
      <c r="S750" s="376"/>
      <c r="T750" s="376"/>
      <c r="U750" s="376"/>
      <c r="V750" s="376"/>
    </row>
    <row r="751" spans="1:22">
      <c r="A751" s="200"/>
      <c r="B751" s="200"/>
      <c r="C751" s="373"/>
      <c r="D751" s="200"/>
      <c r="E751" s="200"/>
      <c r="F751" s="200"/>
      <c r="G751" s="200"/>
      <c r="H751" s="200"/>
      <c r="I751" s="377"/>
      <c r="J751" s="366"/>
      <c r="K751" s="374"/>
      <c r="L751" s="366"/>
      <c r="M751" s="375"/>
      <c r="N751" s="376"/>
      <c r="O751" s="376"/>
      <c r="P751" s="376"/>
      <c r="Q751" s="376"/>
      <c r="R751" s="376"/>
      <c r="S751" s="376"/>
      <c r="T751" s="376"/>
      <c r="U751" s="376"/>
      <c r="V751" s="376"/>
    </row>
    <row r="752" spans="1:22">
      <c r="A752" s="200"/>
      <c r="B752" s="200"/>
      <c r="C752" s="373"/>
      <c r="D752" s="200"/>
      <c r="E752" s="200"/>
      <c r="F752" s="200"/>
      <c r="G752" s="200"/>
      <c r="H752" s="200"/>
      <c r="I752" s="377"/>
      <c r="J752" s="366"/>
      <c r="K752" s="374"/>
      <c r="L752" s="366"/>
      <c r="M752" s="375"/>
      <c r="N752" s="376"/>
      <c r="O752" s="376"/>
      <c r="P752" s="376"/>
      <c r="Q752" s="376"/>
      <c r="R752" s="376"/>
      <c r="S752" s="376"/>
      <c r="T752" s="376"/>
      <c r="U752" s="376"/>
      <c r="V752" s="376"/>
    </row>
    <row r="753" spans="1:22">
      <c r="A753" s="200"/>
      <c r="B753" s="200"/>
      <c r="C753" s="373"/>
      <c r="D753" s="200"/>
      <c r="E753" s="200"/>
      <c r="F753" s="200"/>
      <c r="G753" s="200"/>
      <c r="H753" s="200"/>
      <c r="I753" s="377"/>
      <c r="J753" s="366"/>
      <c r="K753" s="374"/>
      <c r="L753" s="366"/>
      <c r="M753" s="375"/>
      <c r="N753" s="376"/>
      <c r="O753" s="376"/>
      <c r="P753" s="376"/>
      <c r="Q753" s="376"/>
      <c r="R753" s="376"/>
      <c r="S753" s="376"/>
      <c r="T753" s="376"/>
      <c r="U753" s="376"/>
      <c r="V753" s="376"/>
    </row>
    <row r="754" spans="1:22">
      <c r="A754" s="200"/>
      <c r="B754" s="200"/>
      <c r="C754" s="373"/>
      <c r="D754" s="200"/>
      <c r="E754" s="200"/>
      <c r="F754" s="200"/>
      <c r="G754" s="200"/>
      <c r="H754" s="200"/>
      <c r="I754" s="377"/>
      <c r="J754" s="366"/>
      <c r="K754" s="374"/>
      <c r="L754" s="366"/>
      <c r="M754" s="375"/>
      <c r="N754" s="376"/>
      <c r="O754" s="376"/>
      <c r="P754" s="376"/>
      <c r="Q754" s="376"/>
      <c r="R754" s="376"/>
      <c r="S754" s="376"/>
      <c r="T754" s="376"/>
      <c r="U754" s="376"/>
      <c r="V754" s="376"/>
    </row>
    <row r="755" spans="1:22">
      <c r="A755" s="200"/>
      <c r="B755" s="200"/>
      <c r="C755" s="373"/>
      <c r="D755" s="200"/>
      <c r="E755" s="200"/>
      <c r="F755" s="200"/>
      <c r="G755" s="200"/>
      <c r="H755" s="200"/>
      <c r="I755" s="377"/>
      <c r="J755" s="366"/>
      <c r="K755" s="374"/>
      <c r="L755" s="366"/>
      <c r="M755" s="375"/>
      <c r="N755" s="376"/>
      <c r="O755" s="376"/>
      <c r="P755" s="376"/>
      <c r="Q755" s="376"/>
      <c r="R755" s="376"/>
      <c r="S755" s="376"/>
      <c r="T755" s="376"/>
      <c r="U755" s="376"/>
      <c r="V755" s="376"/>
    </row>
    <row r="756" spans="1:22">
      <c r="A756" s="200"/>
      <c r="B756" s="200"/>
      <c r="C756" s="373"/>
      <c r="D756" s="200"/>
      <c r="E756" s="200"/>
      <c r="F756" s="200"/>
      <c r="G756" s="200"/>
      <c r="H756" s="200"/>
      <c r="I756" s="377"/>
      <c r="J756" s="366"/>
      <c r="K756" s="374"/>
      <c r="L756" s="366"/>
      <c r="M756" s="375"/>
      <c r="N756" s="376"/>
      <c r="O756" s="376"/>
      <c r="P756" s="376"/>
      <c r="Q756" s="376"/>
      <c r="R756" s="376"/>
      <c r="S756" s="376"/>
      <c r="T756" s="376"/>
      <c r="U756" s="376"/>
      <c r="V756" s="376"/>
    </row>
    <row r="757" spans="1:22">
      <c r="A757" s="200"/>
      <c r="B757" s="200"/>
      <c r="C757" s="373"/>
      <c r="D757" s="200"/>
      <c r="E757" s="200"/>
      <c r="F757" s="200"/>
      <c r="G757" s="200"/>
      <c r="H757" s="200"/>
      <c r="I757" s="377"/>
      <c r="J757" s="366"/>
      <c r="K757" s="374"/>
      <c r="L757" s="366"/>
      <c r="M757" s="375"/>
      <c r="N757" s="376"/>
      <c r="O757" s="376"/>
      <c r="P757" s="376"/>
      <c r="Q757" s="376"/>
      <c r="R757" s="376"/>
      <c r="S757" s="376"/>
      <c r="T757" s="376"/>
      <c r="U757" s="376"/>
      <c r="V757" s="376"/>
    </row>
    <row r="758" spans="1:22">
      <c r="A758" s="200"/>
      <c r="B758" s="200"/>
      <c r="C758" s="373"/>
      <c r="D758" s="200"/>
      <c r="E758" s="200"/>
      <c r="F758" s="200"/>
      <c r="G758" s="200"/>
      <c r="H758" s="200"/>
      <c r="I758" s="377"/>
      <c r="J758" s="366"/>
      <c r="K758" s="374"/>
      <c r="L758" s="366"/>
      <c r="M758" s="375"/>
      <c r="N758" s="376"/>
      <c r="O758" s="376"/>
      <c r="P758" s="376"/>
      <c r="Q758" s="376"/>
      <c r="R758" s="376"/>
      <c r="S758" s="376"/>
      <c r="T758" s="376"/>
      <c r="U758" s="376"/>
      <c r="V758" s="376"/>
    </row>
    <row r="759" spans="1:22">
      <c r="A759" s="200"/>
      <c r="B759" s="200"/>
      <c r="C759" s="373"/>
      <c r="D759" s="200"/>
      <c r="E759" s="200"/>
      <c r="F759" s="200"/>
      <c r="G759" s="200"/>
      <c r="H759" s="200"/>
      <c r="I759" s="377"/>
      <c r="J759" s="366"/>
      <c r="K759" s="374"/>
      <c r="L759" s="366"/>
      <c r="M759" s="375"/>
      <c r="N759" s="376"/>
      <c r="O759" s="376"/>
      <c r="P759" s="376"/>
      <c r="Q759" s="376"/>
      <c r="R759" s="376"/>
      <c r="S759" s="376"/>
      <c r="T759" s="376"/>
      <c r="U759" s="376"/>
      <c r="V759" s="376"/>
    </row>
    <row r="760" spans="1:22">
      <c r="A760" s="200"/>
      <c r="B760" s="200"/>
      <c r="C760" s="373"/>
      <c r="D760" s="200"/>
      <c r="E760" s="200"/>
      <c r="F760" s="200"/>
      <c r="G760" s="200"/>
      <c r="H760" s="200"/>
      <c r="I760" s="377"/>
      <c r="J760" s="366"/>
      <c r="K760" s="374"/>
      <c r="L760" s="366"/>
      <c r="M760" s="375"/>
      <c r="N760" s="376"/>
      <c r="O760" s="376"/>
      <c r="P760" s="376"/>
      <c r="Q760" s="376"/>
      <c r="R760" s="376"/>
      <c r="S760" s="376"/>
      <c r="T760" s="376"/>
      <c r="U760" s="376"/>
      <c r="V760" s="376"/>
    </row>
    <row r="761" spans="1:22">
      <c r="A761" s="200"/>
      <c r="B761" s="200"/>
      <c r="C761" s="373"/>
      <c r="D761" s="200"/>
      <c r="E761" s="200"/>
      <c r="F761" s="200"/>
      <c r="G761" s="200"/>
      <c r="H761" s="200"/>
      <c r="I761" s="377"/>
      <c r="J761" s="366"/>
      <c r="K761" s="374"/>
      <c r="L761" s="366"/>
      <c r="M761" s="375"/>
      <c r="N761" s="376"/>
      <c r="O761" s="376"/>
      <c r="P761" s="376"/>
      <c r="Q761" s="376"/>
      <c r="R761" s="376"/>
      <c r="S761" s="376"/>
      <c r="T761" s="376"/>
      <c r="U761" s="376"/>
      <c r="V761" s="376"/>
    </row>
    <row r="762" spans="1:22">
      <c r="A762" s="200"/>
      <c r="B762" s="200"/>
      <c r="C762" s="373"/>
      <c r="D762" s="200"/>
      <c r="E762" s="200"/>
      <c r="F762" s="200"/>
      <c r="G762" s="200"/>
      <c r="H762" s="200"/>
      <c r="I762" s="377"/>
      <c r="J762" s="366"/>
      <c r="K762" s="374"/>
      <c r="L762" s="366"/>
      <c r="M762" s="375"/>
      <c r="N762" s="376"/>
      <c r="O762" s="376"/>
      <c r="P762" s="376"/>
      <c r="Q762" s="376"/>
      <c r="R762" s="376"/>
      <c r="S762" s="376"/>
      <c r="T762" s="376"/>
      <c r="U762" s="376"/>
      <c r="V762" s="376"/>
    </row>
    <row r="763" spans="1:22">
      <c r="A763" s="200"/>
      <c r="B763" s="200"/>
      <c r="C763" s="373"/>
      <c r="D763" s="200"/>
      <c r="E763" s="200"/>
      <c r="F763" s="200"/>
      <c r="G763" s="200"/>
      <c r="H763" s="200"/>
      <c r="I763" s="377"/>
      <c r="J763" s="366"/>
      <c r="K763" s="374"/>
      <c r="L763" s="366"/>
      <c r="M763" s="375"/>
      <c r="N763" s="376"/>
      <c r="O763" s="376"/>
      <c r="P763" s="376"/>
      <c r="Q763" s="376"/>
      <c r="R763" s="376"/>
      <c r="S763" s="376"/>
      <c r="T763" s="376"/>
      <c r="U763" s="376"/>
      <c r="V763" s="376"/>
    </row>
    <row r="764" spans="1:22">
      <c r="A764" s="200"/>
      <c r="B764" s="200"/>
      <c r="C764" s="373"/>
      <c r="D764" s="200"/>
      <c r="E764" s="200"/>
      <c r="F764" s="200"/>
      <c r="G764" s="200"/>
      <c r="H764" s="200"/>
      <c r="I764" s="377"/>
      <c r="J764" s="366"/>
      <c r="K764" s="374"/>
      <c r="L764" s="366"/>
      <c r="M764" s="375"/>
      <c r="N764" s="376"/>
      <c r="O764" s="376"/>
      <c r="P764" s="376"/>
      <c r="Q764" s="376"/>
      <c r="R764" s="376"/>
      <c r="S764" s="376"/>
      <c r="T764" s="376"/>
      <c r="U764" s="376"/>
      <c r="V764" s="376"/>
    </row>
    <row r="765" spans="1:22">
      <c r="A765" s="200"/>
      <c r="B765" s="200"/>
      <c r="C765" s="373"/>
      <c r="D765" s="200"/>
      <c r="E765" s="200"/>
      <c r="F765" s="200"/>
      <c r="G765" s="200"/>
      <c r="H765" s="200"/>
      <c r="I765" s="377"/>
      <c r="J765" s="366"/>
      <c r="K765" s="374"/>
      <c r="L765" s="366"/>
      <c r="M765" s="375"/>
      <c r="N765" s="376"/>
      <c r="O765" s="376"/>
      <c r="P765" s="376"/>
      <c r="Q765" s="376"/>
      <c r="R765" s="376"/>
      <c r="S765" s="376"/>
      <c r="T765" s="376"/>
      <c r="U765" s="376"/>
      <c r="V765" s="376"/>
    </row>
    <row r="766" spans="1:22">
      <c r="A766" s="200"/>
      <c r="B766" s="200"/>
      <c r="C766" s="373"/>
      <c r="D766" s="200"/>
      <c r="E766" s="200"/>
      <c r="F766" s="200"/>
      <c r="G766" s="200"/>
      <c r="H766" s="200"/>
      <c r="I766" s="377"/>
      <c r="J766" s="366"/>
      <c r="K766" s="374"/>
      <c r="L766" s="366"/>
      <c r="M766" s="375"/>
      <c r="N766" s="376"/>
      <c r="O766" s="376"/>
      <c r="P766" s="376"/>
      <c r="Q766" s="376"/>
      <c r="R766" s="376"/>
      <c r="S766" s="376"/>
      <c r="T766" s="376"/>
      <c r="U766" s="376"/>
      <c r="V766" s="376"/>
    </row>
    <row r="767" spans="1:22">
      <c r="A767" s="200"/>
      <c r="B767" s="200"/>
      <c r="C767" s="373"/>
      <c r="D767" s="200"/>
      <c r="E767" s="200"/>
      <c r="F767" s="200"/>
      <c r="G767" s="200"/>
      <c r="H767" s="200"/>
      <c r="I767" s="377"/>
      <c r="J767" s="366"/>
      <c r="K767" s="374"/>
      <c r="L767" s="366"/>
      <c r="M767" s="375"/>
      <c r="N767" s="376"/>
      <c r="O767" s="376"/>
      <c r="P767" s="376"/>
      <c r="Q767" s="376"/>
      <c r="R767" s="376"/>
      <c r="S767" s="376"/>
      <c r="T767" s="376"/>
      <c r="U767" s="376"/>
      <c r="V767" s="376"/>
    </row>
    <row r="768" spans="1:22">
      <c r="A768" s="200"/>
      <c r="B768" s="200"/>
      <c r="C768" s="373"/>
      <c r="D768" s="200"/>
      <c r="E768" s="200"/>
      <c r="F768" s="200"/>
      <c r="G768" s="200"/>
      <c r="H768" s="200"/>
      <c r="I768" s="377"/>
      <c r="J768" s="366"/>
      <c r="K768" s="374"/>
      <c r="L768" s="366"/>
      <c r="M768" s="375"/>
      <c r="N768" s="376"/>
      <c r="O768" s="376"/>
      <c r="P768" s="376"/>
      <c r="Q768" s="376"/>
      <c r="R768" s="376"/>
      <c r="S768" s="376"/>
      <c r="T768" s="376"/>
      <c r="U768" s="376"/>
      <c r="V768" s="376"/>
    </row>
    <row r="769" spans="1:22">
      <c r="A769" s="200"/>
      <c r="B769" s="200"/>
      <c r="C769" s="373"/>
      <c r="D769" s="200"/>
      <c r="E769" s="200"/>
      <c r="F769" s="200"/>
      <c r="G769" s="200"/>
      <c r="H769" s="200"/>
      <c r="I769" s="377"/>
      <c r="J769" s="366"/>
      <c r="K769" s="374"/>
      <c r="L769" s="366"/>
      <c r="M769" s="375"/>
      <c r="N769" s="376"/>
      <c r="O769" s="376"/>
      <c r="P769" s="376"/>
      <c r="Q769" s="376"/>
      <c r="R769" s="376"/>
      <c r="S769" s="376"/>
      <c r="T769" s="376"/>
      <c r="U769" s="376"/>
      <c r="V769" s="376"/>
    </row>
    <row r="770" spans="1:22">
      <c r="A770" s="200"/>
      <c r="B770" s="200"/>
      <c r="C770" s="373"/>
      <c r="D770" s="200"/>
      <c r="E770" s="200"/>
      <c r="F770" s="200"/>
      <c r="G770" s="200"/>
      <c r="H770" s="200"/>
      <c r="I770" s="377"/>
      <c r="J770" s="366"/>
      <c r="K770" s="374"/>
      <c r="L770" s="366"/>
      <c r="M770" s="375"/>
      <c r="N770" s="376"/>
      <c r="O770" s="376"/>
      <c r="P770" s="376"/>
      <c r="Q770" s="376"/>
      <c r="R770" s="376"/>
      <c r="S770" s="376"/>
      <c r="T770" s="376"/>
      <c r="U770" s="376"/>
      <c r="V770" s="376"/>
    </row>
    <row r="771" spans="1:22">
      <c r="A771" s="200"/>
      <c r="B771" s="200"/>
      <c r="C771" s="373"/>
      <c r="D771" s="200"/>
      <c r="E771" s="200"/>
      <c r="F771" s="200"/>
      <c r="G771" s="200"/>
      <c r="H771" s="200"/>
      <c r="I771" s="377"/>
      <c r="J771" s="366"/>
      <c r="K771" s="374"/>
      <c r="L771" s="366"/>
      <c r="M771" s="375"/>
      <c r="N771" s="376"/>
      <c r="O771" s="376"/>
      <c r="P771" s="376"/>
      <c r="Q771" s="376"/>
      <c r="R771" s="376"/>
      <c r="S771" s="376"/>
      <c r="T771" s="376"/>
      <c r="U771" s="376"/>
      <c r="V771" s="376"/>
    </row>
    <row r="772" spans="1:22">
      <c r="A772" s="200"/>
      <c r="B772" s="200"/>
      <c r="C772" s="373"/>
      <c r="D772" s="200"/>
      <c r="E772" s="200"/>
      <c r="F772" s="200"/>
      <c r="G772" s="200"/>
      <c r="H772" s="200"/>
      <c r="I772" s="377"/>
      <c r="J772" s="366"/>
      <c r="K772" s="374"/>
      <c r="L772" s="366"/>
      <c r="M772" s="375"/>
      <c r="N772" s="376"/>
      <c r="O772" s="376"/>
      <c r="P772" s="376"/>
      <c r="Q772" s="376"/>
      <c r="R772" s="376"/>
      <c r="S772" s="376"/>
      <c r="T772" s="376"/>
      <c r="U772" s="376"/>
      <c r="V772" s="376"/>
    </row>
    <row r="773" spans="1:22">
      <c r="A773" s="200"/>
      <c r="B773" s="200"/>
      <c r="C773" s="373"/>
      <c r="D773" s="200"/>
      <c r="E773" s="200"/>
      <c r="F773" s="200"/>
      <c r="G773" s="200"/>
      <c r="H773" s="200"/>
      <c r="I773" s="377"/>
      <c r="J773" s="366"/>
      <c r="K773" s="374"/>
      <c r="L773" s="366"/>
      <c r="M773" s="375"/>
      <c r="N773" s="376"/>
      <c r="O773" s="376"/>
      <c r="P773" s="376"/>
      <c r="Q773" s="376"/>
      <c r="R773" s="376"/>
      <c r="S773" s="376"/>
      <c r="T773" s="376"/>
      <c r="U773" s="376"/>
      <c r="V773" s="376"/>
    </row>
    <row r="774" spans="1:22">
      <c r="A774" s="200"/>
      <c r="B774" s="200"/>
      <c r="C774" s="373"/>
      <c r="D774" s="200"/>
      <c r="E774" s="200"/>
      <c r="F774" s="200"/>
      <c r="G774" s="200"/>
      <c r="H774" s="200"/>
      <c r="I774" s="377"/>
      <c r="J774" s="366"/>
      <c r="K774" s="374"/>
      <c r="L774" s="366"/>
      <c r="M774" s="375"/>
      <c r="N774" s="376"/>
      <c r="O774" s="376"/>
      <c r="P774" s="376"/>
      <c r="Q774" s="376"/>
      <c r="R774" s="376"/>
      <c r="S774" s="376"/>
      <c r="T774" s="376"/>
      <c r="U774" s="376"/>
      <c r="V774" s="376"/>
    </row>
    <row r="775" spans="1:22">
      <c r="A775" s="200"/>
      <c r="B775" s="200"/>
      <c r="C775" s="373"/>
      <c r="D775" s="200"/>
      <c r="E775" s="200"/>
      <c r="F775" s="200"/>
      <c r="G775" s="200"/>
      <c r="H775" s="200"/>
      <c r="I775" s="377"/>
      <c r="J775" s="366"/>
      <c r="K775" s="374"/>
      <c r="L775" s="366"/>
      <c r="M775" s="375"/>
      <c r="N775" s="376"/>
      <c r="O775" s="376"/>
      <c r="P775" s="376"/>
      <c r="Q775" s="376"/>
      <c r="R775" s="376"/>
      <c r="S775" s="376"/>
      <c r="T775" s="376"/>
      <c r="U775" s="376"/>
      <c r="V775" s="376"/>
    </row>
    <row r="776" spans="1:22">
      <c r="A776" s="200"/>
      <c r="B776" s="200"/>
      <c r="C776" s="373"/>
      <c r="D776" s="200"/>
      <c r="E776" s="200"/>
      <c r="F776" s="200"/>
      <c r="G776" s="200"/>
      <c r="H776" s="200"/>
      <c r="I776" s="377"/>
      <c r="J776" s="366"/>
      <c r="K776" s="374"/>
      <c r="L776" s="366"/>
      <c r="M776" s="375"/>
      <c r="N776" s="376"/>
      <c r="O776" s="376"/>
      <c r="P776" s="376"/>
      <c r="Q776" s="376"/>
      <c r="R776" s="376"/>
      <c r="S776" s="376"/>
      <c r="T776" s="376"/>
      <c r="U776" s="376"/>
      <c r="V776" s="376"/>
    </row>
    <row r="777" spans="1:22">
      <c r="A777" s="200"/>
      <c r="B777" s="200"/>
      <c r="C777" s="373"/>
      <c r="D777" s="200"/>
      <c r="E777" s="200"/>
      <c r="F777" s="200"/>
      <c r="G777" s="200"/>
      <c r="H777" s="200"/>
      <c r="I777" s="377"/>
      <c r="J777" s="366"/>
      <c r="K777" s="374"/>
      <c r="L777" s="366"/>
      <c r="M777" s="375"/>
      <c r="N777" s="376"/>
      <c r="O777" s="376"/>
      <c r="P777" s="376"/>
      <c r="Q777" s="376"/>
      <c r="R777" s="376"/>
      <c r="S777" s="376"/>
      <c r="T777" s="376"/>
      <c r="U777" s="376"/>
      <c r="V777" s="376"/>
    </row>
    <row r="778" spans="1:22">
      <c r="A778" s="200"/>
      <c r="B778" s="200"/>
      <c r="C778" s="373"/>
      <c r="D778" s="200"/>
      <c r="E778" s="200"/>
      <c r="F778" s="200"/>
      <c r="G778" s="200"/>
      <c r="H778" s="200"/>
      <c r="I778" s="377"/>
      <c r="J778" s="366"/>
      <c r="K778" s="374"/>
      <c r="L778" s="366"/>
      <c r="M778" s="375"/>
      <c r="N778" s="376"/>
      <c r="O778" s="376"/>
      <c r="P778" s="376"/>
      <c r="Q778" s="376"/>
      <c r="R778" s="376"/>
      <c r="S778" s="376"/>
      <c r="T778" s="376"/>
      <c r="U778" s="376"/>
      <c r="V778" s="376"/>
    </row>
    <row r="779" spans="1:22">
      <c r="A779" s="200"/>
      <c r="B779" s="200"/>
      <c r="C779" s="373"/>
      <c r="D779" s="200"/>
      <c r="E779" s="200"/>
      <c r="F779" s="200"/>
      <c r="G779" s="200"/>
      <c r="H779" s="200"/>
      <c r="I779" s="377"/>
      <c r="J779" s="366"/>
      <c r="K779" s="374"/>
      <c r="L779" s="366"/>
      <c r="M779" s="375"/>
      <c r="N779" s="376"/>
      <c r="O779" s="376"/>
      <c r="P779" s="376"/>
      <c r="Q779" s="376"/>
      <c r="R779" s="376"/>
      <c r="S779" s="376"/>
      <c r="T779" s="376"/>
      <c r="U779" s="376"/>
      <c r="V779" s="376"/>
    </row>
    <row r="780" spans="1:22">
      <c r="A780" s="200"/>
      <c r="B780" s="200"/>
      <c r="C780" s="373"/>
      <c r="D780" s="200"/>
      <c r="E780" s="200"/>
      <c r="F780" s="200"/>
      <c r="G780" s="200"/>
      <c r="H780" s="200"/>
      <c r="I780" s="377"/>
      <c r="J780" s="366"/>
      <c r="K780" s="374"/>
      <c r="L780" s="366"/>
      <c r="M780" s="375"/>
      <c r="N780" s="376"/>
      <c r="O780" s="376"/>
      <c r="P780" s="376"/>
      <c r="Q780" s="376"/>
      <c r="R780" s="376"/>
      <c r="S780" s="376"/>
      <c r="T780" s="376"/>
      <c r="U780" s="376"/>
      <c r="V780" s="376"/>
    </row>
    <row r="781" spans="1:22">
      <c r="A781" s="200"/>
      <c r="B781" s="200"/>
      <c r="C781" s="373"/>
      <c r="D781" s="200"/>
      <c r="E781" s="200"/>
      <c r="F781" s="200"/>
      <c r="G781" s="200"/>
      <c r="H781" s="200"/>
      <c r="I781" s="377"/>
      <c r="J781" s="366"/>
      <c r="K781" s="374"/>
      <c r="L781" s="366"/>
      <c r="M781" s="375"/>
      <c r="N781" s="376"/>
      <c r="O781" s="376"/>
      <c r="P781" s="376"/>
      <c r="Q781" s="376"/>
      <c r="R781" s="376"/>
      <c r="S781" s="376"/>
      <c r="T781" s="376"/>
      <c r="U781" s="376"/>
      <c r="V781" s="376"/>
    </row>
    <row r="782" spans="1:22">
      <c r="A782" s="200"/>
      <c r="B782" s="200"/>
      <c r="C782" s="373"/>
      <c r="D782" s="200"/>
      <c r="E782" s="200"/>
      <c r="F782" s="200"/>
      <c r="G782" s="200"/>
      <c r="H782" s="200"/>
      <c r="I782" s="377"/>
      <c r="J782" s="366"/>
      <c r="K782" s="374"/>
      <c r="L782" s="366"/>
      <c r="M782" s="375"/>
      <c r="N782" s="376"/>
      <c r="O782" s="376"/>
      <c r="P782" s="376"/>
      <c r="Q782" s="376"/>
      <c r="R782" s="376"/>
      <c r="S782" s="376"/>
      <c r="T782" s="376"/>
      <c r="U782" s="376"/>
      <c r="V782" s="376"/>
    </row>
    <row r="783" spans="1:22">
      <c r="A783" s="200"/>
      <c r="B783" s="200"/>
      <c r="C783" s="373"/>
      <c r="D783" s="200"/>
      <c r="E783" s="200"/>
      <c r="F783" s="200"/>
      <c r="G783" s="200"/>
      <c r="H783" s="200"/>
      <c r="I783" s="377"/>
      <c r="J783" s="366"/>
      <c r="K783" s="374"/>
      <c r="L783" s="366"/>
      <c r="M783" s="375"/>
      <c r="N783" s="376"/>
      <c r="O783" s="376"/>
      <c r="P783" s="376"/>
      <c r="Q783" s="376"/>
      <c r="R783" s="376"/>
      <c r="S783" s="376"/>
      <c r="T783" s="376"/>
      <c r="U783" s="376"/>
      <c r="V783" s="376"/>
    </row>
    <row r="784" spans="1:22">
      <c r="A784" s="200"/>
      <c r="B784" s="200"/>
      <c r="C784" s="373"/>
      <c r="D784" s="200"/>
      <c r="E784" s="200"/>
      <c r="F784" s="200"/>
      <c r="G784" s="200"/>
      <c r="H784" s="200"/>
      <c r="I784" s="377"/>
      <c r="J784" s="366"/>
      <c r="K784" s="374"/>
      <c r="L784" s="366"/>
      <c r="M784" s="375"/>
      <c r="N784" s="376"/>
      <c r="O784" s="376"/>
      <c r="P784" s="376"/>
      <c r="Q784" s="376"/>
      <c r="R784" s="376"/>
      <c r="S784" s="376"/>
      <c r="T784" s="376"/>
      <c r="U784" s="376"/>
      <c r="V784" s="376"/>
    </row>
    <row r="785" spans="1:22">
      <c r="A785" s="200"/>
      <c r="B785" s="200"/>
      <c r="C785" s="373"/>
      <c r="D785" s="200"/>
      <c r="E785" s="200"/>
      <c r="F785" s="200"/>
      <c r="G785" s="200"/>
      <c r="H785" s="200"/>
      <c r="I785" s="377"/>
      <c r="J785" s="366"/>
      <c r="K785" s="374"/>
      <c r="L785" s="366"/>
      <c r="M785" s="375"/>
      <c r="N785" s="376"/>
      <c r="O785" s="376"/>
      <c r="P785" s="376"/>
      <c r="Q785" s="376"/>
      <c r="R785" s="376"/>
      <c r="S785" s="376"/>
      <c r="T785" s="376"/>
      <c r="U785" s="376"/>
      <c r="V785" s="376"/>
    </row>
    <row r="786" spans="1:22">
      <c r="A786" s="200"/>
      <c r="B786" s="200"/>
      <c r="C786" s="373"/>
      <c r="D786" s="200"/>
      <c r="E786" s="200"/>
      <c r="F786" s="200"/>
      <c r="G786" s="200"/>
      <c r="H786" s="200"/>
      <c r="I786" s="377"/>
      <c r="J786" s="366"/>
      <c r="K786" s="374"/>
      <c r="L786" s="366"/>
      <c r="M786" s="375"/>
      <c r="N786" s="376"/>
      <c r="O786" s="376"/>
      <c r="P786" s="376"/>
      <c r="Q786" s="376"/>
      <c r="R786" s="376"/>
      <c r="S786" s="376"/>
      <c r="T786" s="376"/>
      <c r="U786" s="376"/>
      <c r="V786" s="376"/>
    </row>
    <row r="787" spans="1:22">
      <c r="A787" s="200"/>
      <c r="B787" s="200"/>
      <c r="C787" s="373"/>
      <c r="D787" s="200"/>
      <c r="E787" s="200"/>
      <c r="F787" s="200"/>
      <c r="G787" s="200"/>
      <c r="H787" s="200"/>
      <c r="I787" s="377"/>
      <c r="J787" s="366"/>
      <c r="K787" s="374"/>
      <c r="L787" s="366"/>
      <c r="M787" s="375"/>
      <c r="N787" s="376"/>
      <c r="O787" s="376"/>
      <c r="P787" s="376"/>
      <c r="Q787" s="376"/>
      <c r="R787" s="376"/>
      <c r="S787" s="376"/>
      <c r="T787" s="376"/>
      <c r="U787" s="376"/>
      <c r="V787" s="376"/>
    </row>
    <row r="788" spans="1:22">
      <c r="A788" s="200"/>
      <c r="B788" s="200"/>
      <c r="C788" s="373"/>
      <c r="D788" s="200"/>
      <c r="E788" s="200"/>
      <c r="F788" s="200"/>
      <c r="G788" s="200"/>
      <c r="H788" s="200"/>
      <c r="I788" s="377"/>
      <c r="J788" s="366"/>
      <c r="K788" s="374"/>
      <c r="L788" s="366"/>
      <c r="M788" s="375"/>
      <c r="N788" s="376"/>
      <c r="O788" s="376"/>
      <c r="P788" s="376"/>
      <c r="Q788" s="376"/>
      <c r="R788" s="376"/>
      <c r="S788" s="376"/>
      <c r="T788" s="376"/>
      <c r="U788" s="376"/>
      <c r="V788" s="376"/>
    </row>
    <row r="789" spans="1:22">
      <c r="A789" s="200"/>
      <c r="B789" s="200"/>
      <c r="C789" s="373"/>
      <c r="D789" s="200"/>
      <c r="E789" s="200"/>
      <c r="F789" s="200"/>
      <c r="G789" s="200"/>
      <c r="H789" s="200"/>
      <c r="I789" s="377"/>
      <c r="J789" s="366"/>
      <c r="K789" s="374"/>
      <c r="L789" s="366"/>
      <c r="M789" s="375"/>
      <c r="N789" s="376"/>
      <c r="O789" s="376"/>
      <c r="P789" s="376"/>
      <c r="Q789" s="376"/>
      <c r="R789" s="376"/>
      <c r="S789" s="376"/>
      <c r="T789" s="376"/>
      <c r="U789" s="376"/>
      <c r="V789" s="376"/>
    </row>
    <row r="790" spans="1:22">
      <c r="A790" s="200"/>
      <c r="B790" s="200"/>
      <c r="C790" s="373"/>
      <c r="D790" s="200"/>
      <c r="E790" s="200"/>
      <c r="F790" s="200"/>
      <c r="G790" s="200"/>
      <c r="H790" s="200"/>
      <c r="I790" s="377"/>
      <c r="J790" s="366"/>
      <c r="K790" s="374"/>
      <c r="L790" s="366"/>
      <c r="M790" s="375"/>
      <c r="N790" s="376"/>
      <c r="O790" s="376"/>
      <c r="P790" s="376"/>
      <c r="Q790" s="376"/>
      <c r="R790" s="376"/>
      <c r="S790" s="376"/>
      <c r="T790" s="376"/>
      <c r="U790" s="376"/>
      <c r="V790" s="376"/>
    </row>
    <row r="791" spans="1:22">
      <c r="A791" s="200"/>
      <c r="B791" s="200"/>
      <c r="C791" s="373"/>
      <c r="D791" s="200"/>
      <c r="E791" s="200"/>
      <c r="F791" s="200"/>
      <c r="G791" s="200"/>
      <c r="H791" s="200"/>
      <c r="I791" s="377"/>
      <c r="J791" s="366"/>
      <c r="K791" s="374"/>
      <c r="L791" s="366"/>
      <c r="M791" s="375"/>
      <c r="N791" s="376"/>
      <c r="O791" s="376"/>
      <c r="P791" s="376"/>
      <c r="Q791" s="376"/>
      <c r="R791" s="376"/>
      <c r="S791" s="376"/>
      <c r="T791" s="376"/>
      <c r="U791" s="376"/>
      <c r="V791" s="376"/>
    </row>
    <row r="792" spans="1:22">
      <c r="A792" s="200"/>
      <c r="B792" s="200"/>
      <c r="C792" s="373"/>
      <c r="D792" s="200"/>
      <c r="E792" s="200"/>
      <c r="F792" s="200"/>
      <c r="G792" s="200"/>
      <c r="H792" s="200"/>
      <c r="I792" s="377"/>
      <c r="J792" s="366"/>
      <c r="K792" s="374"/>
      <c r="L792" s="366"/>
      <c r="M792" s="375"/>
      <c r="N792" s="376"/>
      <c r="O792" s="376"/>
      <c r="P792" s="376"/>
      <c r="Q792" s="376"/>
      <c r="R792" s="376"/>
      <c r="S792" s="376"/>
      <c r="T792" s="376"/>
      <c r="U792" s="376"/>
      <c r="V792" s="376"/>
    </row>
    <row r="793" spans="1:22">
      <c r="A793" s="200"/>
      <c r="B793" s="200"/>
      <c r="C793" s="373"/>
      <c r="D793" s="200"/>
      <c r="E793" s="200"/>
      <c r="F793" s="200"/>
      <c r="G793" s="200"/>
      <c r="H793" s="200"/>
      <c r="I793" s="377"/>
      <c r="J793" s="366"/>
      <c r="K793" s="374"/>
      <c r="L793" s="366"/>
      <c r="M793" s="375"/>
      <c r="N793" s="376"/>
      <c r="O793" s="376"/>
      <c r="P793" s="376"/>
      <c r="Q793" s="376"/>
      <c r="R793" s="376"/>
      <c r="S793" s="376"/>
      <c r="T793" s="376"/>
      <c r="U793" s="376"/>
      <c r="V793" s="376"/>
    </row>
    <row r="794" spans="1:22">
      <c r="A794" s="200"/>
      <c r="B794" s="200"/>
      <c r="C794" s="373"/>
      <c r="D794" s="200"/>
      <c r="E794" s="200"/>
      <c r="F794" s="200"/>
      <c r="G794" s="200"/>
      <c r="H794" s="200"/>
      <c r="I794" s="377"/>
      <c r="J794" s="366"/>
      <c r="K794" s="374"/>
      <c r="L794" s="366"/>
      <c r="M794" s="375"/>
      <c r="N794" s="376"/>
      <c r="O794" s="376"/>
      <c r="P794" s="376"/>
      <c r="Q794" s="376"/>
      <c r="R794" s="376"/>
      <c r="S794" s="376"/>
      <c r="T794" s="376"/>
      <c r="U794" s="376"/>
      <c r="V794" s="376"/>
    </row>
    <row r="795" spans="1:22">
      <c r="A795" s="200"/>
      <c r="B795" s="200"/>
      <c r="C795" s="373"/>
      <c r="D795" s="200"/>
      <c r="E795" s="200"/>
      <c r="F795" s="200"/>
      <c r="G795" s="200"/>
      <c r="H795" s="200"/>
      <c r="I795" s="377"/>
      <c r="J795" s="366"/>
      <c r="K795" s="374"/>
      <c r="L795" s="366"/>
      <c r="M795" s="375"/>
      <c r="N795" s="376"/>
      <c r="O795" s="376"/>
      <c r="P795" s="376"/>
      <c r="Q795" s="376"/>
      <c r="R795" s="376"/>
      <c r="S795" s="376"/>
      <c r="T795" s="376"/>
      <c r="U795" s="376"/>
      <c r="V795" s="376"/>
    </row>
    <row r="796" spans="1:22">
      <c r="A796" s="200"/>
      <c r="B796" s="200"/>
      <c r="C796" s="373"/>
      <c r="D796" s="200"/>
      <c r="E796" s="200"/>
      <c r="F796" s="200"/>
      <c r="G796" s="200"/>
      <c r="H796" s="200"/>
      <c r="I796" s="377"/>
      <c r="J796" s="366"/>
      <c r="K796" s="374"/>
      <c r="L796" s="366"/>
      <c r="M796" s="375"/>
      <c r="N796" s="376"/>
      <c r="O796" s="376"/>
      <c r="P796" s="376"/>
      <c r="Q796" s="376"/>
      <c r="R796" s="376"/>
      <c r="S796" s="376"/>
      <c r="T796" s="376"/>
      <c r="U796" s="376"/>
      <c r="V796" s="376"/>
    </row>
    <row r="797" spans="1:22">
      <c r="A797" s="200"/>
      <c r="B797" s="200"/>
      <c r="C797" s="373"/>
      <c r="D797" s="200"/>
      <c r="E797" s="200"/>
      <c r="F797" s="200"/>
      <c r="G797" s="200"/>
      <c r="H797" s="200"/>
      <c r="I797" s="377"/>
      <c r="J797" s="366"/>
      <c r="K797" s="374"/>
      <c r="L797" s="366"/>
      <c r="M797" s="375"/>
      <c r="N797" s="376"/>
      <c r="O797" s="376"/>
      <c r="P797" s="376"/>
      <c r="Q797" s="376"/>
      <c r="R797" s="376"/>
      <c r="S797" s="376"/>
      <c r="T797" s="376"/>
      <c r="U797" s="376"/>
      <c r="V797" s="376"/>
    </row>
    <row r="798" spans="1:22">
      <c r="A798" s="200"/>
      <c r="B798" s="200"/>
      <c r="C798" s="373"/>
      <c r="D798" s="200"/>
      <c r="E798" s="200"/>
      <c r="F798" s="200"/>
      <c r="G798" s="200"/>
      <c r="H798" s="200"/>
      <c r="I798" s="377"/>
      <c r="J798" s="366"/>
      <c r="K798" s="374"/>
      <c r="L798" s="366"/>
      <c r="M798" s="375"/>
      <c r="N798" s="376"/>
      <c r="O798" s="376"/>
      <c r="P798" s="376"/>
      <c r="Q798" s="376"/>
      <c r="R798" s="376"/>
      <c r="S798" s="376"/>
      <c r="T798" s="376"/>
      <c r="U798" s="376"/>
      <c r="V798" s="376"/>
    </row>
    <row r="799" spans="1:22">
      <c r="A799" s="200"/>
      <c r="B799" s="200"/>
      <c r="C799" s="373"/>
      <c r="D799" s="200"/>
      <c r="E799" s="200"/>
      <c r="F799" s="200"/>
      <c r="G799" s="200"/>
      <c r="H799" s="200"/>
      <c r="I799" s="377"/>
      <c r="J799" s="366"/>
      <c r="K799" s="374"/>
      <c r="L799" s="366"/>
      <c r="M799" s="375"/>
      <c r="N799" s="376"/>
      <c r="O799" s="376"/>
      <c r="P799" s="376"/>
      <c r="Q799" s="376"/>
      <c r="R799" s="376"/>
      <c r="S799" s="376"/>
      <c r="T799" s="376"/>
      <c r="U799" s="376"/>
      <c r="V799" s="376"/>
    </row>
    <row r="800" spans="1:22">
      <c r="A800" s="200"/>
      <c r="B800" s="200"/>
      <c r="C800" s="373"/>
      <c r="D800" s="200"/>
      <c r="E800" s="200"/>
      <c r="F800" s="200"/>
      <c r="G800" s="200"/>
      <c r="H800" s="200"/>
      <c r="I800" s="377"/>
      <c r="J800" s="366"/>
      <c r="K800" s="374"/>
      <c r="L800" s="366"/>
      <c r="M800" s="375"/>
      <c r="N800" s="376"/>
      <c r="O800" s="376"/>
      <c r="P800" s="376"/>
      <c r="Q800" s="376"/>
      <c r="R800" s="376"/>
      <c r="S800" s="376"/>
      <c r="T800" s="376"/>
      <c r="U800" s="376"/>
      <c r="V800" s="376"/>
    </row>
    <row r="801" spans="1:22">
      <c r="A801" s="200"/>
      <c r="B801" s="200"/>
      <c r="C801" s="373"/>
      <c r="D801" s="200"/>
      <c r="E801" s="200"/>
      <c r="F801" s="200"/>
      <c r="G801" s="200"/>
      <c r="H801" s="200"/>
      <c r="I801" s="377"/>
      <c r="J801" s="366"/>
      <c r="K801" s="374"/>
      <c r="L801" s="366"/>
      <c r="M801" s="375"/>
      <c r="N801" s="376"/>
      <c r="O801" s="376"/>
      <c r="P801" s="376"/>
      <c r="Q801" s="376"/>
      <c r="R801" s="376"/>
      <c r="S801" s="376"/>
      <c r="T801" s="376"/>
      <c r="U801" s="376"/>
      <c r="V801" s="376"/>
    </row>
    <row r="802" spans="1:22">
      <c r="A802" s="200"/>
      <c r="B802" s="200"/>
      <c r="C802" s="373"/>
      <c r="D802" s="200"/>
      <c r="E802" s="200"/>
      <c r="F802" s="200"/>
      <c r="G802" s="200"/>
      <c r="H802" s="200"/>
      <c r="I802" s="377"/>
      <c r="J802" s="366"/>
      <c r="K802" s="374"/>
      <c r="L802" s="366"/>
      <c r="M802" s="375"/>
      <c r="N802" s="376"/>
      <c r="O802" s="376"/>
      <c r="P802" s="376"/>
      <c r="Q802" s="376"/>
      <c r="R802" s="376"/>
      <c r="S802" s="376"/>
      <c r="T802" s="376"/>
      <c r="U802" s="376"/>
      <c r="V802" s="376"/>
    </row>
    <row r="803" spans="1:22">
      <c r="A803" s="200"/>
      <c r="B803" s="200"/>
      <c r="C803" s="373"/>
      <c r="D803" s="200"/>
      <c r="E803" s="200"/>
      <c r="F803" s="200"/>
      <c r="G803" s="200"/>
      <c r="H803" s="200"/>
      <c r="I803" s="377"/>
      <c r="J803" s="366"/>
      <c r="K803" s="374"/>
      <c r="L803" s="366"/>
      <c r="M803" s="375"/>
      <c r="N803" s="376"/>
      <c r="O803" s="376"/>
      <c r="P803" s="376"/>
      <c r="Q803" s="376"/>
      <c r="R803" s="376"/>
      <c r="S803" s="376"/>
      <c r="T803" s="376"/>
      <c r="U803" s="376"/>
      <c r="V803" s="376"/>
    </row>
    <row r="804" spans="1:22">
      <c r="A804" s="200"/>
      <c r="B804" s="200"/>
      <c r="C804" s="373"/>
      <c r="D804" s="200"/>
      <c r="E804" s="200"/>
      <c r="F804" s="200"/>
      <c r="G804" s="200"/>
      <c r="H804" s="200"/>
      <c r="I804" s="377"/>
      <c r="J804" s="366"/>
      <c r="K804" s="374"/>
      <c r="L804" s="366"/>
      <c r="M804" s="375"/>
      <c r="N804" s="376"/>
      <c r="O804" s="376"/>
      <c r="P804" s="376"/>
      <c r="Q804" s="376"/>
      <c r="R804" s="376"/>
      <c r="S804" s="376"/>
      <c r="T804" s="376"/>
      <c r="U804" s="376"/>
      <c r="V804" s="376"/>
    </row>
    <row r="805" spans="1:22">
      <c r="A805" s="200"/>
      <c r="B805" s="200"/>
      <c r="C805" s="373"/>
      <c r="D805" s="200"/>
      <c r="E805" s="200"/>
      <c r="F805" s="200"/>
      <c r="G805" s="200"/>
      <c r="H805" s="200"/>
      <c r="I805" s="377"/>
      <c r="J805" s="366"/>
      <c r="K805" s="374"/>
      <c r="L805" s="366"/>
      <c r="M805" s="375"/>
      <c r="N805" s="376"/>
      <c r="O805" s="376"/>
      <c r="P805" s="376"/>
      <c r="Q805" s="376"/>
      <c r="R805" s="376"/>
      <c r="S805" s="376"/>
      <c r="T805" s="376"/>
      <c r="U805" s="376"/>
      <c r="V805" s="376"/>
    </row>
    <row r="806" spans="1:22">
      <c r="A806" s="200"/>
      <c r="B806" s="200"/>
      <c r="C806" s="373"/>
      <c r="D806" s="200"/>
      <c r="E806" s="200"/>
      <c r="F806" s="200"/>
      <c r="G806" s="200"/>
      <c r="H806" s="200"/>
      <c r="I806" s="377"/>
      <c r="J806" s="366"/>
      <c r="K806" s="374"/>
      <c r="L806" s="366"/>
      <c r="M806" s="375"/>
      <c r="N806" s="376"/>
      <c r="O806" s="376"/>
      <c r="P806" s="376"/>
      <c r="Q806" s="376"/>
      <c r="R806" s="376"/>
      <c r="S806" s="376"/>
      <c r="T806" s="376"/>
      <c r="U806" s="376"/>
      <c r="V806" s="376"/>
    </row>
    <row r="807" spans="1:22">
      <c r="A807" s="200"/>
      <c r="B807" s="200"/>
      <c r="C807" s="373"/>
      <c r="D807" s="200"/>
      <c r="E807" s="200"/>
      <c r="F807" s="200"/>
      <c r="G807" s="200"/>
      <c r="H807" s="200"/>
      <c r="I807" s="377"/>
      <c r="J807" s="366"/>
      <c r="K807" s="374"/>
      <c r="L807" s="366"/>
      <c r="M807" s="375"/>
      <c r="N807" s="376"/>
      <c r="O807" s="376"/>
      <c r="P807" s="376"/>
      <c r="Q807" s="376"/>
      <c r="R807" s="376"/>
      <c r="S807" s="376"/>
      <c r="T807" s="376"/>
      <c r="U807" s="376"/>
      <c r="V807" s="376"/>
    </row>
    <row r="808" spans="1:22">
      <c r="A808" s="200"/>
      <c r="B808" s="200"/>
      <c r="C808" s="373"/>
      <c r="D808" s="200"/>
      <c r="E808" s="200"/>
      <c r="F808" s="200"/>
      <c r="G808" s="200"/>
      <c r="H808" s="200"/>
      <c r="I808" s="377"/>
      <c r="J808" s="366"/>
      <c r="K808" s="374"/>
      <c r="L808" s="366"/>
      <c r="M808" s="375"/>
      <c r="N808" s="376"/>
      <c r="O808" s="376"/>
      <c r="P808" s="376"/>
      <c r="Q808" s="376"/>
      <c r="R808" s="376"/>
      <c r="S808" s="376"/>
      <c r="T808" s="376"/>
      <c r="U808" s="376"/>
      <c r="V808" s="376"/>
    </row>
    <row r="809" spans="1:22">
      <c r="A809" s="200"/>
      <c r="B809" s="200"/>
      <c r="C809" s="373"/>
      <c r="D809" s="200"/>
      <c r="E809" s="200"/>
      <c r="F809" s="200"/>
      <c r="G809" s="200"/>
      <c r="H809" s="200"/>
      <c r="I809" s="377"/>
      <c r="J809" s="366"/>
      <c r="K809" s="374"/>
      <c r="L809" s="366"/>
      <c r="M809" s="375"/>
      <c r="N809" s="376"/>
      <c r="O809" s="376"/>
      <c r="P809" s="376"/>
      <c r="Q809" s="376"/>
      <c r="R809" s="376"/>
      <c r="S809" s="376"/>
      <c r="T809" s="376"/>
      <c r="U809" s="376"/>
      <c r="V809" s="376"/>
    </row>
    <row r="810" spans="1:22">
      <c r="A810" s="200"/>
      <c r="B810" s="200"/>
      <c r="C810" s="373"/>
      <c r="D810" s="200"/>
      <c r="E810" s="200"/>
      <c r="F810" s="200"/>
      <c r="G810" s="200"/>
      <c r="H810" s="200"/>
      <c r="I810" s="377"/>
      <c r="J810" s="366"/>
      <c r="K810" s="374"/>
      <c r="L810" s="366"/>
      <c r="M810" s="375"/>
      <c r="N810" s="376"/>
      <c r="O810" s="376"/>
      <c r="P810" s="376"/>
      <c r="Q810" s="376"/>
      <c r="R810" s="376"/>
      <c r="S810" s="376"/>
      <c r="T810" s="376"/>
      <c r="U810" s="376"/>
      <c r="V810" s="376"/>
    </row>
    <row r="811" spans="1:22">
      <c r="A811" s="200"/>
      <c r="B811" s="200"/>
      <c r="C811" s="373"/>
      <c r="D811" s="200"/>
      <c r="E811" s="200"/>
      <c r="F811" s="200"/>
      <c r="G811" s="200"/>
      <c r="H811" s="200"/>
      <c r="I811" s="377"/>
      <c r="J811" s="366"/>
      <c r="K811" s="374"/>
      <c r="L811" s="366"/>
      <c r="M811" s="375"/>
      <c r="N811" s="376"/>
      <c r="O811" s="376"/>
      <c r="P811" s="376"/>
      <c r="Q811" s="376"/>
      <c r="R811" s="376"/>
      <c r="S811" s="376"/>
      <c r="T811" s="376"/>
      <c r="U811" s="376"/>
      <c r="V811" s="376"/>
    </row>
    <row r="812" spans="1:22">
      <c r="A812" s="200"/>
      <c r="B812" s="200"/>
      <c r="C812" s="373"/>
      <c r="D812" s="200"/>
      <c r="E812" s="200"/>
      <c r="F812" s="200"/>
      <c r="G812" s="200"/>
      <c r="H812" s="200"/>
      <c r="I812" s="377"/>
      <c r="J812" s="366"/>
      <c r="K812" s="374"/>
      <c r="L812" s="366"/>
      <c r="M812" s="375"/>
      <c r="N812" s="376"/>
      <c r="O812" s="376"/>
      <c r="P812" s="376"/>
      <c r="Q812" s="376"/>
      <c r="R812" s="376"/>
      <c r="S812" s="376"/>
      <c r="T812" s="376"/>
      <c r="U812" s="376"/>
      <c r="V812" s="376"/>
    </row>
    <row r="813" spans="1:22">
      <c r="A813" s="200"/>
      <c r="B813" s="200"/>
      <c r="C813" s="373"/>
      <c r="D813" s="200"/>
      <c r="E813" s="200"/>
      <c r="F813" s="200"/>
      <c r="G813" s="200"/>
      <c r="H813" s="200"/>
      <c r="I813" s="377"/>
      <c r="J813" s="366"/>
      <c r="K813" s="374"/>
      <c r="L813" s="366"/>
      <c r="M813" s="375"/>
      <c r="N813" s="376"/>
      <c r="O813" s="376"/>
      <c r="P813" s="376"/>
      <c r="Q813" s="376"/>
      <c r="R813" s="376"/>
      <c r="S813" s="376"/>
      <c r="T813" s="376"/>
      <c r="U813" s="376"/>
      <c r="V813" s="376"/>
    </row>
    <row r="814" spans="1:22">
      <c r="A814" s="200"/>
      <c r="B814" s="200"/>
      <c r="C814" s="373"/>
      <c r="D814" s="200"/>
      <c r="E814" s="200"/>
      <c r="F814" s="200"/>
      <c r="G814" s="200"/>
      <c r="H814" s="200"/>
      <c r="I814" s="377"/>
      <c r="J814" s="366"/>
      <c r="K814" s="374"/>
      <c r="L814" s="366"/>
      <c r="M814" s="375"/>
      <c r="N814" s="376"/>
      <c r="O814" s="376"/>
      <c r="P814" s="376"/>
      <c r="Q814" s="376"/>
      <c r="R814" s="376"/>
      <c r="S814" s="376"/>
      <c r="T814" s="376"/>
      <c r="U814" s="376"/>
      <c r="V814" s="376"/>
    </row>
    <row r="815" spans="1:22">
      <c r="A815" s="200"/>
      <c r="B815" s="200"/>
      <c r="C815" s="373"/>
      <c r="D815" s="200"/>
      <c r="E815" s="200"/>
      <c r="F815" s="200"/>
      <c r="G815" s="200"/>
      <c r="H815" s="200"/>
      <c r="I815" s="377"/>
      <c r="J815" s="366"/>
      <c r="K815" s="374"/>
      <c r="L815" s="366"/>
      <c r="M815" s="375"/>
      <c r="N815" s="376"/>
      <c r="O815" s="376"/>
      <c r="P815" s="376"/>
      <c r="Q815" s="376"/>
      <c r="R815" s="376"/>
      <c r="S815" s="376"/>
      <c r="T815" s="376"/>
      <c r="U815" s="376"/>
      <c r="V815" s="376"/>
    </row>
    <row r="816" spans="1:22">
      <c r="A816" s="200"/>
      <c r="B816" s="200"/>
      <c r="C816" s="373"/>
      <c r="D816" s="200"/>
      <c r="E816" s="200"/>
      <c r="F816" s="200"/>
      <c r="G816" s="200"/>
      <c r="H816" s="200"/>
      <c r="I816" s="377"/>
      <c r="J816" s="366"/>
      <c r="K816" s="374"/>
      <c r="L816" s="366"/>
      <c r="M816" s="375"/>
      <c r="N816" s="376"/>
      <c r="O816" s="376"/>
      <c r="P816" s="376"/>
      <c r="Q816" s="376"/>
      <c r="R816" s="376"/>
      <c r="S816" s="376"/>
      <c r="T816" s="376"/>
      <c r="U816" s="376"/>
      <c r="V816" s="376"/>
    </row>
    <row r="817" spans="1:22">
      <c r="A817" s="200"/>
      <c r="B817" s="200"/>
      <c r="C817" s="373"/>
      <c r="D817" s="200"/>
      <c r="E817" s="200"/>
      <c r="F817" s="200"/>
      <c r="G817" s="200"/>
      <c r="H817" s="200"/>
      <c r="I817" s="377"/>
      <c r="J817" s="366"/>
      <c r="K817" s="374"/>
      <c r="L817" s="366"/>
      <c r="M817" s="375"/>
      <c r="N817" s="376"/>
      <c r="O817" s="376"/>
      <c r="P817" s="376"/>
      <c r="Q817" s="376"/>
      <c r="R817" s="376"/>
      <c r="S817" s="376"/>
      <c r="T817" s="376"/>
      <c r="U817" s="376"/>
      <c r="V817" s="376"/>
    </row>
    <row r="818" spans="1:22">
      <c r="A818" s="200"/>
      <c r="B818" s="200"/>
      <c r="C818" s="373"/>
      <c r="D818" s="200"/>
      <c r="E818" s="200"/>
      <c r="F818" s="200"/>
      <c r="G818" s="200"/>
      <c r="H818" s="200"/>
      <c r="I818" s="377"/>
      <c r="J818" s="366"/>
      <c r="K818" s="374"/>
      <c r="L818" s="366"/>
      <c r="M818" s="375"/>
      <c r="N818" s="376"/>
      <c r="O818" s="376"/>
      <c r="P818" s="376"/>
      <c r="Q818" s="376"/>
      <c r="R818" s="376"/>
      <c r="S818" s="376"/>
      <c r="T818" s="376"/>
      <c r="U818" s="376"/>
      <c r="V818" s="376"/>
    </row>
    <row r="819" spans="1:22">
      <c r="A819" s="200"/>
      <c r="B819" s="200"/>
      <c r="C819" s="373"/>
      <c r="D819" s="200"/>
      <c r="E819" s="200"/>
      <c r="F819" s="200"/>
      <c r="G819" s="200"/>
      <c r="H819" s="200"/>
      <c r="I819" s="377"/>
      <c r="J819" s="366"/>
      <c r="K819" s="374"/>
      <c r="L819" s="366"/>
      <c r="M819" s="375"/>
      <c r="N819" s="376"/>
      <c r="O819" s="376"/>
      <c r="P819" s="376"/>
      <c r="Q819" s="376"/>
      <c r="R819" s="376"/>
      <c r="S819" s="376"/>
      <c r="T819" s="376"/>
      <c r="U819" s="376"/>
      <c r="V819" s="376"/>
    </row>
    <row r="820" spans="1:22">
      <c r="A820" s="200"/>
      <c r="B820" s="200"/>
      <c r="C820" s="373"/>
      <c r="D820" s="200"/>
      <c r="E820" s="200"/>
      <c r="F820" s="200"/>
      <c r="G820" s="200"/>
      <c r="H820" s="200"/>
      <c r="I820" s="377"/>
      <c r="J820" s="366"/>
      <c r="K820" s="374"/>
      <c r="L820" s="366"/>
      <c r="M820" s="375"/>
      <c r="N820" s="376"/>
      <c r="O820" s="376"/>
      <c r="P820" s="376"/>
      <c r="Q820" s="376"/>
      <c r="R820" s="376"/>
      <c r="S820" s="376"/>
      <c r="T820" s="376"/>
      <c r="U820" s="376"/>
      <c r="V820" s="376"/>
    </row>
    <row r="821" spans="1:22">
      <c r="A821" s="200"/>
      <c r="B821" s="200"/>
      <c r="C821" s="373"/>
      <c r="D821" s="200"/>
      <c r="E821" s="200"/>
      <c r="F821" s="200"/>
      <c r="G821" s="200"/>
      <c r="H821" s="200"/>
      <c r="I821" s="377"/>
      <c r="J821" s="366"/>
      <c r="K821" s="374"/>
      <c r="L821" s="366"/>
      <c r="M821" s="375"/>
      <c r="N821" s="376"/>
      <c r="O821" s="376"/>
      <c r="P821" s="376"/>
      <c r="Q821" s="376"/>
      <c r="R821" s="376"/>
      <c r="S821" s="376"/>
      <c r="T821" s="376"/>
      <c r="U821" s="376"/>
      <c r="V821" s="376"/>
    </row>
    <row r="822" spans="1:22">
      <c r="A822" s="200"/>
      <c r="B822" s="200"/>
      <c r="C822" s="373"/>
      <c r="D822" s="200"/>
      <c r="E822" s="200"/>
      <c r="F822" s="200"/>
      <c r="G822" s="200"/>
      <c r="H822" s="200"/>
      <c r="I822" s="377"/>
      <c r="J822" s="366"/>
      <c r="K822" s="374"/>
      <c r="L822" s="366"/>
      <c r="M822" s="375"/>
      <c r="N822" s="376"/>
      <c r="O822" s="376"/>
      <c r="P822" s="376"/>
      <c r="Q822" s="376"/>
      <c r="R822" s="376"/>
      <c r="S822" s="376"/>
      <c r="T822" s="376"/>
      <c r="U822" s="376"/>
      <c r="V822" s="376"/>
    </row>
    <row r="823" spans="1:22">
      <c r="A823" s="200"/>
      <c r="B823" s="200"/>
      <c r="C823" s="373"/>
      <c r="D823" s="200"/>
      <c r="E823" s="200"/>
      <c r="F823" s="200"/>
      <c r="G823" s="200"/>
      <c r="H823" s="200"/>
      <c r="I823" s="377"/>
      <c r="J823" s="366"/>
      <c r="K823" s="374"/>
      <c r="L823" s="366"/>
      <c r="M823" s="375"/>
      <c r="N823" s="376"/>
      <c r="O823" s="376"/>
      <c r="P823" s="376"/>
      <c r="Q823" s="376"/>
      <c r="R823" s="376"/>
      <c r="S823" s="376"/>
      <c r="T823" s="376"/>
      <c r="U823" s="376"/>
      <c r="V823" s="376"/>
    </row>
    <row r="824" spans="1:22">
      <c r="A824" s="200"/>
      <c r="B824" s="200"/>
      <c r="C824" s="373"/>
      <c r="D824" s="200"/>
      <c r="E824" s="200"/>
      <c r="F824" s="200"/>
      <c r="G824" s="200"/>
      <c r="H824" s="200"/>
      <c r="I824" s="377"/>
      <c r="J824" s="366"/>
      <c r="K824" s="374"/>
      <c r="L824" s="366"/>
      <c r="M824" s="375"/>
      <c r="N824" s="376"/>
      <c r="O824" s="376"/>
      <c r="P824" s="376"/>
      <c r="Q824" s="376"/>
      <c r="R824" s="376"/>
      <c r="S824" s="376"/>
      <c r="T824" s="376"/>
      <c r="U824" s="376"/>
      <c r="V824" s="376"/>
    </row>
    <row r="825" spans="1:22">
      <c r="A825" s="200"/>
      <c r="B825" s="200"/>
      <c r="C825" s="373"/>
      <c r="D825" s="200"/>
      <c r="E825" s="200"/>
      <c r="F825" s="200"/>
      <c r="G825" s="200"/>
      <c r="H825" s="200"/>
      <c r="I825" s="377"/>
      <c r="J825" s="366"/>
      <c r="K825" s="374"/>
      <c r="L825" s="366"/>
      <c r="M825" s="375"/>
      <c r="N825" s="376"/>
      <c r="O825" s="376"/>
      <c r="P825" s="376"/>
      <c r="Q825" s="376"/>
      <c r="R825" s="376"/>
      <c r="S825" s="376"/>
      <c r="T825" s="376"/>
      <c r="U825" s="376"/>
      <c r="V825" s="376"/>
    </row>
    <row r="826" spans="1:22">
      <c r="A826" s="200"/>
      <c r="B826" s="200"/>
      <c r="C826" s="373"/>
      <c r="D826" s="200"/>
      <c r="E826" s="200"/>
      <c r="F826" s="200"/>
      <c r="G826" s="200"/>
      <c r="H826" s="200"/>
      <c r="I826" s="377"/>
      <c r="J826" s="366"/>
      <c r="K826" s="374"/>
      <c r="L826" s="366"/>
      <c r="M826" s="375"/>
      <c r="N826" s="376"/>
      <c r="O826" s="376"/>
      <c r="P826" s="376"/>
      <c r="Q826" s="376"/>
      <c r="R826" s="376"/>
      <c r="S826" s="376"/>
      <c r="T826" s="376"/>
      <c r="U826" s="376"/>
      <c r="V826" s="376"/>
    </row>
    <row r="827" spans="1:22">
      <c r="A827" s="200"/>
      <c r="B827" s="200"/>
      <c r="C827" s="373"/>
      <c r="D827" s="200"/>
      <c r="E827" s="200"/>
      <c r="F827" s="200"/>
      <c r="G827" s="200"/>
      <c r="H827" s="200"/>
      <c r="I827" s="377"/>
      <c r="J827" s="366"/>
      <c r="K827" s="374"/>
      <c r="L827" s="366"/>
      <c r="M827" s="375"/>
      <c r="N827" s="376"/>
      <c r="O827" s="376"/>
      <c r="P827" s="376"/>
      <c r="Q827" s="376"/>
      <c r="R827" s="376"/>
      <c r="S827" s="376"/>
      <c r="T827" s="376"/>
      <c r="U827" s="376"/>
      <c r="V827" s="376"/>
    </row>
    <row r="828" spans="1:22">
      <c r="A828" s="200"/>
      <c r="B828" s="200"/>
      <c r="C828" s="373"/>
      <c r="D828" s="200"/>
      <c r="E828" s="200"/>
      <c r="F828" s="200"/>
      <c r="G828" s="200"/>
      <c r="H828" s="200"/>
      <c r="I828" s="377"/>
      <c r="J828" s="366"/>
      <c r="K828" s="374"/>
      <c r="L828" s="366"/>
      <c r="M828" s="375"/>
      <c r="N828" s="376"/>
      <c r="O828" s="376"/>
      <c r="P828" s="376"/>
      <c r="Q828" s="376"/>
      <c r="R828" s="376"/>
      <c r="S828" s="376"/>
      <c r="T828" s="376"/>
      <c r="U828" s="376"/>
      <c r="V828" s="376"/>
    </row>
    <row r="829" spans="1:22">
      <c r="A829" s="200"/>
      <c r="B829" s="200"/>
      <c r="C829" s="373"/>
      <c r="D829" s="200"/>
      <c r="E829" s="200"/>
      <c r="F829" s="200"/>
      <c r="G829" s="200"/>
      <c r="H829" s="200"/>
      <c r="I829" s="377"/>
      <c r="J829" s="366"/>
      <c r="K829" s="374"/>
      <c r="L829" s="366"/>
      <c r="M829" s="375"/>
      <c r="N829" s="376"/>
      <c r="O829" s="376"/>
      <c r="P829" s="376"/>
      <c r="Q829" s="376"/>
      <c r="R829" s="376"/>
      <c r="S829" s="376"/>
      <c r="T829" s="376"/>
      <c r="U829" s="376"/>
      <c r="V829" s="376"/>
    </row>
    <row r="830" spans="1:22">
      <c r="A830" s="200"/>
      <c r="B830" s="200"/>
      <c r="C830" s="373"/>
      <c r="D830" s="200"/>
      <c r="E830" s="200"/>
      <c r="F830" s="200"/>
      <c r="G830" s="200"/>
      <c r="H830" s="200"/>
      <c r="I830" s="377"/>
      <c r="J830" s="366"/>
      <c r="K830" s="374"/>
      <c r="L830" s="366"/>
      <c r="M830" s="375"/>
      <c r="N830" s="376"/>
      <c r="O830" s="376"/>
      <c r="P830" s="376"/>
      <c r="Q830" s="376"/>
      <c r="R830" s="376"/>
      <c r="S830" s="376"/>
      <c r="T830" s="376"/>
      <c r="U830" s="376"/>
      <c r="V830" s="376"/>
    </row>
    <row r="831" spans="1:22">
      <c r="A831" s="200"/>
      <c r="B831" s="200"/>
      <c r="C831" s="373"/>
      <c r="D831" s="200"/>
      <c r="E831" s="200"/>
      <c r="F831" s="200"/>
      <c r="G831" s="200"/>
      <c r="H831" s="200"/>
      <c r="I831" s="377"/>
      <c r="J831" s="366"/>
      <c r="K831" s="374"/>
      <c r="L831" s="366"/>
      <c r="M831" s="375"/>
      <c r="N831" s="376"/>
      <c r="O831" s="376"/>
      <c r="P831" s="376"/>
      <c r="Q831" s="376"/>
      <c r="R831" s="376"/>
      <c r="S831" s="376"/>
      <c r="T831" s="376"/>
      <c r="U831" s="376"/>
      <c r="V831" s="376"/>
    </row>
    <row r="832" spans="1:22">
      <c r="A832" s="200"/>
      <c r="B832" s="200"/>
      <c r="C832" s="373"/>
      <c r="D832" s="200"/>
      <c r="E832" s="200"/>
      <c r="F832" s="200"/>
      <c r="G832" s="200"/>
      <c r="H832" s="200"/>
      <c r="I832" s="377"/>
      <c r="J832" s="366"/>
      <c r="K832" s="374"/>
      <c r="L832" s="366"/>
      <c r="M832" s="375"/>
      <c r="N832" s="376"/>
      <c r="O832" s="376"/>
      <c r="P832" s="376"/>
      <c r="Q832" s="376"/>
      <c r="R832" s="376"/>
      <c r="S832" s="376"/>
      <c r="T832" s="376"/>
      <c r="U832" s="376"/>
      <c r="V832" s="376"/>
    </row>
    <row r="833" spans="1:22">
      <c r="A833" s="200"/>
      <c r="B833" s="200"/>
      <c r="C833" s="373"/>
      <c r="D833" s="200"/>
      <c r="E833" s="200"/>
      <c r="F833" s="200"/>
      <c r="G833" s="200"/>
      <c r="H833" s="200"/>
      <c r="I833" s="377"/>
      <c r="J833" s="366"/>
      <c r="K833" s="374"/>
      <c r="L833" s="366"/>
      <c r="M833" s="375"/>
      <c r="N833" s="376"/>
      <c r="O833" s="376"/>
      <c r="P833" s="376"/>
      <c r="Q833" s="376"/>
      <c r="R833" s="376"/>
      <c r="S833" s="376"/>
      <c r="T833" s="376"/>
      <c r="U833" s="376"/>
      <c r="V833" s="376"/>
    </row>
    <row r="834" spans="1:22">
      <c r="A834" s="200"/>
      <c r="B834" s="200"/>
      <c r="C834" s="373"/>
      <c r="D834" s="200"/>
      <c r="E834" s="200"/>
      <c r="F834" s="200"/>
      <c r="G834" s="200"/>
      <c r="H834" s="200"/>
      <c r="I834" s="377"/>
      <c r="J834" s="366"/>
      <c r="K834" s="374"/>
      <c r="L834" s="366"/>
      <c r="M834" s="375"/>
      <c r="N834" s="376"/>
      <c r="O834" s="376"/>
      <c r="P834" s="376"/>
      <c r="Q834" s="376"/>
      <c r="R834" s="376"/>
      <c r="S834" s="376"/>
      <c r="T834" s="376"/>
      <c r="U834" s="376"/>
      <c r="V834" s="376"/>
    </row>
    <row r="835" spans="1:22">
      <c r="A835" s="200"/>
      <c r="B835" s="200"/>
      <c r="C835" s="373"/>
      <c r="D835" s="200"/>
      <c r="E835" s="200"/>
      <c r="F835" s="200"/>
      <c r="G835" s="200"/>
      <c r="H835" s="200"/>
      <c r="I835" s="377"/>
      <c r="J835" s="366"/>
      <c r="K835" s="374"/>
      <c r="L835" s="366"/>
      <c r="M835" s="375"/>
      <c r="N835" s="376"/>
      <c r="O835" s="376"/>
      <c r="P835" s="376"/>
      <c r="Q835" s="376"/>
      <c r="R835" s="376"/>
      <c r="S835" s="376"/>
      <c r="T835" s="376"/>
      <c r="U835" s="376"/>
      <c r="V835" s="376"/>
    </row>
    <row r="836" spans="1:22">
      <c r="A836" s="200"/>
      <c r="B836" s="200"/>
      <c r="C836" s="373"/>
      <c r="D836" s="200"/>
      <c r="E836" s="200"/>
      <c r="F836" s="200"/>
      <c r="G836" s="200"/>
      <c r="H836" s="200"/>
      <c r="I836" s="377"/>
      <c r="J836" s="366"/>
      <c r="K836" s="374"/>
      <c r="L836" s="366"/>
      <c r="M836" s="375"/>
      <c r="N836" s="376"/>
      <c r="O836" s="376"/>
      <c r="P836" s="376"/>
      <c r="Q836" s="376"/>
      <c r="R836" s="376"/>
      <c r="S836" s="376"/>
      <c r="T836" s="376"/>
      <c r="U836" s="376"/>
      <c r="V836" s="376"/>
    </row>
    <row r="837" spans="1:22">
      <c r="A837" s="200"/>
      <c r="B837" s="200"/>
      <c r="C837" s="373"/>
      <c r="D837" s="200"/>
      <c r="E837" s="200"/>
      <c r="F837" s="200"/>
      <c r="G837" s="200"/>
      <c r="H837" s="200"/>
      <c r="I837" s="377"/>
      <c r="J837" s="366"/>
      <c r="K837" s="374"/>
      <c r="L837" s="366"/>
      <c r="M837" s="375"/>
      <c r="N837" s="376"/>
      <c r="O837" s="376"/>
      <c r="P837" s="376"/>
      <c r="Q837" s="376"/>
      <c r="R837" s="376"/>
      <c r="S837" s="376"/>
      <c r="T837" s="376"/>
      <c r="U837" s="376"/>
      <c r="V837" s="376"/>
    </row>
    <row r="838" spans="1:22">
      <c r="A838" s="200"/>
      <c r="B838" s="200"/>
      <c r="C838" s="373"/>
      <c r="D838" s="200"/>
      <c r="E838" s="200"/>
      <c r="F838" s="200"/>
      <c r="G838" s="200"/>
      <c r="H838" s="200"/>
      <c r="I838" s="377"/>
      <c r="J838" s="366"/>
      <c r="K838" s="374"/>
      <c r="L838" s="366"/>
      <c r="M838" s="375"/>
      <c r="N838" s="376"/>
      <c r="O838" s="376"/>
      <c r="P838" s="376"/>
      <c r="Q838" s="376"/>
      <c r="R838" s="376"/>
      <c r="S838" s="376"/>
      <c r="T838" s="376"/>
      <c r="U838" s="376"/>
      <c r="V838" s="376"/>
    </row>
    <row r="839" spans="1:22">
      <c r="A839" s="200"/>
      <c r="B839" s="200"/>
      <c r="C839" s="373"/>
      <c r="D839" s="200"/>
      <c r="E839" s="200"/>
      <c r="F839" s="200"/>
      <c r="G839" s="200"/>
      <c r="H839" s="200"/>
      <c r="I839" s="377"/>
      <c r="J839" s="366"/>
      <c r="K839" s="374"/>
      <c r="L839" s="366"/>
      <c r="M839" s="375"/>
      <c r="N839" s="376"/>
      <c r="O839" s="376"/>
      <c r="P839" s="376"/>
      <c r="Q839" s="376"/>
      <c r="R839" s="376"/>
      <c r="S839" s="376"/>
      <c r="T839" s="376"/>
      <c r="U839" s="376"/>
      <c r="V839" s="376"/>
    </row>
    <row r="840" spans="1:22">
      <c r="A840" s="200"/>
      <c r="B840" s="200"/>
      <c r="C840" s="373"/>
      <c r="D840" s="200"/>
      <c r="E840" s="200"/>
      <c r="F840" s="200"/>
      <c r="G840" s="200"/>
      <c r="H840" s="200"/>
      <c r="I840" s="377"/>
      <c r="J840" s="366"/>
      <c r="K840" s="374"/>
      <c r="L840" s="366"/>
      <c r="M840" s="375"/>
      <c r="N840" s="376"/>
      <c r="O840" s="376"/>
      <c r="P840" s="376"/>
      <c r="Q840" s="376"/>
      <c r="R840" s="376"/>
      <c r="S840" s="376"/>
      <c r="T840" s="376"/>
      <c r="U840" s="376"/>
      <c r="V840" s="376"/>
    </row>
    <row r="841" spans="1:22">
      <c r="A841" s="200"/>
      <c r="B841" s="200"/>
      <c r="C841" s="373"/>
      <c r="D841" s="200"/>
      <c r="E841" s="200"/>
      <c r="F841" s="200"/>
      <c r="G841" s="200"/>
      <c r="H841" s="200"/>
      <c r="I841" s="377"/>
      <c r="J841" s="366"/>
      <c r="K841" s="374"/>
      <c r="L841" s="366"/>
      <c r="M841" s="375"/>
      <c r="N841" s="376"/>
      <c r="O841" s="376"/>
      <c r="P841" s="376"/>
      <c r="Q841" s="376"/>
      <c r="R841" s="376"/>
      <c r="S841" s="376"/>
      <c r="T841" s="376"/>
      <c r="U841" s="376"/>
      <c r="V841" s="376"/>
    </row>
    <row r="842" spans="1:22">
      <c r="A842" s="200"/>
      <c r="B842" s="200"/>
      <c r="C842" s="373"/>
      <c r="D842" s="200"/>
      <c r="E842" s="200"/>
      <c r="F842" s="200"/>
      <c r="G842" s="200"/>
      <c r="H842" s="200"/>
      <c r="I842" s="377"/>
      <c r="J842" s="366"/>
      <c r="K842" s="374"/>
      <c r="L842" s="366"/>
      <c r="M842" s="375"/>
      <c r="N842" s="376"/>
      <c r="O842" s="376"/>
      <c r="P842" s="376"/>
      <c r="Q842" s="376"/>
      <c r="R842" s="376"/>
      <c r="S842" s="376"/>
      <c r="T842" s="376"/>
      <c r="U842" s="376"/>
      <c r="V842" s="376"/>
    </row>
    <row r="843" spans="1:22">
      <c r="A843" s="200"/>
      <c r="B843" s="200"/>
      <c r="C843" s="373"/>
      <c r="D843" s="200"/>
      <c r="E843" s="200"/>
      <c r="F843" s="200"/>
      <c r="G843" s="200"/>
      <c r="H843" s="200"/>
      <c r="I843" s="377"/>
      <c r="J843" s="366"/>
      <c r="K843" s="374"/>
      <c r="L843" s="366"/>
      <c r="M843" s="375"/>
      <c r="N843" s="376"/>
      <c r="O843" s="376"/>
      <c r="P843" s="376"/>
      <c r="Q843" s="376"/>
      <c r="R843" s="376"/>
      <c r="S843" s="376"/>
      <c r="T843" s="376"/>
      <c r="U843" s="376"/>
      <c r="V843" s="376"/>
    </row>
    <row r="844" spans="1:22">
      <c r="A844" s="200"/>
      <c r="B844" s="200"/>
      <c r="C844" s="373"/>
      <c r="D844" s="200"/>
      <c r="E844" s="200"/>
      <c r="F844" s="200"/>
      <c r="G844" s="200"/>
      <c r="H844" s="200"/>
      <c r="I844" s="377"/>
      <c r="J844" s="366"/>
      <c r="K844" s="374"/>
      <c r="L844" s="366"/>
      <c r="M844" s="375"/>
      <c r="N844" s="376"/>
      <c r="O844" s="376"/>
      <c r="P844" s="376"/>
      <c r="Q844" s="376"/>
      <c r="R844" s="376"/>
      <c r="S844" s="376"/>
      <c r="T844" s="376"/>
      <c r="U844" s="376"/>
      <c r="V844" s="376"/>
    </row>
    <row r="845" spans="1:22">
      <c r="A845" s="200"/>
      <c r="B845" s="200"/>
      <c r="C845" s="373"/>
      <c r="D845" s="200"/>
      <c r="E845" s="200"/>
      <c r="F845" s="200"/>
      <c r="G845" s="200"/>
      <c r="H845" s="200"/>
      <c r="I845" s="377"/>
      <c r="J845" s="366"/>
      <c r="K845" s="374"/>
      <c r="L845" s="366"/>
      <c r="M845" s="375"/>
      <c r="N845" s="376"/>
      <c r="O845" s="376"/>
      <c r="P845" s="376"/>
      <c r="Q845" s="376"/>
      <c r="R845" s="376"/>
      <c r="S845" s="376"/>
      <c r="T845" s="376"/>
      <c r="U845" s="376"/>
      <c r="V845" s="376"/>
    </row>
    <row r="846" spans="1:22">
      <c r="A846" s="200"/>
      <c r="B846" s="200"/>
      <c r="C846" s="373"/>
      <c r="D846" s="200"/>
      <c r="E846" s="200"/>
      <c r="F846" s="200"/>
      <c r="G846" s="200"/>
      <c r="H846" s="200"/>
      <c r="I846" s="377"/>
      <c r="J846" s="366"/>
      <c r="K846" s="374"/>
      <c r="L846" s="366"/>
      <c r="M846" s="375"/>
      <c r="N846" s="376"/>
      <c r="O846" s="376"/>
      <c r="P846" s="376"/>
      <c r="Q846" s="376"/>
      <c r="R846" s="376"/>
      <c r="S846" s="376"/>
      <c r="T846" s="376"/>
      <c r="U846" s="376"/>
      <c r="V846" s="376"/>
    </row>
    <row r="847" spans="1:22">
      <c r="A847" s="200"/>
      <c r="B847" s="200"/>
      <c r="C847" s="373"/>
      <c r="D847" s="200"/>
      <c r="E847" s="200"/>
      <c r="F847" s="200"/>
      <c r="G847" s="200"/>
      <c r="H847" s="200"/>
      <c r="I847" s="377"/>
      <c r="J847" s="366"/>
      <c r="K847" s="374"/>
      <c r="L847" s="366"/>
      <c r="M847" s="375"/>
      <c r="N847" s="376"/>
      <c r="O847" s="376"/>
      <c r="P847" s="376"/>
      <c r="Q847" s="376"/>
      <c r="R847" s="376"/>
      <c r="S847" s="376"/>
      <c r="T847" s="376"/>
      <c r="U847" s="376"/>
      <c r="V847" s="376"/>
    </row>
    <row r="848" spans="1:22">
      <c r="A848" s="200"/>
      <c r="B848" s="200"/>
      <c r="C848" s="373"/>
      <c r="D848" s="200"/>
      <c r="E848" s="200"/>
      <c r="F848" s="200"/>
      <c r="G848" s="200"/>
      <c r="H848" s="200"/>
      <c r="I848" s="377"/>
      <c r="J848" s="366"/>
      <c r="K848" s="374"/>
      <c r="L848" s="366"/>
      <c r="M848" s="375"/>
      <c r="N848" s="376"/>
      <c r="O848" s="376"/>
      <c r="P848" s="376"/>
      <c r="Q848" s="376"/>
      <c r="R848" s="376"/>
      <c r="S848" s="376"/>
      <c r="T848" s="376"/>
      <c r="U848" s="376"/>
      <c r="V848" s="376"/>
    </row>
    <row r="849" spans="1:22">
      <c r="A849" s="200"/>
      <c r="B849" s="200"/>
      <c r="C849" s="373"/>
      <c r="D849" s="200"/>
      <c r="E849" s="200"/>
      <c r="F849" s="200"/>
      <c r="G849" s="200"/>
      <c r="H849" s="200"/>
      <c r="I849" s="377"/>
      <c r="J849" s="366"/>
      <c r="K849" s="374"/>
      <c r="L849" s="366"/>
      <c r="M849" s="375"/>
      <c r="N849" s="376"/>
      <c r="O849" s="376"/>
      <c r="P849" s="376"/>
      <c r="Q849" s="376"/>
      <c r="R849" s="376"/>
      <c r="S849" s="376"/>
      <c r="T849" s="376"/>
      <c r="U849" s="376"/>
      <c r="V849" s="376"/>
    </row>
    <row r="850" spans="1:22">
      <c r="A850" s="200"/>
      <c r="B850" s="200"/>
      <c r="C850" s="373"/>
      <c r="D850" s="200"/>
      <c r="E850" s="200"/>
      <c r="F850" s="200"/>
      <c r="G850" s="200"/>
      <c r="H850" s="200"/>
      <c r="I850" s="377"/>
      <c r="J850" s="366"/>
      <c r="K850" s="374"/>
      <c r="L850" s="366"/>
      <c r="M850" s="375"/>
      <c r="N850" s="376"/>
      <c r="O850" s="376"/>
      <c r="P850" s="376"/>
      <c r="Q850" s="376"/>
      <c r="R850" s="376"/>
      <c r="S850" s="376"/>
      <c r="T850" s="376"/>
      <c r="U850" s="376"/>
      <c r="V850" s="376"/>
    </row>
    <row r="851" spans="1:22">
      <c r="A851" s="200"/>
      <c r="B851" s="200"/>
      <c r="C851" s="373"/>
      <c r="D851" s="200"/>
      <c r="E851" s="200"/>
      <c r="F851" s="200"/>
      <c r="G851" s="200"/>
      <c r="H851" s="200"/>
      <c r="I851" s="377"/>
      <c r="J851" s="366"/>
      <c r="K851" s="374"/>
      <c r="L851" s="366"/>
      <c r="M851" s="375"/>
      <c r="N851" s="376"/>
      <c r="O851" s="376"/>
      <c r="P851" s="376"/>
      <c r="Q851" s="376"/>
      <c r="R851" s="376"/>
      <c r="S851" s="376"/>
      <c r="T851" s="376"/>
      <c r="U851" s="376"/>
      <c r="V851" s="376"/>
    </row>
    <row r="852" spans="1:22">
      <c r="A852" s="200"/>
      <c r="B852" s="200"/>
      <c r="C852" s="373"/>
      <c r="D852" s="200"/>
      <c r="E852" s="200"/>
      <c r="F852" s="200"/>
      <c r="G852" s="200"/>
      <c r="H852" s="200"/>
      <c r="I852" s="377"/>
      <c r="J852" s="366"/>
      <c r="K852" s="374"/>
      <c r="L852" s="366"/>
      <c r="M852" s="375"/>
      <c r="N852" s="376"/>
      <c r="O852" s="376"/>
      <c r="P852" s="376"/>
      <c r="Q852" s="376"/>
      <c r="R852" s="376"/>
      <c r="S852" s="376"/>
      <c r="T852" s="376"/>
      <c r="U852" s="376"/>
      <c r="V852" s="376"/>
    </row>
    <row r="853" spans="1:22">
      <c r="A853" s="200"/>
      <c r="B853" s="200"/>
      <c r="C853" s="373"/>
      <c r="D853" s="200"/>
      <c r="E853" s="200"/>
      <c r="F853" s="200"/>
      <c r="G853" s="200"/>
      <c r="H853" s="200"/>
      <c r="I853" s="377"/>
      <c r="J853" s="366"/>
      <c r="K853" s="374"/>
      <c r="L853" s="366"/>
      <c r="M853" s="375"/>
      <c r="N853" s="376"/>
      <c r="O853" s="376"/>
      <c r="P853" s="376"/>
      <c r="Q853" s="376"/>
      <c r="R853" s="376"/>
      <c r="S853" s="376"/>
      <c r="T853" s="376"/>
      <c r="U853" s="376"/>
      <c r="V853" s="376"/>
    </row>
    <row r="854" spans="1:22">
      <c r="A854" s="200"/>
      <c r="B854" s="200"/>
      <c r="C854" s="373"/>
      <c r="D854" s="200"/>
      <c r="E854" s="200"/>
      <c r="F854" s="200"/>
      <c r="G854" s="200"/>
      <c r="H854" s="200"/>
      <c r="I854" s="377"/>
      <c r="J854" s="366"/>
      <c r="K854" s="374"/>
      <c r="L854" s="366"/>
      <c r="M854" s="375"/>
      <c r="N854" s="376"/>
      <c r="O854" s="376"/>
      <c r="P854" s="376"/>
      <c r="Q854" s="376"/>
      <c r="R854" s="376"/>
      <c r="S854" s="376"/>
      <c r="T854" s="376"/>
      <c r="U854" s="376"/>
      <c r="V854" s="376"/>
    </row>
    <row r="855" spans="1:22">
      <c r="A855" s="200"/>
      <c r="B855" s="200"/>
      <c r="C855" s="373"/>
      <c r="D855" s="200"/>
      <c r="E855" s="200"/>
      <c r="F855" s="200"/>
      <c r="G855" s="200"/>
      <c r="H855" s="200"/>
      <c r="I855" s="377"/>
      <c r="J855" s="366"/>
      <c r="K855" s="374"/>
      <c r="L855" s="366"/>
      <c r="M855" s="375"/>
      <c r="N855" s="376"/>
      <c r="O855" s="376"/>
      <c r="P855" s="376"/>
      <c r="Q855" s="376"/>
      <c r="R855" s="376"/>
      <c r="S855" s="376"/>
      <c r="T855" s="376"/>
      <c r="U855" s="376"/>
      <c r="V855" s="376"/>
    </row>
    <row r="856" spans="1:22">
      <c r="A856" s="200"/>
      <c r="B856" s="200"/>
      <c r="C856" s="373"/>
      <c r="D856" s="200"/>
      <c r="E856" s="200"/>
      <c r="F856" s="200"/>
      <c r="G856" s="200"/>
      <c r="H856" s="200"/>
      <c r="I856" s="377"/>
      <c r="J856" s="366"/>
      <c r="K856" s="374"/>
      <c r="L856" s="366"/>
      <c r="M856" s="375"/>
      <c r="N856" s="376"/>
      <c r="O856" s="376"/>
      <c r="P856" s="376"/>
      <c r="Q856" s="376"/>
      <c r="R856" s="376"/>
      <c r="S856" s="376"/>
      <c r="T856" s="376"/>
      <c r="U856" s="376"/>
      <c r="V856" s="376"/>
    </row>
    <row r="857" spans="1:22">
      <c r="A857" s="200"/>
      <c r="B857" s="200"/>
      <c r="C857" s="373"/>
      <c r="D857" s="200"/>
      <c r="E857" s="200"/>
      <c r="F857" s="200"/>
      <c r="G857" s="200"/>
      <c r="H857" s="200"/>
      <c r="I857" s="377"/>
      <c r="J857" s="366"/>
      <c r="K857" s="374"/>
      <c r="L857" s="366"/>
      <c r="M857" s="375"/>
      <c r="N857" s="376"/>
      <c r="O857" s="376"/>
      <c r="P857" s="376"/>
      <c r="Q857" s="376"/>
      <c r="R857" s="376"/>
      <c r="S857" s="376"/>
      <c r="T857" s="376"/>
      <c r="U857" s="376"/>
      <c r="V857" s="376"/>
    </row>
    <row r="858" spans="1:22">
      <c r="A858" s="200"/>
      <c r="B858" s="200"/>
      <c r="C858" s="373"/>
      <c r="D858" s="200"/>
      <c r="E858" s="200"/>
      <c r="F858" s="200"/>
      <c r="G858" s="200"/>
      <c r="H858" s="200"/>
      <c r="I858" s="377"/>
      <c r="J858" s="366"/>
      <c r="K858" s="374"/>
      <c r="L858" s="366"/>
      <c r="M858" s="375"/>
      <c r="N858" s="376"/>
      <c r="O858" s="376"/>
      <c r="P858" s="376"/>
      <c r="Q858" s="376"/>
      <c r="R858" s="376"/>
      <c r="S858" s="376"/>
      <c r="T858" s="376"/>
      <c r="U858" s="376"/>
      <c r="V858" s="376"/>
    </row>
    <row r="859" spans="1:22">
      <c r="A859" s="200"/>
      <c r="B859" s="200"/>
      <c r="C859" s="373"/>
      <c r="D859" s="200"/>
      <c r="E859" s="200"/>
      <c r="F859" s="200"/>
      <c r="G859" s="200"/>
      <c r="H859" s="200"/>
      <c r="I859" s="377"/>
      <c r="J859" s="366"/>
      <c r="K859" s="374"/>
      <c r="L859" s="366"/>
      <c r="M859" s="375"/>
      <c r="N859" s="376"/>
      <c r="O859" s="376"/>
      <c r="P859" s="376"/>
      <c r="Q859" s="376"/>
      <c r="R859" s="376"/>
      <c r="S859" s="376"/>
      <c r="T859" s="376"/>
      <c r="U859" s="376"/>
      <c r="V859" s="376"/>
    </row>
    <row r="860" spans="1:22">
      <c r="A860" s="200"/>
      <c r="B860" s="200"/>
      <c r="C860" s="373"/>
      <c r="D860" s="200"/>
      <c r="E860" s="200"/>
      <c r="F860" s="200"/>
      <c r="G860" s="200"/>
      <c r="H860" s="200"/>
      <c r="I860" s="377"/>
      <c r="J860" s="366"/>
      <c r="K860" s="374"/>
      <c r="L860" s="366"/>
      <c r="M860" s="375"/>
      <c r="N860" s="376"/>
      <c r="O860" s="376"/>
      <c r="P860" s="376"/>
      <c r="Q860" s="376"/>
      <c r="R860" s="376"/>
      <c r="S860" s="376"/>
      <c r="T860" s="376"/>
      <c r="U860" s="376"/>
      <c r="V860" s="376"/>
    </row>
    <row r="861" spans="1:22">
      <c r="A861" s="200"/>
      <c r="B861" s="200"/>
      <c r="C861" s="373"/>
      <c r="D861" s="200"/>
      <c r="E861" s="200"/>
      <c r="F861" s="200"/>
      <c r="G861" s="200"/>
      <c r="H861" s="200"/>
      <c r="I861" s="377"/>
      <c r="J861" s="366"/>
      <c r="K861" s="374"/>
      <c r="L861" s="366"/>
      <c r="M861" s="375"/>
      <c r="N861" s="376"/>
      <c r="O861" s="376"/>
      <c r="P861" s="376"/>
      <c r="Q861" s="376"/>
      <c r="R861" s="376"/>
      <c r="S861" s="376"/>
      <c r="T861" s="376"/>
      <c r="U861" s="376"/>
      <c r="V861" s="376"/>
    </row>
    <row r="862" spans="1:22">
      <c r="A862" s="200"/>
      <c r="B862" s="200"/>
      <c r="C862" s="373"/>
      <c r="D862" s="200"/>
      <c r="E862" s="200"/>
      <c r="F862" s="200"/>
      <c r="G862" s="200"/>
      <c r="H862" s="200"/>
      <c r="I862" s="377"/>
      <c r="J862" s="366"/>
      <c r="K862" s="374"/>
      <c r="L862" s="366"/>
      <c r="M862" s="375"/>
      <c r="N862" s="376"/>
      <c r="O862" s="376"/>
      <c r="P862" s="376"/>
      <c r="Q862" s="376"/>
      <c r="R862" s="376"/>
      <c r="S862" s="376"/>
      <c r="T862" s="376"/>
      <c r="U862" s="376"/>
      <c r="V862" s="376"/>
    </row>
    <row r="863" spans="1:22">
      <c r="A863" s="200"/>
      <c r="B863" s="200"/>
      <c r="C863" s="373"/>
      <c r="D863" s="200"/>
      <c r="E863" s="200"/>
      <c r="F863" s="200"/>
      <c r="G863" s="200"/>
      <c r="H863" s="200"/>
      <c r="I863" s="377"/>
      <c r="J863" s="366"/>
      <c r="K863" s="374"/>
      <c r="L863" s="366"/>
      <c r="M863" s="375"/>
      <c r="N863" s="376"/>
      <c r="O863" s="376"/>
      <c r="P863" s="376"/>
      <c r="Q863" s="376"/>
      <c r="R863" s="376"/>
      <c r="S863" s="376"/>
      <c r="T863" s="376"/>
      <c r="U863" s="376"/>
      <c r="V863" s="376"/>
    </row>
    <row r="864" spans="1:22">
      <c r="A864" s="200"/>
      <c r="B864" s="200"/>
      <c r="C864" s="373"/>
      <c r="D864" s="200"/>
      <c r="E864" s="200"/>
      <c r="F864" s="200"/>
      <c r="G864" s="200"/>
      <c r="H864" s="200"/>
      <c r="I864" s="377"/>
      <c r="J864" s="366"/>
      <c r="K864" s="374"/>
      <c r="L864" s="366"/>
      <c r="M864" s="375"/>
      <c r="N864" s="376"/>
      <c r="O864" s="376"/>
      <c r="P864" s="376"/>
      <c r="Q864" s="376"/>
      <c r="R864" s="376"/>
      <c r="S864" s="376"/>
      <c r="T864" s="376"/>
      <c r="U864" s="376"/>
      <c r="V864" s="376"/>
    </row>
    <row r="865" spans="1:22">
      <c r="A865" s="200"/>
      <c r="B865" s="200"/>
      <c r="C865" s="373"/>
      <c r="D865" s="200"/>
      <c r="E865" s="200"/>
      <c r="F865" s="200"/>
      <c r="G865" s="200"/>
      <c r="H865" s="200"/>
      <c r="I865" s="377"/>
      <c r="J865" s="366"/>
      <c r="K865" s="374"/>
      <c r="L865" s="366"/>
      <c r="M865" s="375"/>
      <c r="N865" s="376"/>
      <c r="O865" s="376"/>
      <c r="P865" s="376"/>
      <c r="Q865" s="376"/>
      <c r="R865" s="376"/>
      <c r="S865" s="376"/>
      <c r="T865" s="376"/>
      <c r="U865" s="376"/>
      <c r="V865" s="376"/>
    </row>
    <row r="866" spans="1:22">
      <c r="A866" s="200"/>
      <c r="B866" s="200"/>
      <c r="C866" s="373"/>
      <c r="D866" s="200"/>
      <c r="E866" s="200"/>
      <c r="F866" s="200"/>
      <c r="G866" s="200"/>
      <c r="H866" s="200"/>
      <c r="I866" s="377"/>
      <c r="J866" s="366"/>
      <c r="K866" s="374"/>
      <c r="L866" s="366"/>
      <c r="M866" s="375"/>
      <c r="N866" s="376"/>
      <c r="O866" s="376"/>
      <c r="P866" s="376"/>
      <c r="Q866" s="376"/>
      <c r="R866" s="376"/>
      <c r="S866" s="376"/>
      <c r="T866" s="376"/>
      <c r="U866" s="376"/>
      <c r="V866" s="376"/>
    </row>
    <row r="867" spans="1:22">
      <c r="A867" s="200"/>
      <c r="B867" s="200"/>
      <c r="C867" s="373"/>
      <c r="D867" s="200"/>
      <c r="E867" s="200"/>
      <c r="F867" s="200"/>
      <c r="G867" s="200"/>
      <c r="H867" s="200"/>
      <c r="I867" s="377"/>
      <c r="J867" s="366"/>
      <c r="K867" s="374"/>
      <c r="L867" s="366"/>
      <c r="M867" s="375"/>
      <c r="N867" s="376"/>
      <c r="O867" s="376"/>
      <c r="P867" s="376"/>
      <c r="Q867" s="376"/>
      <c r="R867" s="376"/>
      <c r="S867" s="376"/>
      <c r="T867" s="376"/>
      <c r="U867" s="376"/>
      <c r="V867" s="376"/>
    </row>
    <row r="868" spans="1:22">
      <c r="A868" s="200"/>
      <c r="B868" s="200"/>
      <c r="C868" s="373"/>
      <c r="D868" s="200"/>
      <c r="E868" s="200"/>
      <c r="F868" s="200"/>
      <c r="G868" s="200"/>
      <c r="H868" s="200"/>
      <c r="I868" s="377"/>
      <c r="J868" s="366"/>
      <c r="K868" s="374"/>
      <c r="L868" s="366"/>
      <c r="M868" s="375"/>
      <c r="N868" s="376"/>
      <c r="O868" s="376"/>
      <c r="P868" s="376"/>
      <c r="Q868" s="376"/>
      <c r="R868" s="376"/>
      <c r="S868" s="376"/>
      <c r="T868" s="376"/>
      <c r="U868" s="376"/>
      <c r="V868" s="376"/>
    </row>
    <row r="869" spans="1:22">
      <c r="A869" s="200"/>
      <c r="B869" s="200"/>
      <c r="C869" s="373"/>
      <c r="D869" s="200"/>
      <c r="E869" s="200"/>
      <c r="F869" s="200"/>
      <c r="G869" s="200"/>
      <c r="H869" s="200"/>
      <c r="I869" s="377"/>
      <c r="J869" s="366"/>
      <c r="K869" s="374"/>
      <c r="L869" s="366"/>
      <c r="M869" s="375"/>
      <c r="N869" s="376"/>
      <c r="O869" s="376"/>
      <c r="P869" s="376"/>
      <c r="Q869" s="376"/>
      <c r="R869" s="376"/>
      <c r="S869" s="376"/>
      <c r="T869" s="376"/>
      <c r="U869" s="376"/>
      <c r="V869" s="376"/>
    </row>
    <row r="870" spans="1:22">
      <c r="A870" s="200"/>
      <c r="B870" s="200"/>
      <c r="C870" s="373"/>
      <c r="D870" s="200"/>
      <c r="E870" s="200"/>
      <c r="F870" s="200"/>
      <c r="G870" s="200"/>
      <c r="H870" s="200"/>
      <c r="I870" s="377"/>
      <c r="J870" s="366"/>
      <c r="K870" s="374"/>
      <c r="L870" s="366"/>
      <c r="M870" s="375"/>
      <c r="N870" s="376"/>
      <c r="O870" s="376"/>
      <c r="P870" s="376"/>
      <c r="Q870" s="376"/>
      <c r="R870" s="376"/>
      <c r="S870" s="376"/>
      <c r="T870" s="376"/>
      <c r="U870" s="376"/>
      <c r="V870" s="376"/>
    </row>
    <row r="871" spans="1:22">
      <c r="A871" s="200"/>
      <c r="B871" s="200"/>
      <c r="C871" s="373"/>
      <c r="D871" s="200"/>
      <c r="E871" s="200"/>
      <c r="F871" s="200"/>
      <c r="G871" s="200"/>
      <c r="H871" s="200"/>
      <c r="I871" s="377"/>
      <c r="J871" s="366"/>
      <c r="K871" s="374"/>
      <c r="L871" s="366"/>
      <c r="M871" s="375"/>
      <c r="N871" s="376"/>
      <c r="O871" s="376"/>
      <c r="P871" s="376"/>
      <c r="Q871" s="376"/>
      <c r="R871" s="376"/>
      <c r="S871" s="376"/>
      <c r="T871" s="376"/>
      <c r="U871" s="376"/>
      <c r="V871" s="376"/>
    </row>
    <row r="872" spans="1:22">
      <c r="A872" s="200"/>
      <c r="B872" s="200"/>
      <c r="C872" s="373"/>
      <c r="D872" s="200"/>
      <c r="E872" s="200"/>
      <c r="F872" s="200"/>
      <c r="G872" s="200"/>
      <c r="H872" s="200"/>
      <c r="I872" s="377"/>
      <c r="J872" s="366"/>
      <c r="K872" s="374"/>
      <c r="L872" s="366"/>
      <c r="M872" s="375"/>
      <c r="N872" s="376"/>
      <c r="O872" s="376"/>
      <c r="P872" s="376"/>
      <c r="Q872" s="376"/>
      <c r="R872" s="376"/>
      <c r="S872" s="376"/>
      <c r="T872" s="376"/>
      <c r="U872" s="376"/>
      <c r="V872" s="376"/>
    </row>
    <row r="873" spans="1:22">
      <c r="A873" s="200"/>
      <c r="B873" s="200"/>
      <c r="C873" s="373"/>
      <c r="D873" s="200"/>
      <c r="E873" s="200"/>
      <c r="F873" s="200"/>
      <c r="G873" s="200"/>
      <c r="H873" s="200"/>
      <c r="I873" s="377"/>
      <c r="J873" s="366"/>
      <c r="K873" s="374"/>
      <c r="L873" s="366"/>
      <c r="M873" s="375"/>
      <c r="N873" s="376"/>
      <c r="O873" s="376"/>
      <c r="P873" s="376"/>
      <c r="Q873" s="376"/>
      <c r="R873" s="376"/>
      <c r="S873" s="376"/>
      <c r="T873" s="376"/>
      <c r="U873" s="376"/>
      <c r="V873" s="376"/>
    </row>
    <row r="874" spans="1:22">
      <c r="A874" s="200"/>
      <c r="B874" s="200"/>
      <c r="C874" s="373"/>
      <c r="D874" s="200"/>
      <c r="E874" s="200"/>
      <c r="F874" s="200"/>
      <c r="G874" s="200"/>
      <c r="H874" s="200"/>
      <c r="I874" s="377"/>
      <c r="J874" s="366"/>
      <c r="K874" s="374"/>
      <c r="L874" s="366"/>
      <c r="M874" s="375"/>
      <c r="N874" s="376"/>
      <c r="O874" s="376"/>
      <c r="P874" s="376"/>
      <c r="Q874" s="376"/>
      <c r="R874" s="376"/>
      <c r="S874" s="376"/>
      <c r="T874" s="376"/>
      <c r="U874" s="376"/>
      <c r="V874" s="376"/>
    </row>
    <row r="875" spans="1:22">
      <c r="A875" s="200"/>
      <c r="B875" s="200"/>
      <c r="C875" s="373"/>
      <c r="D875" s="200"/>
      <c r="E875" s="200"/>
      <c r="F875" s="200"/>
      <c r="G875" s="200"/>
      <c r="H875" s="200"/>
      <c r="I875" s="377"/>
      <c r="J875" s="366"/>
      <c r="K875" s="374"/>
      <c r="L875" s="366"/>
      <c r="M875" s="375"/>
      <c r="N875" s="376"/>
      <c r="O875" s="376"/>
      <c r="P875" s="376"/>
      <c r="Q875" s="376"/>
      <c r="R875" s="376"/>
      <c r="S875" s="376"/>
      <c r="T875" s="376"/>
      <c r="U875" s="376"/>
      <c r="V875" s="376"/>
    </row>
    <row r="876" spans="1:22">
      <c r="A876" s="200"/>
      <c r="B876" s="200"/>
      <c r="C876" s="373"/>
      <c r="D876" s="200"/>
      <c r="E876" s="200"/>
      <c r="F876" s="200"/>
      <c r="G876" s="200"/>
      <c r="H876" s="200"/>
      <c r="I876" s="377"/>
      <c r="J876" s="366"/>
      <c r="K876" s="374"/>
      <c r="L876" s="366"/>
      <c r="M876" s="375"/>
      <c r="N876" s="376"/>
      <c r="O876" s="376"/>
      <c r="P876" s="376"/>
      <c r="Q876" s="376"/>
      <c r="R876" s="376"/>
      <c r="S876" s="376"/>
      <c r="T876" s="376"/>
      <c r="U876" s="376"/>
      <c r="V876" s="376"/>
    </row>
    <row r="877" spans="1:22">
      <c r="A877" s="200"/>
      <c r="B877" s="200"/>
      <c r="C877" s="373"/>
      <c r="D877" s="200"/>
      <c r="E877" s="200"/>
      <c r="F877" s="200"/>
      <c r="G877" s="200"/>
      <c r="H877" s="200"/>
      <c r="I877" s="377"/>
      <c r="J877" s="366"/>
      <c r="K877" s="374"/>
      <c r="L877" s="366"/>
      <c r="M877" s="375"/>
      <c r="N877" s="376"/>
      <c r="O877" s="376"/>
      <c r="P877" s="376"/>
      <c r="Q877" s="376"/>
      <c r="R877" s="376"/>
      <c r="S877" s="376"/>
      <c r="T877" s="376"/>
      <c r="U877" s="376"/>
      <c r="V877" s="376"/>
    </row>
    <row r="878" spans="1:22">
      <c r="A878" s="200"/>
      <c r="B878" s="200"/>
      <c r="C878" s="373"/>
      <c r="D878" s="200"/>
      <c r="E878" s="200"/>
      <c r="F878" s="200"/>
      <c r="G878" s="200"/>
      <c r="H878" s="200"/>
      <c r="I878" s="377"/>
      <c r="J878" s="366"/>
      <c r="K878" s="374"/>
      <c r="L878" s="366"/>
      <c r="M878" s="375"/>
      <c r="N878" s="376"/>
      <c r="O878" s="376"/>
      <c r="P878" s="376"/>
      <c r="Q878" s="376"/>
      <c r="R878" s="376"/>
      <c r="S878" s="376"/>
      <c r="T878" s="376"/>
      <c r="U878" s="376"/>
      <c r="V878" s="376"/>
    </row>
    <row r="879" spans="1:22">
      <c r="A879" s="200"/>
      <c r="B879" s="200"/>
      <c r="C879" s="373"/>
      <c r="D879" s="200"/>
      <c r="E879" s="200"/>
      <c r="F879" s="200"/>
      <c r="G879" s="200"/>
      <c r="H879" s="200"/>
      <c r="I879" s="377"/>
      <c r="J879" s="366"/>
      <c r="K879" s="374"/>
      <c r="L879" s="366"/>
      <c r="M879" s="375"/>
      <c r="N879" s="376"/>
      <c r="O879" s="376"/>
      <c r="P879" s="376"/>
      <c r="Q879" s="376"/>
      <c r="R879" s="376"/>
      <c r="S879" s="376"/>
      <c r="T879" s="376"/>
      <c r="U879" s="376"/>
      <c r="V879" s="376"/>
    </row>
    <row r="880" spans="1:22">
      <c r="A880" s="200"/>
      <c r="B880" s="200"/>
      <c r="C880" s="373"/>
      <c r="D880" s="200"/>
      <c r="E880" s="200"/>
      <c r="F880" s="200"/>
      <c r="G880" s="200"/>
      <c r="H880" s="200"/>
      <c r="I880" s="377"/>
      <c r="J880" s="366"/>
      <c r="K880" s="374"/>
      <c r="L880" s="366"/>
      <c r="M880" s="375"/>
      <c r="N880" s="376"/>
      <c r="O880" s="376"/>
      <c r="P880" s="376"/>
      <c r="Q880" s="376"/>
      <c r="R880" s="376"/>
      <c r="S880" s="376"/>
      <c r="T880" s="376"/>
      <c r="U880" s="376"/>
      <c r="V880" s="376"/>
    </row>
    <row r="881" spans="1:22">
      <c r="A881" s="200"/>
      <c r="B881" s="200"/>
      <c r="C881" s="373"/>
      <c r="D881" s="200"/>
      <c r="E881" s="200"/>
      <c r="F881" s="200"/>
      <c r="G881" s="200"/>
      <c r="H881" s="200"/>
      <c r="I881" s="377"/>
      <c r="J881" s="366"/>
      <c r="K881" s="374"/>
      <c r="L881" s="366"/>
      <c r="M881" s="375"/>
      <c r="N881" s="376"/>
      <c r="O881" s="376"/>
      <c r="P881" s="376"/>
      <c r="Q881" s="376"/>
      <c r="R881" s="376"/>
      <c r="S881" s="376"/>
      <c r="T881" s="376"/>
      <c r="U881" s="376"/>
      <c r="V881" s="376"/>
    </row>
    <row r="882" spans="1:22">
      <c r="A882" s="200"/>
      <c r="B882" s="200"/>
      <c r="C882" s="373"/>
      <c r="D882" s="200"/>
      <c r="E882" s="200"/>
      <c r="F882" s="200"/>
      <c r="G882" s="200"/>
      <c r="H882" s="200"/>
      <c r="I882" s="377"/>
      <c r="J882" s="366"/>
      <c r="K882" s="374"/>
      <c r="L882" s="366"/>
      <c r="M882" s="375"/>
      <c r="N882" s="376"/>
      <c r="O882" s="376"/>
      <c r="P882" s="376"/>
      <c r="Q882" s="376"/>
      <c r="R882" s="376"/>
      <c r="S882" s="376"/>
      <c r="T882" s="376"/>
      <c r="U882" s="376"/>
      <c r="V882" s="376"/>
    </row>
    <row r="883" spans="1:22">
      <c r="A883" s="200"/>
      <c r="B883" s="200"/>
      <c r="C883" s="373"/>
      <c r="D883" s="200"/>
      <c r="E883" s="200"/>
      <c r="F883" s="200"/>
      <c r="G883" s="200"/>
      <c r="H883" s="200"/>
      <c r="I883" s="377"/>
      <c r="J883" s="366"/>
      <c r="K883" s="374"/>
      <c r="L883" s="366"/>
      <c r="M883" s="375"/>
      <c r="N883" s="376"/>
      <c r="O883" s="376"/>
      <c r="P883" s="376"/>
      <c r="Q883" s="376"/>
      <c r="R883" s="376"/>
      <c r="S883" s="376"/>
      <c r="T883" s="376"/>
      <c r="U883" s="376"/>
      <c r="V883" s="376"/>
    </row>
    <row r="884" spans="1:22">
      <c r="A884" s="200"/>
      <c r="B884" s="200"/>
      <c r="C884" s="373"/>
      <c r="D884" s="200"/>
      <c r="E884" s="200"/>
      <c r="F884" s="200"/>
      <c r="G884" s="200"/>
      <c r="H884" s="200"/>
      <c r="I884" s="377"/>
      <c r="J884" s="366"/>
      <c r="K884" s="374"/>
      <c r="L884" s="366"/>
      <c r="M884" s="375"/>
      <c r="N884" s="376"/>
      <c r="O884" s="376"/>
      <c r="P884" s="376"/>
      <c r="Q884" s="376"/>
      <c r="R884" s="376"/>
      <c r="S884" s="376"/>
      <c r="T884" s="376"/>
      <c r="U884" s="376"/>
      <c r="V884" s="376"/>
    </row>
    <row r="885" spans="1:22">
      <c r="A885" s="200"/>
      <c r="B885" s="200"/>
      <c r="C885" s="373"/>
      <c r="D885" s="200"/>
      <c r="E885" s="200"/>
      <c r="F885" s="200"/>
      <c r="G885" s="200"/>
      <c r="H885" s="200"/>
      <c r="I885" s="377"/>
      <c r="J885" s="366"/>
      <c r="K885" s="374"/>
      <c r="L885" s="366"/>
      <c r="M885" s="375"/>
      <c r="N885" s="376"/>
      <c r="O885" s="376"/>
      <c r="P885" s="376"/>
      <c r="Q885" s="376"/>
      <c r="R885" s="376"/>
      <c r="S885" s="376"/>
      <c r="T885" s="376"/>
      <c r="U885" s="376"/>
      <c r="V885" s="376"/>
    </row>
    <row r="886" spans="1:22">
      <c r="A886" s="200"/>
      <c r="B886" s="200"/>
      <c r="C886" s="373"/>
      <c r="D886" s="200"/>
      <c r="E886" s="200"/>
      <c r="F886" s="200"/>
      <c r="G886" s="200"/>
      <c r="H886" s="200"/>
      <c r="I886" s="377"/>
      <c r="J886" s="366"/>
      <c r="K886" s="374"/>
      <c r="L886" s="366"/>
      <c r="M886" s="375"/>
      <c r="N886" s="376"/>
      <c r="O886" s="376"/>
      <c r="P886" s="376"/>
      <c r="Q886" s="376"/>
      <c r="R886" s="376"/>
      <c r="S886" s="376"/>
      <c r="T886" s="376"/>
      <c r="U886" s="376"/>
      <c r="V886" s="376"/>
    </row>
    <row r="887" spans="1:22">
      <c r="A887" s="200"/>
      <c r="B887" s="200"/>
      <c r="C887" s="373"/>
      <c r="D887" s="200"/>
      <c r="E887" s="200"/>
      <c r="F887" s="200"/>
      <c r="G887" s="200"/>
      <c r="H887" s="200"/>
      <c r="I887" s="377"/>
      <c r="J887" s="366"/>
      <c r="K887" s="374"/>
      <c r="L887" s="366"/>
      <c r="M887" s="375"/>
      <c r="N887" s="376"/>
      <c r="O887" s="376"/>
      <c r="P887" s="376"/>
      <c r="Q887" s="376"/>
      <c r="R887" s="376"/>
      <c r="S887" s="376"/>
      <c r="T887" s="376"/>
      <c r="U887" s="376"/>
      <c r="V887" s="376"/>
    </row>
    <row r="888" spans="1:22">
      <c r="A888" s="200"/>
      <c r="B888" s="200"/>
      <c r="C888" s="373"/>
      <c r="D888" s="200"/>
      <c r="E888" s="200"/>
      <c r="F888" s="200"/>
      <c r="G888" s="200"/>
      <c r="H888" s="200"/>
      <c r="I888" s="377"/>
      <c r="J888" s="366"/>
      <c r="K888" s="374"/>
      <c r="L888" s="366"/>
      <c r="M888" s="375"/>
      <c r="N888" s="376"/>
      <c r="O888" s="376"/>
      <c r="P888" s="376"/>
      <c r="Q888" s="376"/>
      <c r="R888" s="376"/>
      <c r="S888" s="376"/>
      <c r="T888" s="376"/>
      <c r="U888" s="376"/>
      <c r="V888" s="376"/>
    </row>
    <row r="889" spans="1:22">
      <c r="A889" s="200"/>
      <c r="B889" s="200"/>
      <c r="C889" s="373"/>
      <c r="D889" s="200"/>
      <c r="E889" s="200"/>
      <c r="F889" s="200"/>
      <c r="G889" s="200"/>
      <c r="H889" s="200"/>
      <c r="I889" s="377"/>
      <c r="J889" s="366"/>
      <c r="K889" s="374"/>
      <c r="L889" s="366"/>
      <c r="M889" s="375"/>
      <c r="N889" s="376"/>
      <c r="O889" s="376"/>
      <c r="P889" s="376"/>
      <c r="Q889" s="376"/>
      <c r="R889" s="376"/>
      <c r="S889" s="376"/>
      <c r="T889" s="376"/>
      <c r="U889" s="376"/>
      <c r="V889" s="376"/>
    </row>
    <row r="890" spans="1:22">
      <c r="A890" s="200"/>
      <c r="B890" s="200"/>
      <c r="C890" s="373"/>
      <c r="D890" s="200"/>
      <c r="E890" s="200"/>
      <c r="F890" s="200"/>
      <c r="G890" s="200"/>
      <c r="H890" s="200"/>
      <c r="I890" s="377"/>
      <c r="J890" s="366"/>
      <c r="K890" s="374"/>
      <c r="L890" s="366"/>
      <c r="M890" s="375"/>
      <c r="N890" s="376"/>
      <c r="O890" s="376"/>
      <c r="P890" s="376"/>
      <c r="Q890" s="376"/>
      <c r="R890" s="376"/>
      <c r="S890" s="376"/>
      <c r="T890" s="376"/>
      <c r="U890" s="376"/>
      <c r="V890" s="376"/>
    </row>
    <row r="891" spans="1:22">
      <c r="A891" s="200"/>
      <c r="B891" s="200"/>
      <c r="C891" s="373"/>
      <c r="D891" s="200"/>
      <c r="E891" s="200"/>
      <c r="F891" s="200"/>
      <c r="G891" s="200"/>
      <c r="H891" s="200"/>
      <c r="I891" s="377"/>
      <c r="J891" s="366"/>
      <c r="K891" s="374"/>
      <c r="L891" s="366"/>
      <c r="M891" s="375"/>
      <c r="N891" s="376"/>
      <c r="O891" s="376"/>
      <c r="P891" s="376"/>
      <c r="Q891" s="376"/>
      <c r="R891" s="376"/>
      <c r="S891" s="376"/>
      <c r="T891" s="376"/>
      <c r="U891" s="376"/>
      <c r="V891" s="376"/>
    </row>
    <row r="892" spans="1:22">
      <c r="A892" s="200"/>
      <c r="B892" s="200"/>
      <c r="C892" s="373"/>
      <c r="D892" s="200"/>
      <c r="E892" s="200"/>
      <c r="F892" s="200"/>
      <c r="G892" s="200"/>
      <c r="H892" s="200"/>
      <c r="I892" s="377"/>
      <c r="J892" s="366"/>
      <c r="K892" s="374"/>
      <c r="L892" s="366"/>
      <c r="M892" s="375"/>
      <c r="N892" s="376"/>
      <c r="O892" s="376"/>
      <c r="P892" s="376"/>
      <c r="Q892" s="376"/>
      <c r="R892" s="376"/>
      <c r="S892" s="376"/>
      <c r="T892" s="376"/>
      <c r="U892" s="376"/>
      <c r="V892" s="376"/>
    </row>
    <row r="893" spans="1:22">
      <c r="A893" s="200"/>
      <c r="B893" s="200"/>
      <c r="C893" s="373"/>
      <c r="D893" s="200"/>
      <c r="E893" s="200"/>
      <c r="F893" s="200"/>
      <c r="G893" s="200"/>
      <c r="H893" s="200"/>
      <c r="I893" s="377"/>
      <c r="J893" s="366"/>
      <c r="K893" s="374"/>
      <c r="L893" s="366"/>
      <c r="M893" s="375"/>
      <c r="N893" s="376"/>
      <c r="O893" s="376"/>
      <c r="P893" s="376"/>
      <c r="Q893" s="376"/>
      <c r="R893" s="376"/>
      <c r="S893" s="376"/>
      <c r="T893" s="376"/>
      <c r="U893" s="376"/>
      <c r="V893" s="376"/>
    </row>
    <row r="894" spans="1:22">
      <c r="A894" s="200"/>
      <c r="B894" s="200"/>
      <c r="C894" s="373"/>
      <c r="D894" s="200"/>
      <c r="E894" s="200"/>
      <c r="F894" s="200"/>
      <c r="G894" s="200"/>
      <c r="H894" s="200"/>
      <c r="I894" s="377"/>
      <c r="J894" s="366"/>
      <c r="K894" s="374"/>
      <c r="L894" s="366"/>
      <c r="M894" s="375"/>
      <c r="N894" s="376"/>
      <c r="O894" s="376"/>
      <c r="P894" s="376"/>
      <c r="Q894" s="376"/>
      <c r="R894" s="376"/>
      <c r="S894" s="376"/>
      <c r="T894" s="376"/>
      <c r="U894" s="376"/>
      <c r="V894" s="376"/>
    </row>
    <row r="895" spans="1:22">
      <c r="A895" s="200"/>
      <c r="B895" s="200"/>
      <c r="C895" s="373"/>
      <c r="D895" s="200"/>
      <c r="E895" s="200"/>
      <c r="F895" s="200"/>
      <c r="G895" s="200"/>
      <c r="H895" s="200"/>
      <c r="I895" s="377"/>
      <c r="J895" s="366"/>
      <c r="K895" s="374"/>
      <c r="L895" s="366"/>
      <c r="M895" s="375"/>
      <c r="N895" s="376"/>
      <c r="O895" s="376"/>
      <c r="P895" s="376"/>
      <c r="Q895" s="376"/>
      <c r="R895" s="376"/>
      <c r="S895" s="376"/>
      <c r="T895" s="376"/>
      <c r="U895" s="376"/>
      <c r="V895" s="376"/>
    </row>
    <row r="896" spans="1:22">
      <c r="A896" s="200"/>
      <c r="B896" s="200"/>
      <c r="C896" s="373"/>
      <c r="D896" s="200"/>
      <c r="E896" s="200"/>
      <c r="F896" s="200"/>
      <c r="G896" s="200"/>
      <c r="H896" s="200"/>
      <c r="I896" s="377"/>
      <c r="J896" s="366"/>
      <c r="K896" s="374"/>
      <c r="L896" s="366"/>
      <c r="M896" s="375"/>
      <c r="N896" s="376"/>
      <c r="O896" s="376"/>
      <c r="P896" s="376"/>
      <c r="Q896" s="376"/>
      <c r="R896" s="376"/>
      <c r="S896" s="376"/>
      <c r="T896" s="376"/>
      <c r="U896" s="376"/>
      <c r="V896" s="376"/>
    </row>
    <row r="897" spans="1:22">
      <c r="A897" s="200"/>
      <c r="B897" s="200"/>
      <c r="C897" s="373"/>
      <c r="D897" s="200"/>
      <c r="E897" s="200"/>
      <c r="F897" s="200"/>
      <c r="G897" s="200"/>
      <c r="H897" s="200"/>
      <c r="I897" s="377"/>
      <c r="J897" s="366"/>
      <c r="K897" s="374"/>
      <c r="L897" s="366"/>
      <c r="M897" s="375"/>
      <c r="N897" s="376"/>
      <c r="O897" s="376"/>
      <c r="P897" s="376"/>
      <c r="Q897" s="376"/>
      <c r="R897" s="376"/>
      <c r="S897" s="376"/>
      <c r="T897" s="376"/>
      <c r="U897" s="376"/>
      <c r="V897" s="376"/>
    </row>
    <row r="898" spans="1:22">
      <c r="A898" s="200"/>
      <c r="B898" s="200"/>
      <c r="C898" s="373"/>
      <c r="D898" s="200"/>
      <c r="E898" s="200"/>
      <c r="F898" s="200"/>
      <c r="G898" s="200"/>
      <c r="H898" s="200"/>
      <c r="I898" s="377"/>
      <c r="J898" s="366"/>
      <c r="K898" s="374"/>
      <c r="L898" s="366"/>
      <c r="M898" s="375"/>
      <c r="N898" s="376"/>
      <c r="O898" s="376"/>
      <c r="P898" s="376"/>
      <c r="Q898" s="376"/>
      <c r="R898" s="376"/>
      <c r="S898" s="376"/>
      <c r="T898" s="376"/>
      <c r="U898" s="376"/>
      <c r="V898" s="376"/>
    </row>
    <row r="899" spans="1:22">
      <c r="A899" s="200"/>
      <c r="B899" s="200"/>
      <c r="C899" s="373"/>
      <c r="D899" s="200"/>
      <c r="E899" s="200"/>
      <c r="F899" s="200"/>
      <c r="G899" s="200"/>
      <c r="H899" s="200"/>
      <c r="I899" s="377"/>
      <c r="J899" s="366"/>
      <c r="K899" s="374"/>
      <c r="L899" s="366"/>
      <c r="M899" s="375"/>
      <c r="N899" s="376"/>
      <c r="O899" s="376"/>
      <c r="P899" s="376"/>
      <c r="Q899" s="376"/>
      <c r="R899" s="376"/>
      <c r="S899" s="376"/>
      <c r="T899" s="376"/>
      <c r="U899" s="376"/>
      <c r="V899" s="376"/>
    </row>
    <row r="900" spans="1:22">
      <c r="A900" s="200"/>
      <c r="B900" s="200"/>
      <c r="C900" s="373"/>
      <c r="D900" s="200"/>
      <c r="E900" s="200"/>
      <c r="F900" s="200"/>
      <c r="G900" s="200"/>
      <c r="H900" s="200"/>
      <c r="I900" s="377"/>
      <c r="J900" s="366"/>
      <c r="K900" s="374"/>
      <c r="L900" s="366"/>
      <c r="M900" s="375"/>
      <c r="N900" s="376"/>
      <c r="O900" s="376"/>
      <c r="P900" s="376"/>
      <c r="Q900" s="376"/>
      <c r="R900" s="376"/>
      <c r="S900" s="376"/>
      <c r="T900" s="376"/>
      <c r="U900" s="376"/>
      <c r="V900" s="376"/>
    </row>
    <row r="901" spans="1:22">
      <c r="A901" s="200"/>
      <c r="B901" s="200"/>
      <c r="C901" s="373"/>
      <c r="D901" s="200"/>
      <c r="E901" s="200"/>
      <c r="F901" s="200"/>
      <c r="G901" s="200"/>
      <c r="H901" s="200"/>
      <c r="I901" s="377"/>
      <c r="J901" s="366"/>
      <c r="K901" s="374"/>
      <c r="L901" s="366"/>
      <c r="M901" s="375"/>
      <c r="N901" s="376"/>
      <c r="O901" s="376"/>
      <c r="P901" s="376"/>
      <c r="Q901" s="376"/>
      <c r="R901" s="376"/>
      <c r="S901" s="376"/>
      <c r="T901" s="376"/>
      <c r="U901" s="376"/>
      <c r="V901" s="376"/>
    </row>
    <row r="902" spans="1:22">
      <c r="A902" s="200"/>
      <c r="B902" s="200"/>
      <c r="C902" s="373"/>
      <c r="D902" s="200"/>
      <c r="E902" s="200"/>
      <c r="F902" s="200"/>
      <c r="G902" s="200"/>
      <c r="H902" s="200"/>
      <c r="I902" s="377"/>
      <c r="J902" s="366"/>
      <c r="K902" s="374"/>
      <c r="L902" s="366"/>
      <c r="M902" s="375"/>
      <c r="N902" s="376"/>
      <c r="O902" s="376"/>
      <c r="P902" s="376"/>
      <c r="Q902" s="376"/>
      <c r="R902" s="376"/>
      <c r="S902" s="376"/>
      <c r="T902" s="376"/>
      <c r="U902" s="376"/>
      <c r="V902" s="376"/>
    </row>
    <row r="903" spans="1:22">
      <c r="A903" s="200"/>
      <c r="B903" s="200"/>
      <c r="C903" s="373"/>
      <c r="D903" s="200"/>
      <c r="E903" s="200"/>
      <c r="F903" s="200"/>
      <c r="G903" s="200"/>
      <c r="H903" s="200"/>
      <c r="I903" s="377"/>
      <c r="J903" s="366"/>
      <c r="K903" s="374"/>
      <c r="L903" s="366"/>
      <c r="M903" s="375"/>
      <c r="N903" s="376"/>
      <c r="O903" s="376"/>
      <c r="P903" s="376"/>
      <c r="Q903" s="376"/>
      <c r="R903" s="376"/>
      <c r="S903" s="376"/>
      <c r="T903" s="376"/>
      <c r="U903" s="376"/>
      <c r="V903" s="376"/>
    </row>
    <row r="904" spans="1:22">
      <c r="A904" s="200"/>
      <c r="B904" s="200"/>
      <c r="C904" s="373"/>
      <c r="D904" s="200"/>
      <c r="E904" s="200"/>
      <c r="F904" s="200"/>
      <c r="G904" s="200"/>
      <c r="H904" s="200"/>
      <c r="I904" s="377"/>
      <c r="J904" s="366"/>
      <c r="K904" s="374"/>
      <c r="L904" s="366"/>
      <c r="M904" s="375"/>
      <c r="N904" s="376"/>
      <c r="O904" s="376"/>
      <c r="P904" s="376"/>
      <c r="Q904" s="376"/>
      <c r="R904" s="376"/>
      <c r="S904" s="376"/>
      <c r="T904" s="376"/>
      <c r="U904" s="376"/>
      <c r="V904" s="376"/>
    </row>
    <row r="905" spans="1:22">
      <c r="A905" s="200"/>
      <c r="B905" s="200"/>
      <c r="C905" s="373"/>
      <c r="D905" s="200"/>
      <c r="E905" s="200"/>
      <c r="F905" s="200"/>
      <c r="G905" s="200"/>
      <c r="H905" s="200"/>
      <c r="I905" s="377"/>
      <c r="J905" s="366"/>
      <c r="K905" s="374"/>
      <c r="L905" s="366"/>
      <c r="M905" s="375"/>
      <c r="N905" s="376"/>
      <c r="O905" s="376"/>
      <c r="P905" s="376"/>
      <c r="Q905" s="376"/>
      <c r="R905" s="376"/>
      <c r="S905" s="376"/>
      <c r="T905" s="376"/>
      <c r="U905" s="376"/>
      <c r="V905" s="376"/>
    </row>
    <row r="906" spans="1:22">
      <c r="A906" s="200"/>
      <c r="B906" s="200"/>
      <c r="C906" s="373"/>
      <c r="D906" s="200"/>
      <c r="E906" s="200"/>
      <c r="F906" s="200"/>
      <c r="G906" s="200"/>
      <c r="H906" s="200"/>
      <c r="I906" s="377"/>
      <c r="J906" s="366"/>
      <c r="K906" s="374"/>
      <c r="L906" s="366"/>
      <c r="M906" s="375"/>
      <c r="N906" s="376"/>
      <c r="O906" s="376"/>
      <c r="P906" s="376"/>
      <c r="Q906" s="376"/>
      <c r="R906" s="376"/>
      <c r="S906" s="376"/>
      <c r="T906" s="376"/>
      <c r="U906" s="376"/>
      <c r="V906" s="376"/>
    </row>
    <row r="907" spans="1:22">
      <c r="A907" s="200"/>
      <c r="B907" s="200"/>
      <c r="C907" s="373"/>
      <c r="D907" s="200"/>
      <c r="E907" s="200"/>
      <c r="F907" s="200"/>
      <c r="G907" s="200"/>
      <c r="H907" s="200"/>
      <c r="I907" s="377"/>
      <c r="J907" s="366"/>
      <c r="K907" s="374"/>
      <c r="L907" s="366"/>
      <c r="M907" s="375"/>
      <c r="N907" s="376"/>
      <c r="O907" s="376"/>
      <c r="P907" s="376"/>
      <c r="Q907" s="376"/>
      <c r="R907" s="376"/>
      <c r="S907" s="376"/>
      <c r="T907" s="376"/>
      <c r="U907" s="376"/>
      <c r="V907" s="376"/>
    </row>
    <row r="908" spans="1:22">
      <c r="A908" s="200"/>
      <c r="B908" s="200"/>
      <c r="C908" s="373"/>
      <c r="D908" s="200"/>
      <c r="E908" s="200"/>
      <c r="F908" s="200"/>
      <c r="G908" s="200"/>
      <c r="H908" s="200"/>
      <c r="I908" s="377"/>
      <c r="J908" s="366"/>
      <c r="K908" s="374"/>
      <c r="L908" s="366"/>
      <c r="M908" s="375"/>
      <c r="N908" s="376"/>
      <c r="O908" s="376"/>
      <c r="P908" s="376"/>
      <c r="Q908" s="376"/>
      <c r="R908" s="376"/>
      <c r="S908" s="376"/>
      <c r="T908" s="376"/>
      <c r="U908" s="376"/>
      <c r="V908" s="376"/>
    </row>
    <row r="909" spans="1:22">
      <c r="A909" s="200"/>
      <c r="B909" s="200"/>
      <c r="C909" s="373"/>
      <c r="D909" s="200"/>
      <c r="E909" s="200"/>
      <c r="F909" s="200"/>
      <c r="G909" s="200"/>
      <c r="H909" s="200"/>
      <c r="I909" s="377"/>
      <c r="J909" s="366"/>
      <c r="K909" s="374"/>
      <c r="L909" s="366"/>
      <c r="M909" s="375"/>
      <c r="N909" s="376"/>
      <c r="O909" s="376"/>
      <c r="P909" s="376"/>
      <c r="Q909" s="376"/>
      <c r="R909" s="376"/>
      <c r="S909" s="376"/>
      <c r="T909" s="376"/>
      <c r="U909" s="376"/>
      <c r="V909" s="376"/>
    </row>
    <row r="910" spans="1:22">
      <c r="A910" s="200"/>
      <c r="B910" s="200"/>
      <c r="C910" s="373"/>
      <c r="D910" s="200"/>
      <c r="E910" s="200"/>
      <c r="F910" s="200"/>
      <c r="G910" s="200"/>
      <c r="H910" s="200"/>
      <c r="I910" s="377"/>
      <c r="J910" s="366"/>
      <c r="K910" s="374"/>
      <c r="L910" s="366"/>
      <c r="M910" s="375"/>
      <c r="N910" s="376"/>
      <c r="O910" s="376"/>
      <c r="P910" s="376"/>
      <c r="Q910" s="376"/>
      <c r="R910" s="376"/>
      <c r="S910" s="376"/>
      <c r="T910" s="376"/>
      <c r="U910" s="376"/>
      <c r="V910" s="376"/>
    </row>
    <row r="911" spans="1:22">
      <c r="A911" s="200"/>
      <c r="B911" s="200"/>
      <c r="C911" s="373"/>
      <c r="D911" s="200"/>
      <c r="E911" s="200"/>
      <c r="F911" s="200"/>
      <c r="G911" s="200"/>
      <c r="H911" s="200"/>
      <c r="I911" s="377"/>
      <c r="J911" s="366"/>
      <c r="K911" s="374"/>
      <c r="L911" s="366"/>
      <c r="M911" s="375"/>
      <c r="N911" s="376"/>
      <c r="O911" s="376"/>
      <c r="P911" s="376"/>
      <c r="Q911" s="376"/>
      <c r="R911" s="376"/>
      <c r="S911" s="376"/>
      <c r="T911" s="376"/>
      <c r="U911" s="376"/>
      <c r="V911" s="376"/>
    </row>
    <row r="912" spans="1:22">
      <c r="A912" s="200"/>
      <c r="B912" s="200"/>
      <c r="C912" s="373"/>
      <c r="D912" s="200"/>
      <c r="E912" s="200"/>
      <c r="F912" s="200"/>
      <c r="G912" s="200"/>
      <c r="H912" s="200"/>
      <c r="I912" s="377"/>
      <c r="J912" s="366"/>
      <c r="K912" s="374"/>
      <c r="L912" s="366"/>
      <c r="M912" s="375"/>
      <c r="N912" s="376"/>
      <c r="O912" s="376"/>
      <c r="P912" s="376"/>
      <c r="Q912" s="376"/>
      <c r="R912" s="376"/>
      <c r="S912" s="376"/>
      <c r="T912" s="376"/>
      <c r="U912" s="376"/>
      <c r="V912" s="376"/>
    </row>
    <row r="913" spans="1:22">
      <c r="A913" s="200"/>
      <c r="B913" s="200"/>
      <c r="C913" s="373"/>
      <c r="D913" s="200"/>
      <c r="E913" s="200"/>
      <c r="F913" s="200"/>
      <c r="G913" s="200"/>
      <c r="H913" s="200"/>
      <c r="I913" s="377"/>
      <c r="J913" s="366"/>
      <c r="K913" s="374"/>
      <c r="L913" s="366"/>
      <c r="M913" s="375"/>
      <c r="N913" s="376"/>
      <c r="O913" s="376"/>
      <c r="P913" s="376"/>
      <c r="Q913" s="376"/>
      <c r="R913" s="376"/>
      <c r="S913" s="376"/>
      <c r="T913" s="376"/>
      <c r="U913" s="376"/>
      <c r="V913" s="376"/>
    </row>
    <row r="914" spans="1:22">
      <c r="A914" s="200"/>
      <c r="B914" s="200"/>
      <c r="C914" s="373"/>
      <c r="D914" s="200"/>
      <c r="E914" s="200"/>
      <c r="F914" s="200"/>
      <c r="G914" s="200"/>
      <c r="H914" s="200"/>
      <c r="I914" s="377"/>
      <c r="J914" s="366"/>
      <c r="K914" s="374"/>
      <c r="L914" s="366"/>
      <c r="M914" s="375"/>
      <c r="N914" s="376"/>
      <c r="O914" s="376"/>
      <c r="P914" s="376"/>
      <c r="Q914" s="376"/>
      <c r="R914" s="376"/>
      <c r="S914" s="376"/>
      <c r="T914" s="376"/>
      <c r="U914" s="376"/>
      <c r="V914" s="376"/>
    </row>
    <row r="915" spans="1:22">
      <c r="A915" s="200"/>
      <c r="B915" s="200"/>
      <c r="C915" s="373"/>
      <c r="D915" s="200"/>
      <c r="E915" s="200"/>
      <c r="F915" s="200"/>
      <c r="G915" s="200"/>
      <c r="H915" s="200"/>
      <c r="I915" s="377"/>
      <c r="J915" s="366"/>
      <c r="K915" s="374"/>
      <c r="L915" s="366"/>
      <c r="M915" s="375"/>
      <c r="N915" s="376"/>
      <c r="O915" s="376"/>
      <c r="P915" s="376"/>
      <c r="Q915" s="376"/>
      <c r="R915" s="376"/>
      <c r="S915" s="376"/>
      <c r="T915" s="376"/>
      <c r="U915" s="376"/>
      <c r="V915" s="376"/>
    </row>
    <row r="916" spans="1:22">
      <c r="A916" s="200"/>
      <c r="B916" s="200"/>
      <c r="C916" s="373"/>
      <c r="D916" s="200"/>
      <c r="E916" s="200"/>
      <c r="F916" s="200"/>
      <c r="G916" s="200"/>
      <c r="H916" s="200"/>
      <c r="I916" s="377"/>
      <c r="J916" s="366"/>
      <c r="K916" s="374"/>
      <c r="L916" s="366"/>
      <c r="M916" s="375"/>
      <c r="N916" s="376"/>
      <c r="O916" s="376"/>
      <c r="P916" s="376"/>
      <c r="Q916" s="376"/>
      <c r="R916" s="376"/>
      <c r="S916" s="376"/>
      <c r="T916" s="376"/>
      <c r="U916" s="376"/>
      <c r="V916" s="376"/>
    </row>
    <row r="917" spans="1:22">
      <c r="A917" s="200"/>
      <c r="B917" s="200"/>
      <c r="C917" s="373"/>
      <c r="D917" s="200"/>
      <c r="E917" s="200"/>
      <c r="F917" s="200"/>
      <c r="G917" s="200"/>
      <c r="H917" s="200"/>
      <c r="I917" s="377"/>
      <c r="J917" s="366"/>
      <c r="K917" s="374"/>
      <c r="L917" s="366"/>
      <c r="M917" s="375"/>
      <c r="N917" s="376"/>
      <c r="O917" s="376"/>
      <c r="P917" s="376"/>
      <c r="Q917" s="376"/>
      <c r="R917" s="376"/>
      <c r="S917" s="376"/>
      <c r="T917" s="376"/>
      <c r="U917" s="376"/>
      <c r="V917" s="376"/>
    </row>
    <row r="918" spans="1:22">
      <c r="A918" s="200"/>
      <c r="B918" s="200"/>
      <c r="C918" s="373"/>
      <c r="D918" s="200"/>
      <c r="E918" s="200"/>
      <c r="F918" s="200"/>
      <c r="G918" s="200"/>
      <c r="H918" s="200"/>
      <c r="I918" s="377"/>
      <c r="J918" s="366"/>
      <c r="K918" s="374"/>
      <c r="L918" s="366"/>
      <c r="M918" s="375"/>
      <c r="N918" s="376"/>
      <c r="O918" s="376"/>
      <c r="P918" s="376"/>
      <c r="Q918" s="376"/>
      <c r="R918" s="376"/>
      <c r="S918" s="376"/>
      <c r="T918" s="376"/>
      <c r="U918" s="376"/>
      <c r="V918" s="376"/>
    </row>
    <row r="919" spans="1:22">
      <c r="A919" s="200"/>
      <c r="B919" s="200"/>
      <c r="C919" s="373"/>
      <c r="D919" s="200"/>
      <c r="E919" s="200"/>
      <c r="F919" s="200"/>
      <c r="G919" s="200"/>
      <c r="H919" s="200"/>
      <c r="I919" s="377"/>
      <c r="J919" s="366"/>
      <c r="K919" s="374"/>
      <c r="L919" s="366"/>
      <c r="M919" s="375"/>
      <c r="N919" s="376"/>
      <c r="O919" s="376"/>
      <c r="P919" s="376"/>
      <c r="Q919" s="376"/>
      <c r="R919" s="376"/>
      <c r="S919" s="376"/>
      <c r="T919" s="376"/>
      <c r="U919" s="376"/>
      <c r="V919" s="376"/>
    </row>
    <row r="920" spans="1:22">
      <c r="A920" s="200"/>
      <c r="B920" s="200"/>
      <c r="C920" s="373"/>
      <c r="D920" s="200"/>
      <c r="E920" s="200"/>
      <c r="F920" s="200"/>
      <c r="G920" s="200"/>
      <c r="H920" s="200"/>
      <c r="I920" s="377"/>
      <c r="J920" s="366"/>
      <c r="K920" s="374"/>
      <c r="L920" s="366"/>
      <c r="M920" s="375"/>
      <c r="N920" s="376"/>
      <c r="O920" s="376"/>
      <c r="P920" s="376"/>
      <c r="Q920" s="376"/>
      <c r="R920" s="376"/>
      <c r="S920" s="376"/>
      <c r="T920" s="376"/>
      <c r="U920" s="376"/>
      <c r="V920" s="376"/>
    </row>
    <row r="921" spans="1:22">
      <c r="A921" s="200"/>
      <c r="B921" s="200"/>
      <c r="C921" s="373"/>
      <c r="D921" s="200"/>
      <c r="E921" s="200"/>
      <c r="F921" s="200"/>
      <c r="G921" s="200"/>
      <c r="H921" s="200"/>
      <c r="I921" s="377"/>
      <c r="J921" s="366"/>
      <c r="K921" s="374"/>
      <c r="L921" s="366"/>
      <c r="M921" s="375"/>
      <c r="N921" s="376"/>
      <c r="O921" s="376"/>
      <c r="P921" s="376"/>
      <c r="Q921" s="376"/>
      <c r="R921" s="376"/>
      <c r="S921" s="376"/>
      <c r="T921" s="376"/>
      <c r="U921" s="376"/>
      <c r="V921" s="376"/>
    </row>
    <row r="922" spans="1:22">
      <c r="A922" s="200"/>
      <c r="B922" s="200"/>
      <c r="C922" s="373"/>
      <c r="D922" s="200"/>
      <c r="E922" s="200"/>
      <c r="F922" s="200"/>
      <c r="G922" s="200"/>
      <c r="H922" s="200"/>
      <c r="I922" s="377"/>
      <c r="J922" s="366"/>
      <c r="K922" s="374"/>
      <c r="L922" s="366"/>
      <c r="M922" s="375"/>
      <c r="N922" s="376"/>
      <c r="O922" s="376"/>
      <c r="P922" s="376"/>
      <c r="Q922" s="376"/>
      <c r="R922" s="376"/>
      <c r="S922" s="376"/>
      <c r="T922" s="376"/>
      <c r="U922" s="376"/>
      <c r="V922" s="376"/>
    </row>
    <row r="923" spans="1:22">
      <c r="A923" s="200"/>
      <c r="B923" s="200"/>
      <c r="C923" s="373"/>
      <c r="D923" s="200"/>
      <c r="E923" s="200"/>
      <c r="F923" s="200"/>
      <c r="G923" s="200"/>
      <c r="H923" s="200"/>
      <c r="I923" s="377"/>
      <c r="J923" s="366"/>
      <c r="K923" s="374"/>
      <c r="L923" s="366"/>
      <c r="M923" s="375"/>
      <c r="N923" s="376"/>
      <c r="O923" s="376"/>
      <c r="P923" s="376"/>
      <c r="Q923" s="376"/>
      <c r="R923" s="376"/>
      <c r="S923" s="376"/>
      <c r="T923" s="376"/>
      <c r="U923" s="376"/>
      <c r="V923" s="376"/>
    </row>
    <row r="924" spans="1:22">
      <c r="A924" s="200"/>
      <c r="B924" s="200"/>
      <c r="C924" s="373"/>
      <c r="D924" s="200"/>
      <c r="E924" s="200"/>
      <c r="F924" s="200"/>
      <c r="G924" s="200"/>
      <c r="H924" s="200"/>
      <c r="I924" s="377"/>
      <c r="J924" s="366"/>
      <c r="K924" s="374"/>
      <c r="L924" s="366"/>
      <c r="M924" s="375"/>
      <c r="N924" s="376"/>
      <c r="O924" s="376"/>
      <c r="P924" s="376"/>
      <c r="Q924" s="376"/>
      <c r="R924" s="376"/>
      <c r="S924" s="376"/>
      <c r="T924" s="376"/>
      <c r="U924" s="376"/>
      <c r="V924" s="376"/>
    </row>
    <row r="925" spans="1:22">
      <c r="A925" s="200"/>
      <c r="B925" s="200"/>
      <c r="C925" s="373"/>
      <c r="D925" s="200"/>
      <c r="E925" s="200"/>
      <c r="F925" s="200"/>
      <c r="G925" s="200"/>
      <c r="H925" s="200"/>
      <c r="I925" s="377"/>
      <c r="J925" s="366"/>
      <c r="K925" s="374"/>
      <c r="L925" s="366"/>
      <c r="M925" s="375"/>
      <c r="N925" s="376"/>
      <c r="O925" s="376"/>
      <c r="P925" s="376"/>
      <c r="Q925" s="376"/>
      <c r="R925" s="376"/>
      <c r="S925" s="376"/>
      <c r="T925" s="376"/>
      <c r="U925" s="376"/>
      <c r="V925" s="376"/>
    </row>
    <row r="926" spans="1:22">
      <c r="A926" s="200"/>
      <c r="B926" s="200"/>
      <c r="C926" s="373"/>
      <c r="D926" s="200"/>
      <c r="E926" s="200"/>
      <c r="F926" s="200"/>
      <c r="G926" s="200"/>
      <c r="H926" s="200"/>
      <c r="I926" s="377"/>
      <c r="J926" s="366"/>
      <c r="K926" s="374"/>
      <c r="L926" s="366"/>
      <c r="M926" s="375"/>
      <c r="N926" s="376"/>
      <c r="O926" s="376"/>
      <c r="P926" s="376"/>
      <c r="Q926" s="376"/>
      <c r="R926" s="376"/>
      <c r="S926" s="376"/>
      <c r="T926" s="376"/>
      <c r="U926" s="376"/>
      <c r="V926" s="376"/>
    </row>
    <row r="927" spans="1:22">
      <c r="A927" s="200"/>
      <c r="B927" s="200"/>
      <c r="C927" s="373"/>
      <c r="D927" s="200"/>
      <c r="E927" s="200"/>
      <c r="F927" s="200"/>
      <c r="G927" s="200"/>
      <c r="H927" s="200"/>
      <c r="I927" s="377"/>
      <c r="J927" s="366"/>
      <c r="K927" s="374"/>
      <c r="L927" s="366"/>
      <c r="M927" s="375"/>
      <c r="N927" s="376"/>
      <c r="O927" s="376"/>
      <c r="P927" s="376"/>
      <c r="Q927" s="376"/>
      <c r="R927" s="376"/>
      <c r="S927" s="376"/>
      <c r="T927" s="376"/>
      <c r="U927" s="376"/>
      <c r="V927" s="376"/>
    </row>
    <row r="928" spans="1:22">
      <c r="A928" s="200"/>
      <c r="B928" s="200"/>
      <c r="C928" s="373"/>
      <c r="D928" s="200"/>
      <c r="E928" s="200"/>
      <c r="F928" s="200"/>
      <c r="G928" s="200"/>
      <c r="H928" s="200"/>
      <c r="I928" s="377"/>
      <c r="J928" s="366"/>
      <c r="K928" s="374"/>
      <c r="L928" s="366"/>
      <c r="M928" s="375"/>
      <c r="N928" s="376"/>
      <c r="O928" s="376"/>
      <c r="P928" s="376"/>
      <c r="Q928" s="376"/>
      <c r="R928" s="376"/>
      <c r="S928" s="376"/>
      <c r="T928" s="376"/>
      <c r="U928" s="376"/>
      <c r="V928" s="376"/>
    </row>
    <row r="929" spans="1:22">
      <c r="A929" s="200"/>
      <c r="B929" s="200"/>
      <c r="C929" s="373"/>
      <c r="D929" s="200"/>
      <c r="E929" s="200"/>
      <c r="F929" s="200"/>
      <c r="G929" s="200"/>
      <c r="H929" s="200"/>
      <c r="I929" s="377"/>
      <c r="J929" s="366"/>
      <c r="K929" s="374"/>
      <c r="L929" s="366"/>
      <c r="M929" s="375"/>
      <c r="N929" s="376"/>
      <c r="O929" s="376"/>
      <c r="P929" s="376"/>
      <c r="Q929" s="376"/>
      <c r="R929" s="376"/>
      <c r="S929" s="376"/>
      <c r="T929" s="376"/>
      <c r="U929" s="376"/>
      <c r="V929" s="376"/>
    </row>
    <row r="930" spans="1:22">
      <c r="A930" s="200"/>
      <c r="B930" s="200"/>
      <c r="C930" s="373"/>
      <c r="D930" s="200"/>
      <c r="E930" s="200"/>
      <c r="F930" s="200"/>
      <c r="G930" s="200"/>
      <c r="H930" s="200"/>
      <c r="I930" s="377"/>
      <c r="J930" s="366"/>
      <c r="K930" s="374"/>
      <c r="L930" s="366"/>
      <c r="M930" s="375"/>
      <c r="N930" s="376"/>
      <c r="O930" s="376"/>
      <c r="P930" s="376"/>
      <c r="Q930" s="376"/>
      <c r="R930" s="376"/>
      <c r="S930" s="376"/>
      <c r="T930" s="376"/>
      <c r="U930" s="376"/>
      <c r="V930" s="376"/>
    </row>
    <row r="931" spans="1:22">
      <c r="A931" s="200"/>
      <c r="B931" s="200"/>
      <c r="C931" s="373"/>
      <c r="D931" s="200"/>
      <c r="E931" s="200"/>
      <c r="F931" s="200"/>
      <c r="G931" s="200"/>
      <c r="H931" s="200"/>
      <c r="I931" s="377"/>
      <c r="J931" s="366"/>
      <c r="K931" s="374"/>
      <c r="L931" s="366"/>
      <c r="M931" s="375"/>
      <c r="N931" s="376"/>
      <c r="O931" s="376"/>
      <c r="P931" s="376"/>
      <c r="Q931" s="376"/>
      <c r="R931" s="376"/>
      <c r="S931" s="376"/>
      <c r="T931" s="376"/>
      <c r="U931" s="376"/>
      <c r="V931" s="376"/>
    </row>
    <row r="932" spans="1:22">
      <c r="A932" s="200"/>
      <c r="B932" s="200"/>
      <c r="C932" s="373"/>
      <c r="D932" s="200"/>
      <c r="E932" s="200"/>
      <c r="F932" s="200"/>
      <c r="G932" s="200"/>
      <c r="H932" s="200"/>
      <c r="I932" s="377"/>
      <c r="J932" s="366"/>
      <c r="K932" s="374"/>
      <c r="L932" s="366"/>
      <c r="M932" s="375"/>
      <c r="N932" s="376"/>
      <c r="O932" s="376"/>
      <c r="P932" s="376"/>
      <c r="Q932" s="376"/>
      <c r="R932" s="376"/>
      <c r="S932" s="376"/>
      <c r="T932" s="376"/>
      <c r="U932" s="376"/>
      <c r="V932" s="376"/>
    </row>
    <row r="933" spans="1:22">
      <c r="A933" s="200"/>
      <c r="B933" s="200"/>
      <c r="C933" s="373"/>
      <c r="D933" s="200"/>
      <c r="E933" s="200"/>
      <c r="F933" s="200"/>
      <c r="G933" s="200"/>
      <c r="H933" s="200"/>
      <c r="I933" s="377"/>
      <c r="J933" s="366"/>
      <c r="K933" s="374"/>
      <c r="L933" s="366"/>
      <c r="M933" s="375"/>
      <c r="N933" s="376"/>
      <c r="O933" s="376"/>
      <c r="P933" s="376"/>
      <c r="Q933" s="376"/>
      <c r="R933" s="376"/>
      <c r="S933" s="376"/>
      <c r="T933" s="376"/>
      <c r="U933" s="376"/>
      <c r="V933" s="376"/>
    </row>
    <row r="934" spans="1:22">
      <c r="A934" s="200"/>
      <c r="B934" s="200"/>
      <c r="C934" s="373"/>
      <c r="D934" s="200"/>
      <c r="E934" s="200"/>
      <c r="F934" s="200"/>
      <c r="G934" s="200"/>
      <c r="H934" s="200"/>
      <c r="I934" s="377"/>
      <c r="J934" s="366"/>
      <c r="K934" s="374"/>
      <c r="L934" s="366"/>
      <c r="M934" s="375"/>
      <c r="N934" s="376"/>
      <c r="O934" s="376"/>
      <c r="P934" s="376"/>
      <c r="Q934" s="376"/>
      <c r="R934" s="376"/>
      <c r="S934" s="376"/>
      <c r="T934" s="376"/>
      <c r="U934" s="376"/>
      <c r="V934" s="376"/>
    </row>
    <row r="935" spans="1:22">
      <c r="A935" s="200"/>
      <c r="B935" s="200"/>
      <c r="C935" s="373"/>
      <c r="D935" s="200"/>
      <c r="E935" s="200"/>
      <c r="F935" s="200"/>
      <c r="G935" s="200"/>
      <c r="H935" s="200"/>
      <c r="I935" s="377"/>
      <c r="J935" s="366"/>
      <c r="K935" s="374"/>
      <c r="L935" s="366"/>
      <c r="M935" s="375"/>
      <c r="N935" s="376"/>
      <c r="O935" s="376"/>
      <c r="P935" s="376"/>
      <c r="Q935" s="376"/>
      <c r="R935" s="376"/>
      <c r="S935" s="376"/>
      <c r="T935" s="376"/>
      <c r="U935" s="376"/>
      <c r="V935" s="376"/>
    </row>
    <row r="936" spans="1:22">
      <c r="A936" s="200"/>
      <c r="B936" s="200"/>
      <c r="C936" s="373"/>
      <c r="D936" s="200"/>
      <c r="E936" s="200"/>
      <c r="F936" s="200"/>
      <c r="G936" s="200"/>
      <c r="H936" s="200"/>
      <c r="I936" s="377"/>
      <c r="J936" s="366"/>
      <c r="K936" s="374"/>
      <c r="L936" s="366"/>
      <c r="M936" s="375"/>
      <c r="N936" s="376"/>
      <c r="O936" s="376"/>
      <c r="P936" s="376"/>
      <c r="Q936" s="376"/>
      <c r="R936" s="376"/>
      <c r="S936" s="376"/>
      <c r="T936" s="376"/>
      <c r="U936" s="376"/>
      <c r="V936" s="376"/>
    </row>
    <row r="937" spans="1:22">
      <c r="A937" s="200"/>
      <c r="B937" s="200"/>
      <c r="C937" s="373"/>
      <c r="D937" s="200"/>
      <c r="E937" s="200"/>
      <c r="F937" s="200"/>
      <c r="G937" s="200"/>
      <c r="H937" s="200"/>
      <c r="I937" s="377"/>
      <c r="J937" s="366"/>
      <c r="K937" s="374"/>
      <c r="L937" s="366"/>
      <c r="M937" s="375"/>
      <c r="N937" s="376"/>
      <c r="O937" s="376"/>
      <c r="P937" s="376"/>
      <c r="Q937" s="376"/>
      <c r="R937" s="376"/>
      <c r="S937" s="376"/>
      <c r="T937" s="376"/>
      <c r="U937" s="376"/>
      <c r="V937" s="376"/>
    </row>
    <row r="938" spans="1:22">
      <c r="A938" s="200"/>
      <c r="B938" s="200"/>
      <c r="C938" s="373"/>
      <c r="D938" s="200"/>
      <c r="E938" s="200"/>
      <c r="F938" s="200"/>
      <c r="G938" s="200"/>
      <c r="H938" s="200"/>
      <c r="I938" s="377"/>
      <c r="J938" s="366"/>
      <c r="K938" s="374"/>
      <c r="L938" s="366"/>
      <c r="M938" s="375"/>
      <c r="N938" s="376"/>
      <c r="O938" s="376"/>
      <c r="P938" s="376"/>
      <c r="Q938" s="376"/>
      <c r="R938" s="376"/>
      <c r="S938" s="376"/>
      <c r="T938" s="376"/>
      <c r="U938" s="376"/>
      <c r="V938" s="376"/>
    </row>
    <row r="939" spans="1:22">
      <c r="A939" s="200"/>
      <c r="B939" s="200"/>
      <c r="C939" s="373"/>
      <c r="D939" s="200"/>
      <c r="E939" s="200"/>
      <c r="F939" s="200"/>
      <c r="G939" s="200"/>
      <c r="H939" s="200"/>
      <c r="I939" s="377"/>
      <c r="J939" s="366"/>
      <c r="K939" s="374"/>
      <c r="L939" s="366"/>
      <c r="M939" s="375"/>
      <c r="N939" s="376"/>
      <c r="O939" s="376"/>
      <c r="P939" s="376"/>
      <c r="Q939" s="376"/>
      <c r="R939" s="376"/>
      <c r="S939" s="376"/>
      <c r="T939" s="376"/>
      <c r="U939" s="376"/>
      <c r="V939" s="376"/>
    </row>
    <row r="940" spans="1:22">
      <c r="A940" s="200"/>
      <c r="B940" s="200"/>
      <c r="C940" s="373"/>
      <c r="D940" s="200"/>
      <c r="E940" s="200"/>
      <c r="F940" s="200"/>
      <c r="G940" s="200"/>
      <c r="H940" s="200"/>
      <c r="I940" s="377"/>
      <c r="J940" s="366"/>
      <c r="K940" s="374"/>
      <c r="L940" s="366"/>
      <c r="M940" s="375"/>
      <c r="N940" s="376"/>
      <c r="O940" s="376"/>
      <c r="P940" s="376"/>
      <c r="Q940" s="376"/>
      <c r="R940" s="376"/>
      <c r="S940" s="376"/>
      <c r="T940" s="376"/>
      <c r="U940" s="376"/>
      <c r="V940" s="376"/>
    </row>
    <row r="941" spans="1:22">
      <c r="A941" s="200"/>
      <c r="B941" s="200"/>
      <c r="C941" s="373"/>
      <c r="D941" s="200"/>
      <c r="E941" s="200"/>
      <c r="F941" s="200"/>
      <c r="G941" s="200"/>
      <c r="H941" s="200"/>
      <c r="I941" s="377"/>
      <c r="J941" s="366"/>
      <c r="K941" s="374"/>
      <c r="L941" s="366"/>
      <c r="M941" s="375"/>
      <c r="N941" s="376"/>
      <c r="O941" s="376"/>
      <c r="P941" s="376"/>
      <c r="Q941" s="376"/>
      <c r="R941" s="376"/>
      <c r="S941" s="376"/>
      <c r="T941" s="376"/>
      <c r="U941" s="376"/>
      <c r="V941" s="376"/>
    </row>
    <row r="942" spans="1:22">
      <c r="A942" s="200"/>
      <c r="B942" s="200"/>
      <c r="C942" s="373"/>
      <c r="D942" s="200"/>
      <c r="E942" s="200"/>
      <c r="F942" s="200"/>
      <c r="G942" s="200"/>
      <c r="H942" s="200"/>
      <c r="I942" s="377"/>
      <c r="J942" s="366"/>
      <c r="K942" s="374"/>
      <c r="L942" s="366"/>
      <c r="M942" s="375"/>
      <c r="N942" s="376"/>
      <c r="O942" s="376"/>
      <c r="P942" s="376"/>
      <c r="Q942" s="376"/>
      <c r="R942" s="376"/>
      <c r="S942" s="376"/>
      <c r="T942" s="376"/>
      <c r="U942" s="376"/>
      <c r="V942" s="376"/>
    </row>
    <row r="943" spans="1:22">
      <c r="A943" s="200"/>
      <c r="B943" s="200"/>
      <c r="C943" s="373"/>
      <c r="D943" s="200"/>
      <c r="E943" s="200"/>
      <c r="F943" s="200"/>
      <c r="G943" s="200"/>
      <c r="H943" s="200"/>
      <c r="I943" s="377"/>
      <c r="J943" s="366"/>
      <c r="K943" s="374"/>
      <c r="L943" s="366"/>
      <c r="M943" s="375"/>
      <c r="N943" s="376"/>
      <c r="O943" s="376"/>
      <c r="P943" s="376"/>
      <c r="Q943" s="376"/>
      <c r="R943" s="376"/>
      <c r="S943" s="376"/>
      <c r="T943" s="376"/>
      <c r="U943" s="376"/>
      <c r="V943" s="376"/>
    </row>
    <row r="944" spans="1:22">
      <c r="A944" s="200"/>
      <c r="B944" s="200"/>
      <c r="C944" s="373"/>
      <c r="D944" s="200"/>
      <c r="E944" s="200"/>
      <c r="F944" s="200"/>
      <c r="G944" s="200"/>
      <c r="H944" s="200"/>
      <c r="I944" s="377"/>
      <c r="J944" s="366"/>
      <c r="K944" s="374"/>
      <c r="L944" s="366"/>
      <c r="M944" s="375"/>
      <c r="N944" s="376"/>
      <c r="O944" s="376"/>
      <c r="P944" s="376"/>
      <c r="Q944" s="376"/>
      <c r="R944" s="376"/>
      <c r="S944" s="376"/>
      <c r="T944" s="376"/>
      <c r="U944" s="376"/>
      <c r="V944" s="376"/>
    </row>
  </sheetData>
  <autoFilter ref="A1:M1" xr:uid="{00000000-0009-0000-0000-000002000000}"/>
  <dataValidations count="1">
    <dataValidation type="list" allowBlank="1" showErrorMessage="1" sqref="A1:A944" xr:uid="{00000000-0002-0000-0200-000000000000}">
      <formula1>"HIJPII,HJXXIII"</formula1>
    </dataValidation>
  </dataValidations>
  <hyperlinks>
    <hyperlink ref="M2" r:id="rId1" xr:uid="{00000000-0004-0000-0200-000000000000}"/>
    <hyperlink ref="M3" r:id="rId2" xr:uid="{00000000-0004-0000-0200-000001000000}"/>
    <hyperlink ref="M4" r:id="rId3" xr:uid="{00000000-0004-0000-0200-000002000000}"/>
    <hyperlink ref="M5" r:id="rId4" xr:uid="{00000000-0004-0000-0200-000003000000}"/>
    <hyperlink ref="M6" r:id="rId5" xr:uid="{00000000-0004-0000-0200-000004000000}"/>
    <hyperlink ref="M7" r:id="rId6" xr:uid="{00000000-0004-0000-0200-000005000000}"/>
    <hyperlink ref="M8" r:id="rId7" xr:uid="{00000000-0004-0000-0200-000006000000}"/>
    <hyperlink ref="M10" r:id="rId8" xr:uid="{00000000-0004-0000-0200-000007000000}"/>
    <hyperlink ref="M11" r:id="rId9" xr:uid="{00000000-0004-0000-0200-000008000000}"/>
    <hyperlink ref="M12" r:id="rId10" xr:uid="{00000000-0004-0000-0200-000009000000}"/>
    <hyperlink ref="M13" r:id="rId11" xr:uid="{00000000-0004-0000-0200-00000A000000}"/>
    <hyperlink ref="M15" r:id="rId12" xr:uid="{00000000-0004-0000-0200-00000B000000}"/>
    <hyperlink ref="M16" r:id="rId13" xr:uid="{00000000-0004-0000-0200-00000C000000}"/>
    <hyperlink ref="M17" r:id="rId14" xr:uid="{00000000-0004-0000-0200-00000D000000}"/>
    <hyperlink ref="M18" r:id="rId15" xr:uid="{00000000-0004-0000-0200-00000E000000}"/>
    <hyperlink ref="M19" r:id="rId16" xr:uid="{00000000-0004-0000-0200-00000F000000}"/>
    <hyperlink ref="M21" r:id="rId17" xr:uid="{00000000-0004-0000-0200-000010000000}"/>
    <hyperlink ref="M22" r:id="rId18" xr:uid="{00000000-0004-0000-0200-000011000000}"/>
    <hyperlink ref="M25" r:id="rId19" xr:uid="{00000000-0004-0000-0200-000012000000}"/>
    <hyperlink ref="M27" r:id="rId20" xr:uid="{00000000-0004-0000-0200-000013000000}"/>
    <hyperlink ref="M28" r:id="rId21" xr:uid="{00000000-0004-0000-0200-000014000000}"/>
    <hyperlink ref="M30" r:id="rId22" xr:uid="{00000000-0004-0000-0200-000015000000}"/>
    <hyperlink ref="M31" r:id="rId23" xr:uid="{00000000-0004-0000-0200-000016000000}"/>
    <hyperlink ref="M32" r:id="rId24" xr:uid="{00000000-0004-0000-0200-000017000000}"/>
    <hyperlink ref="M33" r:id="rId25" xr:uid="{00000000-0004-0000-0200-000018000000}"/>
    <hyperlink ref="M34" r:id="rId26" xr:uid="{00000000-0004-0000-0200-000019000000}"/>
    <hyperlink ref="M35" r:id="rId27" xr:uid="{00000000-0004-0000-0200-00001A000000}"/>
    <hyperlink ref="M36" r:id="rId28" xr:uid="{00000000-0004-0000-0200-00001B000000}"/>
    <hyperlink ref="M37" r:id="rId29" xr:uid="{00000000-0004-0000-0200-00001C000000}"/>
    <hyperlink ref="M38" r:id="rId30" xr:uid="{00000000-0004-0000-0200-00001D000000}"/>
    <hyperlink ref="M39" r:id="rId31" xr:uid="{00000000-0004-0000-0200-00001E000000}"/>
    <hyperlink ref="M40" r:id="rId32" xr:uid="{00000000-0004-0000-0200-00001F000000}"/>
  </hyperlinks>
  <pageMargins left="0.25" right="0.25" top="0.75" bottom="0.75" header="0" footer="0"/>
  <pageSetup paperSize="9" scale="70" orientation="landscape"/>
  <tableParts count="1">
    <tablePart r:id="rId3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999"/>
  <sheetViews>
    <sheetView workbookViewId="0"/>
  </sheetViews>
  <sheetFormatPr defaultColWidth="12.5703125" defaultRowHeight="15" customHeight="1"/>
  <cols>
    <col min="2" max="2" width="14.85546875" customWidth="1"/>
  </cols>
  <sheetData>
    <row r="1" spans="1:12">
      <c r="A1" s="378"/>
      <c r="B1" s="379" t="str">
        <f ca="1">IFERROR(__xludf.UNSUPPORTED(IMPORTRANGE('[2]PlANILHA PESQ 2025'!$H$1:$H$126)),"Classificação do Pesquisador Principal NA PLATAFORMA  BRASIL(FHEMIG)")</f>
        <v>Classificação do Pesquisador Principal NA PLATAFORMA  BRASIL(FHEMIG)</v>
      </c>
      <c r="C1" s="380" t="str">
        <f ca="1">IFERROR(__xludf.UNSUPPORTED(IMPORTRANGE('[2]PlANILHA PESQ 2025'!$I$1:$I$125)),"Unidade de entrada")</f>
        <v>Unidade de entrada</v>
      </c>
      <c r="D1" s="379" t="str">
        <f ca="1">IFERROR(__xludf.UNSUPPORTED(IMPORTRANGE('[2]PlANILHA PESQ 2025'!$J$1:$J$125))," Instituição Propenente")</f>
        <v xml:space="preserve"> Instituição Propenente</v>
      </c>
      <c r="E1" s="379" t="str">
        <f ca="1">IFERROR(__xludf.UNSUPPORTED(IMPORTRANGE('[2]PlANILHA PESQ 2025'!$K$1:$K$125)),"Finalidade da pesquisa")</f>
        <v>Finalidade da pesquisa</v>
      </c>
      <c r="F1" s="379" t="str">
        <f ca="1">IFERROR(__xludf.UNSUPPORTED(IMPORTRANGE('[2]PlANILHA PESQ 2025'!$L$1:$L$125)),"Desenho de pesquisa")</f>
        <v>Desenho de pesquisa</v>
      </c>
      <c r="G1" s="379" t="str">
        <f ca="1">IFERROR(__xludf.UNSUPPORTED(IMPORTRANGE('[2]PlANILHA PESQ 2025'!$P$1:$P$125)),"Pesquisador referência da instituição (caso seja o pesquisador principal, escrever NA ( NÃO SE APLICA)")</f>
        <v>Pesquisador referência da instituição (caso seja o pesquisador principal, escrever NA ( NÃO SE APLICA)</v>
      </c>
      <c r="H1" s="379" t="str">
        <f ca="1">IFERROR(__xludf.UNSUPPORTED(IMPORTRANGE('[2]PlANILHA PESQ 2025'!$S$1:$S$125)),"Tempo de assisnatura do memorando DGE e envio CIP ( coluna Q-P) +1 ")</f>
        <v xml:space="preserve">Tempo de assisnatura do memorando DGE e envio CIP ( coluna Q-P) +1 </v>
      </c>
      <c r="I1" s="379" t="str">
        <f ca="1">IFERROR(__xludf.UNSUPPORTED(IMPORTRANGE('[2]PlANILHA PESQ 2025'!$V$1:$V$125)),"Parecer da CIP")</f>
        <v>Parecer da CIP</v>
      </c>
      <c r="J1" s="379" t="str">
        <f ca="1">IFERROR(__xludf.UNSUPPORTED(IMPORTRANGE('[2]PlANILHA PESQ 2025'!$W$1:$W$125)),"Data da assinatura da FOLHA ROSTO  OU do  TERMO DE ANUENCIA")</f>
        <v>Data da assinatura da FOLHA ROSTO  OU do  TERMO DE ANUENCIA</v>
      </c>
      <c r="K1" s="379" t="str">
        <f ca="1">IFERROR(__xludf.UNSUPPORTED(IMPORTRANGE('[2]PlANILHA PESQ 2025'!$Z$1:$Z$125)),"PROJETOS EXTERNOS     Inserir a data do envio do PTECNICO FINAL para o pesquisadores externos")</f>
        <v>PROJETOS EXTERNOS     Inserir a data do envio do PTECNICO FINAL para o pesquisadores externos</v>
      </c>
      <c r="L1" s="379" t="str">
        <f ca="1">IFERROR(__xludf.UNSUPPORTED(IMPORTRANGE('[2]PlANILHA PESQ 2025'!$AB$1:$AB$125))," DATA DE aprovação do CEP FHEMIG")</f>
        <v xml:space="preserve"> DATA DE aprovação do CEP FHEMIG</v>
      </c>
    </row>
    <row r="2" spans="1:12">
      <c r="B2" s="203" t="str">
        <f ca="1">IFERROR(__xludf.UNSUPPORTED("""COMPUTED_VALUE"""),"SERVIDOR")</f>
        <v>SERVIDOR</v>
      </c>
      <c r="C2" s="203" t="str">
        <f ca="1">IFERROR(__xludf.UNSUPPORTED("""COMPUTED_VALUE"""),"HIJPII")</f>
        <v>HIJPII</v>
      </c>
      <c r="D2" s="203" t="str">
        <f ca="1">IFERROR(__xludf.UNSUPPORTED("""COMPUTED_VALUE"""),"FHEMIG")</f>
        <v>FHEMIG</v>
      </c>
      <c r="E2" s="203" t="str">
        <f ca="1">IFERROR(__xludf.UNSUPPORTED("""COMPUTED_VALUE"""),"CONGRESSO/DIVULGAÇÃO/PUBLICAÇÃO")</f>
        <v>CONGRESSO/DIVULGAÇÃO/PUBLICAÇÃO</v>
      </c>
      <c r="F2" s="203" t="str">
        <f ca="1">IFERROR(__xludf.UNSUPPORTED("""COMPUTED_VALUE"""),"Observacional retrospectivo")</f>
        <v>Observacional retrospectivo</v>
      </c>
      <c r="G2" s="203" t="str">
        <f ca="1">IFERROR(__xludf.UNSUPPORTED("""COMPUTED_VALUE"""),"NA")</f>
        <v>NA</v>
      </c>
      <c r="H2" s="203" t="str">
        <f ca="1">IFERROR(__xludf.UNSUPPORTED("""COMPUTED_VALUE"""),"ABC")</f>
        <v>ABC</v>
      </c>
      <c r="I2" s="203" t="str">
        <f ca="1">IFERROR(__xludf.UNSUPPORTED("""COMPUTED_VALUE"""),"EMENDA/NÃO SE APLICA")</f>
        <v>EMENDA/NÃO SE APLICA</v>
      </c>
      <c r="J2" s="203" t="str">
        <f ca="1">IFERROR(__xludf.UNSUPPORTED("""COMPUTED_VALUE"""),"NA")</f>
        <v>NA</v>
      </c>
      <c r="K2" s="203" t="str">
        <f ca="1">IFERROR(__xludf.UNSUPPORTED("""COMPUTED_VALUE"""),"NA")</f>
        <v>NA</v>
      </c>
      <c r="L2" s="381">
        <f ca="1">IFERROR(__xludf.UNSUPPORTED("""COMPUTED_VALUE"""),45809)</f>
        <v>45809</v>
      </c>
    </row>
    <row r="3" spans="1:12">
      <c r="B3" s="203" t="str">
        <f ca="1">IFERROR(__xludf.UNSUPPORTED("""COMPUTED_VALUE"""),"PESQ EXTERNO")</f>
        <v>PESQ EXTERNO</v>
      </c>
      <c r="C3" s="203" t="str">
        <f ca="1">IFERROR(__xludf.UNSUPPORTED("""COMPUTED_VALUE"""),"HIJPII")</f>
        <v>HIJPII</v>
      </c>
      <c r="D3" s="203" t="str">
        <f ca="1">IFERROR(__xludf.UNSUPPORTED("""COMPUTED_VALUE"""),"FHEMIG")</f>
        <v>FHEMIG</v>
      </c>
      <c r="E3" s="203" t="str">
        <f ca="1">IFERROR(__xludf.UNSUPPORTED("""COMPUTED_VALUE"""),"MESTRADO")</f>
        <v>MESTRADO</v>
      </c>
      <c r="F3" s="203" t="str">
        <f ca="1">IFERROR(__xludf.UNSUPPORTED("""COMPUTED_VALUE"""),"Observacional retrospectivo")</f>
        <v>Observacional retrospectivo</v>
      </c>
      <c r="G3" s="203" t="str">
        <f ca="1">IFERROR(__xludf.UNSUPPORTED("""COMPUTED_VALUE"""),"NA")</f>
        <v>NA</v>
      </c>
      <c r="H3" s="203" t="str">
        <f ca="1">IFERROR(__xludf.UNSUPPORTED("""COMPUTED_VALUE"""),"ABC")</f>
        <v>ABC</v>
      </c>
      <c r="I3" s="203" t="str">
        <f ca="1">IFERROR(__xludf.UNSUPPORTED("""COMPUTED_VALUE"""),"EMENDA/NÃO SE APLICA")</f>
        <v>EMENDA/NÃO SE APLICA</v>
      </c>
      <c r="J3" s="203" t="str">
        <f ca="1">IFERROR(__xludf.UNSUPPORTED("""COMPUTED_VALUE"""),"NA")</f>
        <v>NA</v>
      </c>
      <c r="K3" s="203" t="str">
        <f ca="1">IFERROR(__xludf.UNSUPPORTED("""COMPUTED_VALUE"""),"NA")</f>
        <v>NA</v>
      </c>
      <c r="L3" s="381">
        <f ca="1">IFERROR(__xludf.UNSUPPORTED("""COMPUTED_VALUE"""),45600)</f>
        <v>45600</v>
      </c>
    </row>
    <row r="4" spans="1:12">
      <c r="B4" s="203" t="str">
        <f ca="1">IFERROR(__xludf.UNSUPPORTED("""COMPUTED_VALUE"""),"SERVIDOR")</f>
        <v>SERVIDOR</v>
      </c>
      <c r="C4" s="203" t="str">
        <f ca="1">IFERROR(__xludf.UNSUPPORTED("""COMPUTED_VALUE"""),"HIJPII")</f>
        <v>HIJPII</v>
      </c>
      <c r="D4" s="203" t="str">
        <f ca="1">IFERROR(__xludf.UNSUPPORTED("""COMPUTED_VALUE"""),"INSTITUTO DO CANCER INFANTIL E PEDITARIA ESPECIALIZADA (ICIPE)")</f>
        <v>INSTITUTO DO CANCER INFANTIL E PEDITARIA ESPECIALIZADA (ICIPE)</v>
      </c>
      <c r="E4" s="203" t="str">
        <f ca="1">IFERROR(__xludf.UNSUPPORTED("""COMPUTED_VALUE"""),"CONGRESSO/DIVULGAÇÃO/PUBLICAÇÃO")</f>
        <v>CONGRESSO/DIVULGAÇÃO/PUBLICAÇÃO</v>
      </c>
      <c r="F4" s="203" t="str">
        <f ca="1">IFERROR(__xludf.UNSUPPORTED("""COMPUTED_VALUE"""),"Observacional prospectivo")</f>
        <v>Observacional prospectivo</v>
      </c>
      <c r="G4" s="203" t="str">
        <f ca="1">IFERROR(__xludf.UNSUPPORTED("""COMPUTED_VALUE"""),"NA")</f>
        <v>NA</v>
      </c>
      <c r="H4" s="203">
        <f ca="1">IFERROR(__xludf.UNSUPPORTED("""COMPUTED_VALUE"""),6)</f>
        <v>6</v>
      </c>
      <c r="I4" s="203" t="str">
        <f ca="1">IFERROR(__xludf.UNSUPPORTED("""COMPUTED_VALUE"""),"Aprovado no 1 PT")</f>
        <v>Aprovado no 1 PT</v>
      </c>
      <c r="J4" s="381">
        <f ca="1">IFERROR(__xludf.UNSUPPORTED("""COMPUTED_VALUE"""),45652)</f>
        <v>45652</v>
      </c>
      <c r="K4" s="381">
        <f ca="1">IFERROR(__xludf.UNSUPPORTED("""COMPUTED_VALUE"""),45915)</f>
        <v>45915</v>
      </c>
      <c r="L4" s="381">
        <f ca="1">IFERROR(__xludf.UNSUPPORTED("""COMPUTED_VALUE"""),45942)</f>
        <v>45942</v>
      </c>
    </row>
    <row r="5" spans="1:12">
      <c r="B5" s="203" t="str">
        <f ca="1">IFERROR(__xludf.UNSUPPORTED("""COMPUTED_VALUE"""),"SERVIDOR")</f>
        <v>SERVIDOR</v>
      </c>
      <c r="C5" s="203" t="str">
        <f ca="1">IFERROR(__xludf.UNSUPPORTED("""COMPUTED_VALUE"""),"HIJPII")</f>
        <v>HIJPII</v>
      </c>
      <c r="D5" s="203" t="str">
        <f ca="1">IFERROR(__xludf.UNSUPPORTED("""COMPUTED_VALUE"""),"UFMG")</f>
        <v>UFMG</v>
      </c>
      <c r="E5" s="203" t="str">
        <f ca="1">IFERROR(__xludf.UNSUPPORTED("""COMPUTED_VALUE"""),"TCR")</f>
        <v>TCR</v>
      </c>
      <c r="F5" s="203" t="str">
        <f ca="1">IFERROR(__xludf.UNSUPPORTED("""COMPUTED_VALUE"""),"Observacional retrospectivo")</f>
        <v>Observacional retrospectivo</v>
      </c>
      <c r="G5" s="203" t="str">
        <f ca="1">IFERROR(__xludf.UNSUPPORTED("""COMPUTED_VALUE"""),"N/A")</f>
        <v>N/A</v>
      </c>
      <c r="H5" s="203">
        <f ca="1">IFERROR(__xludf.UNSUPPORTED("""COMPUTED_VALUE"""),3)</f>
        <v>3</v>
      </c>
      <c r="I5" s="203" t="str">
        <f ca="1">IFERROR(__xludf.UNSUPPORTED("""COMPUTED_VALUE"""),"Aprovado no 1 PT")</f>
        <v>Aprovado no 1 PT</v>
      </c>
      <c r="J5" s="381">
        <f ca="1">IFERROR(__xludf.UNSUPPORTED("""COMPUTED_VALUE"""),45602)</f>
        <v>45602</v>
      </c>
      <c r="K5" s="381">
        <f ca="1">IFERROR(__xludf.UNSUPPORTED("""COMPUTED_VALUE"""),45715)</f>
        <v>45715</v>
      </c>
      <c r="L5" s="381">
        <f ca="1">IFERROR(__xludf.UNSUPPORTED("""COMPUTED_VALUE"""),45770)</f>
        <v>45770</v>
      </c>
    </row>
    <row r="6" spans="1:12">
      <c r="B6" s="203" t="str">
        <f ca="1">IFERROR(__xludf.UNSUPPORTED("""COMPUTED_VALUE"""),"PESQ EXTERNO")</f>
        <v>PESQ EXTERNO</v>
      </c>
      <c r="C6" s="203" t="str">
        <f ca="1">IFERROR(__xludf.UNSUPPORTED("""COMPUTED_VALUE"""),"HIJPII")</f>
        <v>HIJPII</v>
      </c>
      <c r="D6" s="203" t="str">
        <f ca="1">IFERROR(__xludf.UNSUPPORTED("""COMPUTED_VALUE"""),"UNIFENAS")</f>
        <v>UNIFENAS</v>
      </c>
      <c r="E6" s="203" t="str">
        <f ca="1">IFERROR(__xludf.UNSUPPORTED("""COMPUTED_VALUE"""),"MESTRADO")</f>
        <v>MESTRADO</v>
      </c>
      <c r="F6" s="203" t="str">
        <f ca="1">IFERROR(__xludf.UNSUPPORTED("""COMPUTED_VALUE"""),"Transversal prospectivo")</f>
        <v>Transversal prospectivo</v>
      </c>
      <c r="G6" s="203" t="str">
        <f ca="1">IFERROR(__xludf.UNSUPPORTED("""COMPUTED_VALUE"""),"Marina Milagres")</f>
        <v>Marina Milagres</v>
      </c>
      <c r="H6" s="203" t="str">
        <f ca="1">IFERROR(__xludf.UNSUPPORTED("""COMPUTED_VALUE"""),"ABC")</f>
        <v>ABC</v>
      </c>
      <c r="I6" s="203" t="str">
        <f ca="1">IFERROR(__xludf.UNSUPPORTED("""COMPUTED_VALUE"""),"Aprovado no 2 PT")</f>
        <v>Aprovado no 2 PT</v>
      </c>
      <c r="J6" s="381">
        <f ca="1">IFERROR(__xludf.UNSUPPORTED("""COMPUTED_VALUE"""),45667)</f>
        <v>45667</v>
      </c>
      <c r="K6" s="381">
        <f ca="1">IFERROR(__xludf.UNSUPPORTED("""COMPUTED_VALUE"""),45783)</f>
        <v>45783</v>
      </c>
      <c r="L6" s="203" t="str">
        <f ca="1">IFERROR(__xludf.UNSUPPORTED("""COMPUTED_VALUE"""),"NA")</f>
        <v>NA</v>
      </c>
    </row>
    <row r="7" spans="1:12">
      <c r="B7" s="203" t="str">
        <f ca="1">IFERROR(__xludf.UNSUPPORTED("""COMPUTED_VALUE"""),"SERVIDOR")</f>
        <v>SERVIDOR</v>
      </c>
      <c r="C7" s="203" t="str">
        <f ca="1">IFERROR(__xludf.UNSUPPORTED("""COMPUTED_VALUE"""),"HJXXIII")</f>
        <v>HJXXIII</v>
      </c>
      <c r="D7" s="203" t="str">
        <f ca="1">IFERROR(__xludf.UNSUPPORTED("""COMPUTED_VALUE"""),"FHEMIG")</f>
        <v>FHEMIG</v>
      </c>
      <c r="E7" s="203" t="str">
        <f ca="1">IFERROR(__xludf.UNSUPPORTED("""COMPUTED_VALUE"""),"MESTRADO")</f>
        <v>MESTRADO</v>
      </c>
      <c r="F7" s="203" t="str">
        <f ca="1">IFERROR(__xludf.UNSUPPORTED("""COMPUTED_VALUE"""),"Observacional prospectivo")</f>
        <v>Observacional prospectivo</v>
      </c>
      <c r="G7" s="203" t="str">
        <f ca="1">IFERROR(__xludf.UNSUPPORTED("""COMPUTED_VALUE"""),"NA")</f>
        <v>NA</v>
      </c>
      <c r="H7" s="203" t="str">
        <f ca="1">IFERROR(__xludf.UNSUPPORTED("""COMPUTED_VALUE"""),"ABC")</f>
        <v>ABC</v>
      </c>
      <c r="I7" s="203" t="str">
        <f ca="1">IFERROR(__xludf.UNSUPPORTED("""COMPUTED_VALUE"""),"Pendência ")</f>
        <v xml:space="preserve">Pendência </v>
      </c>
      <c r="J7" s="203" t="str">
        <f ca="1">IFERROR(__xludf.UNSUPPORTED("""COMPUTED_VALUE"""),"NA")</f>
        <v>NA</v>
      </c>
      <c r="K7" s="203" t="str">
        <f ca="1">IFERROR(__xludf.UNSUPPORTED("""COMPUTED_VALUE"""),"NA")</f>
        <v>NA</v>
      </c>
      <c r="L7" s="203" t="str">
        <f ca="1">IFERROR(__xludf.UNSUPPORTED("""COMPUTED_VALUE"""),"NA")</f>
        <v>NA</v>
      </c>
    </row>
    <row r="8" spans="1:12">
      <c r="B8" s="203" t="str">
        <f ca="1">IFERROR(__xludf.UNSUPPORTED("""COMPUTED_VALUE"""),"SERVIDOR")</f>
        <v>SERVIDOR</v>
      </c>
      <c r="C8" s="203" t="str">
        <f ca="1">IFERROR(__xludf.UNSUPPORTED("""COMPUTED_VALUE"""),"HJXXIII")</f>
        <v>HJXXIII</v>
      </c>
      <c r="D8" s="203" t="str">
        <f ca="1">IFERROR(__xludf.UNSUPPORTED("""COMPUTED_VALUE"""),"FHEMIG")</f>
        <v>FHEMIG</v>
      </c>
      <c r="E8" s="203" t="str">
        <f ca="1">IFERROR(__xludf.UNSUPPORTED("""COMPUTED_VALUE"""),"TCR")</f>
        <v>TCR</v>
      </c>
      <c r="F8" s="203" t="str">
        <f ca="1">IFERROR(__xludf.UNSUPPORTED("""COMPUTED_VALUE"""),"Relato de caso")</f>
        <v>Relato de caso</v>
      </c>
      <c r="G8" s="203" t="str">
        <f ca="1">IFERROR(__xludf.UNSUPPORTED("""COMPUTED_VALUE"""),"NA")</f>
        <v>NA</v>
      </c>
      <c r="H8" s="203" t="str">
        <f ca="1">IFERROR(__xludf.UNSUPPORTED("""COMPUTED_VALUE"""),"ABC")</f>
        <v>ABC</v>
      </c>
      <c r="I8" s="203" t="str">
        <f ca="1">IFERROR(__xludf.UNSUPPORTED("""COMPUTED_VALUE"""),"Aprovado no 1 PT")</f>
        <v>Aprovado no 1 PT</v>
      </c>
      <c r="J8" s="381">
        <f ca="1">IFERROR(__xludf.UNSUPPORTED("""COMPUTED_VALUE"""),45671)</f>
        <v>45671</v>
      </c>
      <c r="K8" s="203" t="str">
        <f ca="1">IFERROR(__xludf.UNSUPPORTED("""COMPUTED_VALUE"""),"NA")</f>
        <v>NA</v>
      </c>
      <c r="L8" s="203" t="str">
        <f ca="1">IFERROR(__xludf.UNSUPPORTED("""COMPUTED_VALUE"""),"NA")</f>
        <v>NA</v>
      </c>
    </row>
    <row r="9" spans="1:12">
      <c r="B9" s="203" t="str">
        <f ca="1">IFERROR(__xludf.UNSUPPORTED("""COMPUTED_VALUE"""),"RESIDENTE MULTI")</f>
        <v>RESIDENTE MULTI</v>
      </c>
      <c r="C9" s="203" t="str">
        <f ca="1">IFERROR(__xludf.UNSUPPORTED("""COMPUTED_VALUE"""),"HJXXIII")</f>
        <v>HJXXIII</v>
      </c>
      <c r="D9" s="203" t="str">
        <f ca="1">IFERROR(__xludf.UNSUPPORTED("""COMPUTED_VALUE"""),"FHEMIG")</f>
        <v>FHEMIG</v>
      </c>
      <c r="E9" s="203" t="str">
        <f ca="1">IFERROR(__xludf.UNSUPPORTED("""COMPUTED_VALUE"""),"TCR")</f>
        <v>TCR</v>
      </c>
      <c r="F9" s="203" t="str">
        <f ca="1">IFERROR(__xludf.UNSUPPORTED("""COMPUTED_VALUE"""),"Observacional retrospectivo")</f>
        <v>Observacional retrospectivo</v>
      </c>
      <c r="G9" s="203" t="str">
        <f ca="1">IFERROR(__xludf.UNSUPPORTED("""COMPUTED_VALUE"""),"NA")</f>
        <v>NA</v>
      </c>
      <c r="H9" s="203" t="str">
        <f ca="1">IFERROR(__xludf.UNSUPPORTED("""COMPUTED_VALUE"""),"ABC")</f>
        <v>ABC</v>
      </c>
      <c r="I9" s="203" t="str">
        <f ca="1">IFERROR(__xludf.UNSUPPORTED("""COMPUTED_VALUE"""),"Aprovado no 1 PT")</f>
        <v>Aprovado no 1 PT</v>
      </c>
      <c r="J9" s="381">
        <f ca="1">IFERROR(__xludf.UNSUPPORTED("""COMPUTED_VALUE"""),45671)</f>
        <v>45671</v>
      </c>
      <c r="K9" s="203" t="str">
        <f ca="1">IFERROR(__xludf.UNSUPPORTED("""COMPUTED_VALUE"""),"NA")</f>
        <v>NA</v>
      </c>
      <c r="L9" s="203" t="str">
        <f ca="1">IFERROR(__xludf.UNSUPPORTED("""COMPUTED_VALUE"""),"NA")</f>
        <v>NA</v>
      </c>
    </row>
    <row r="10" spans="1:12">
      <c r="B10" s="203" t="str">
        <f ca="1">IFERROR(__xludf.UNSUPPORTED("""COMPUTED_VALUE"""),"RESIDENTE MULTI")</f>
        <v>RESIDENTE MULTI</v>
      </c>
      <c r="C10" s="203" t="str">
        <f ca="1">IFERROR(__xludf.UNSUPPORTED("""COMPUTED_VALUE"""),"HJXXIII")</f>
        <v>HJXXIII</v>
      </c>
      <c r="D10" s="203" t="str">
        <f ca="1">IFERROR(__xludf.UNSUPPORTED("""COMPUTED_VALUE"""),"FHEMIG")</f>
        <v>FHEMIG</v>
      </c>
      <c r="E10" s="203" t="str">
        <f ca="1">IFERROR(__xludf.UNSUPPORTED("""COMPUTED_VALUE"""),"TCR")</f>
        <v>TCR</v>
      </c>
      <c r="F10" s="203" t="str">
        <f ca="1">IFERROR(__xludf.UNSUPPORTED("""COMPUTED_VALUE"""),"Relato de caso")</f>
        <v>Relato de caso</v>
      </c>
      <c r="G10" s="203" t="str">
        <f ca="1">IFERROR(__xludf.UNSUPPORTED("""COMPUTED_VALUE"""),"NA")</f>
        <v>NA</v>
      </c>
      <c r="H10" s="203" t="str">
        <f ca="1">IFERROR(__xludf.UNSUPPORTED("""COMPUTED_VALUE"""),"ABC")</f>
        <v>ABC</v>
      </c>
      <c r="I10" s="203" t="str">
        <f ca="1">IFERROR(__xludf.UNSUPPORTED("""COMPUTED_VALUE"""),"Aprovado no 1 PT")</f>
        <v>Aprovado no 1 PT</v>
      </c>
      <c r="J10" s="381">
        <f ca="1">IFERROR(__xludf.UNSUPPORTED("""COMPUTED_VALUE"""),45693)</f>
        <v>45693</v>
      </c>
      <c r="K10" s="203" t="str">
        <f ca="1">IFERROR(__xludf.UNSUPPORTED("""COMPUTED_VALUE"""),"NA")</f>
        <v>NA</v>
      </c>
      <c r="L10" s="203" t="str">
        <f ca="1">IFERROR(__xludf.UNSUPPORTED("""COMPUTED_VALUE"""),"NA")</f>
        <v>NA</v>
      </c>
    </row>
    <row r="11" spans="1:12">
      <c r="B11" s="203" t="str">
        <f ca="1">IFERROR(__xludf.UNSUPPORTED("""COMPUTED_VALUE"""),"RESIDENTE MULTI")</f>
        <v>RESIDENTE MULTI</v>
      </c>
      <c r="C11" s="203" t="str">
        <f ca="1">IFERROR(__xludf.UNSUPPORTED("""COMPUTED_VALUE"""),"HJXXIII")</f>
        <v>HJXXIII</v>
      </c>
      <c r="D11" s="203" t="str">
        <f ca="1">IFERROR(__xludf.UNSUPPORTED("""COMPUTED_VALUE"""),"FHEMIG")</f>
        <v>FHEMIG</v>
      </c>
      <c r="E11" s="203" t="str">
        <f ca="1">IFERROR(__xludf.UNSUPPORTED("""COMPUTED_VALUE"""),"TCR")</f>
        <v>TCR</v>
      </c>
      <c r="F11" s="203" t="str">
        <f ca="1">IFERROR(__xludf.UNSUPPORTED("""COMPUTED_VALUE"""),"Transversal retrospectivo")</f>
        <v>Transversal retrospectivo</v>
      </c>
      <c r="G11" s="203" t="str">
        <f ca="1">IFERROR(__xludf.UNSUPPORTED("""COMPUTED_VALUE"""),"NA")</f>
        <v>NA</v>
      </c>
      <c r="H11" s="203" t="str">
        <f ca="1">IFERROR(__xludf.UNSUPPORTED("""COMPUTED_VALUE"""),"ABC")</f>
        <v>ABC</v>
      </c>
      <c r="I11" s="203" t="str">
        <f ca="1">IFERROR(__xludf.UNSUPPORTED("""COMPUTED_VALUE"""),"Aprovado no 2 PT")</f>
        <v>Aprovado no 2 PT</v>
      </c>
      <c r="J11" s="381">
        <f ca="1">IFERROR(__xludf.UNSUPPORTED("""COMPUTED_VALUE"""),45716)</f>
        <v>45716</v>
      </c>
      <c r="K11" s="203" t="str">
        <f ca="1">IFERROR(__xludf.UNSUPPORTED("""COMPUTED_VALUE"""),"NA")</f>
        <v>NA</v>
      </c>
      <c r="L11" s="381">
        <f ca="1">IFERROR(__xludf.UNSUPPORTED("""COMPUTED_VALUE"""),45737)</f>
        <v>45737</v>
      </c>
    </row>
    <row r="12" spans="1:12">
      <c r="B12" s="203" t="str">
        <f ca="1">IFERROR(__xludf.UNSUPPORTED("""COMPUTED_VALUE"""),"RESIDENTE MULTI")</f>
        <v>RESIDENTE MULTI</v>
      </c>
      <c r="C12" s="203" t="str">
        <f ca="1">IFERROR(__xludf.UNSUPPORTED("""COMPUTED_VALUE"""),"HJXXIII")</f>
        <v>HJXXIII</v>
      </c>
      <c r="D12" s="203" t="str">
        <f ca="1">IFERROR(__xludf.UNSUPPORTED("""COMPUTED_VALUE"""),"FHEMIG")</f>
        <v>FHEMIG</v>
      </c>
      <c r="E12" s="203" t="str">
        <f ca="1">IFERROR(__xludf.UNSUPPORTED("""COMPUTED_VALUE"""),"TCR")</f>
        <v>TCR</v>
      </c>
      <c r="F12" s="203" t="str">
        <f ca="1">IFERROR(__xludf.UNSUPPORTED("""COMPUTED_VALUE"""),"Observacional retrospectivo")</f>
        <v>Observacional retrospectivo</v>
      </c>
      <c r="G12" s="203" t="str">
        <f ca="1">IFERROR(__xludf.UNSUPPORTED("""COMPUTED_VALUE"""),"NA")</f>
        <v>NA</v>
      </c>
      <c r="H12" s="203" t="str">
        <f ca="1">IFERROR(__xludf.UNSUPPORTED("""COMPUTED_VALUE"""),"ABC")</f>
        <v>ABC</v>
      </c>
      <c r="I12" s="203" t="str">
        <f ca="1">IFERROR(__xludf.UNSUPPORTED("""COMPUTED_VALUE"""),"Aprovado no 1 PT")</f>
        <v>Aprovado no 1 PT</v>
      </c>
      <c r="J12" s="381">
        <f ca="1">IFERROR(__xludf.UNSUPPORTED("""COMPUTED_VALUE"""),45709)</f>
        <v>45709</v>
      </c>
      <c r="K12" s="203" t="str">
        <f ca="1">IFERROR(__xludf.UNSUPPORTED("""COMPUTED_VALUE"""),"NA")</f>
        <v>NA</v>
      </c>
      <c r="L12" s="203" t="str">
        <f ca="1">IFERROR(__xludf.UNSUPPORTED("""COMPUTED_VALUE"""),"NA")</f>
        <v>NA</v>
      </c>
    </row>
    <row r="13" spans="1:12">
      <c r="B13" s="203" t="str">
        <f ca="1">IFERROR(__xludf.UNSUPPORTED("""COMPUTED_VALUE"""),"PESQ EXTERNO")</f>
        <v>PESQ EXTERNO</v>
      </c>
      <c r="C13" s="203" t="str">
        <f ca="1">IFERROR(__xludf.UNSUPPORTED("""COMPUTED_VALUE"""),"HIJPII")</f>
        <v>HIJPII</v>
      </c>
      <c r="D13" s="203" t="str">
        <f ca="1">IFERROR(__xludf.UNSUPPORTED("""COMPUTED_VALUE"""),"UFMG")</f>
        <v>UFMG</v>
      </c>
      <c r="E13" s="203" t="str">
        <f ca="1">IFERROR(__xludf.UNSUPPORTED("""COMPUTED_VALUE"""),"CONGRESSO/DIVULGAÇÃO/PUBLICAÇÃO")</f>
        <v>CONGRESSO/DIVULGAÇÃO/PUBLICAÇÃO</v>
      </c>
      <c r="F13" s="203" t="str">
        <f ca="1">IFERROR(__xludf.UNSUPPORTED("""COMPUTED_VALUE"""),"Observacional prospectivo")</f>
        <v>Observacional prospectivo</v>
      </c>
      <c r="G13" s="203" t="str">
        <f ca="1">IFERROR(__xludf.UNSUPPORTED("""COMPUTED_VALUE"""),"NA")</f>
        <v>NA</v>
      </c>
      <c r="H13" s="203" t="str">
        <f ca="1">IFERROR(__xludf.UNSUPPORTED("""COMPUTED_VALUE"""),"ABC")</f>
        <v>ABC</v>
      </c>
      <c r="I13" s="203" t="str">
        <f ca="1">IFERROR(__xludf.UNSUPPORTED("""COMPUTED_VALUE"""),"Aprovado no 4 PT")</f>
        <v>Aprovado no 4 PT</v>
      </c>
      <c r="J13" s="381">
        <f ca="1">IFERROR(__xludf.UNSUPPORTED("""COMPUTED_VALUE"""),45842)</f>
        <v>45842</v>
      </c>
      <c r="K13" s="203" t="str">
        <f ca="1">IFERROR(__xludf.UNSUPPORTED("""COMPUTED_VALUE"""),"07/072025")</f>
        <v>07/072025</v>
      </c>
      <c r="L13" s="203" t="str">
        <f ca="1">IFERROR(__xludf.UNSUPPORTED("""COMPUTED_VALUE"""),"NA")</f>
        <v>NA</v>
      </c>
    </row>
    <row r="14" spans="1:12">
      <c r="B14" s="203" t="str">
        <f ca="1">IFERROR(__xludf.UNSUPPORTED("""COMPUTED_VALUE"""),"RESIDENTE MULTI")</f>
        <v>RESIDENTE MULTI</v>
      </c>
      <c r="C14" s="203" t="str">
        <f ca="1">IFERROR(__xludf.UNSUPPORTED("""COMPUTED_VALUE"""),"HIJPII")</f>
        <v>HIJPII</v>
      </c>
      <c r="D14" s="203" t="str">
        <f ca="1">IFERROR(__xludf.UNSUPPORTED("""COMPUTED_VALUE"""),"FHEMIG")</f>
        <v>FHEMIG</v>
      </c>
      <c r="E14" s="203" t="str">
        <f ca="1">IFERROR(__xludf.UNSUPPORTED("""COMPUTED_VALUE"""),"TCR")</f>
        <v>TCR</v>
      </c>
      <c r="F14" s="203" t="str">
        <f ca="1">IFERROR(__xludf.UNSUPPORTED("""COMPUTED_VALUE"""),"Observacional prospectivo")</f>
        <v>Observacional prospectivo</v>
      </c>
      <c r="G14" s="203" t="str">
        <f ca="1">IFERROR(__xludf.UNSUPPORTED("""COMPUTED_VALUE"""),"NA")</f>
        <v>NA</v>
      </c>
      <c r="H14" s="203" t="str">
        <f ca="1">IFERROR(__xludf.UNSUPPORTED("""COMPUTED_VALUE"""),"ABC")</f>
        <v>ABC</v>
      </c>
      <c r="I14" s="203" t="str">
        <f ca="1">IFERROR(__xludf.UNSUPPORTED("""COMPUTED_VALUE"""),"Aprovado no 1 PT")</f>
        <v>Aprovado no 1 PT</v>
      </c>
      <c r="J14" s="381">
        <f ca="1">IFERROR(__xludf.UNSUPPORTED("""COMPUTED_VALUE"""),45743)</f>
        <v>45743</v>
      </c>
      <c r="K14" s="203" t="str">
        <f ca="1">IFERROR(__xludf.UNSUPPORTED("""COMPUTED_VALUE"""),"NA")</f>
        <v>NA</v>
      </c>
      <c r="L14" s="203" t="str">
        <f ca="1">IFERROR(__xludf.UNSUPPORTED("""COMPUTED_VALUE"""),"NA")</f>
        <v>NA</v>
      </c>
    </row>
    <row r="15" spans="1:12">
      <c r="B15" s="203" t="str">
        <f ca="1">IFERROR(__xludf.UNSUPPORTED("""COMPUTED_VALUE"""),"SERVIDOR")</f>
        <v>SERVIDOR</v>
      </c>
      <c r="C15" s="203" t="str">
        <f ca="1">IFERROR(__xludf.UNSUPPORTED("""COMPUTED_VALUE"""),"HJXXIII")</f>
        <v>HJXXIII</v>
      </c>
      <c r="D15" s="203" t="str">
        <f ca="1">IFERROR(__xludf.UNSUPPORTED("""COMPUTED_VALUE"""),"FHEMIG")</f>
        <v>FHEMIG</v>
      </c>
      <c r="E15" s="203" t="str">
        <f ca="1">IFERROR(__xludf.UNSUPPORTED("""COMPUTED_VALUE"""),"CONGRESSO/DIVULGAÇÃO/PUBLICAÇÃO")</f>
        <v>CONGRESSO/DIVULGAÇÃO/PUBLICAÇÃO</v>
      </c>
      <c r="F15" s="203" t="str">
        <f ca="1">IFERROR(__xludf.UNSUPPORTED("""COMPUTED_VALUE"""),"Observacional retrospectivo")</f>
        <v>Observacional retrospectivo</v>
      </c>
      <c r="G15" s="203" t="str">
        <f ca="1">IFERROR(__xludf.UNSUPPORTED("""COMPUTED_VALUE"""),"NA ")</f>
        <v xml:space="preserve">NA </v>
      </c>
      <c r="H15" s="203" t="str">
        <f ca="1">IFERROR(__xludf.UNSUPPORTED("""COMPUTED_VALUE"""),"ABC")</f>
        <v>ABC</v>
      </c>
      <c r="I15" s="203" t="str">
        <f ca="1">IFERROR(__xludf.UNSUPPORTED("""COMPUTED_VALUE"""),"Aprovado no 2 PT")</f>
        <v>Aprovado no 2 PT</v>
      </c>
      <c r="J15" s="381">
        <f ca="1">IFERROR(__xludf.UNSUPPORTED("""COMPUTED_VALUE"""),45760)</f>
        <v>45760</v>
      </c>
      <c r="K15" s="203" t="str">
        <f ca="1">IFERROR(__xludf.UNSUPPORTED("""COMPUTED_VALUE"""),"NA")</f>
        <v>NA</v>
      </c>
      <c r="L15" s="381">
        <f ca="1">IFERROR(__xludf.UNSUPPORTED("""COMPUTED_VALUE"""),45771)</f>
        <v>45771</v>
      </c>
    </row>
    <row r="16" spans="1:12">
      <c r="B16" s="203" t="str">
        <f ca="1">IFERROR(__xludf.UNSUPPORTED("""COMPUTED_VALUE"""),"SERVIDOR")</f>
        <v>SERVIDOR</v>
      </c>
      <c r="C16" s="203" t="str">
        <f ca="1">IFERROR(__xludf.UNSUPPORTED("""COMPUTED_VALUE"""),"HJXXIII")</f>
        <v>HJXXIII</v>
      </c>
      <c r="D16" s="203" t="str">
        <f ca="1">IFERROR(__xludf.UNSUPPORTED("""COMPUTED_VALUE"""),"FHEMIG")</f>
        <v>FHEMIG</v>
      </c>
      <c r="E16" s="203" t="str">
        <f ca="1">IFERROR(__xludf.UNSUPPORTED("""COMPUTED_VALUE"""),"TCR")</f>
        <v>TCR</v>
      </c>
      <c r="F16" s="203" t="str">
        <f ca="1">IFERROR(__xludf.UNSUPPORTED("""COMPUTED_VALUE"""),"Observacional retrospectivo")</f>
        <v>Observacional retrospectivo</v>
      </c>
      <c r="G16" s="203" t="str">
        <f ca="1">IFERROR(__xludf.UNSUPPORTED("""COMPUTED_VALUE"""),"NA")</f>
        <v>NA</v>
      </c>
      <c r="H16" s="203" t="str">
        <f ca="1">IFERROR(__xludf.UNSUPPORTED("""COMPUTED_VALUE"""),"ABC")</f>
        <v>ABC</v>
      </c>
      <c r="I16" s="203" t="str">
        <f ca="1">IFERROR(__xludf.UNSUPPORTED("""COMPUTED_VALUE"""),"Aprovado no 2 PT")</f>
        <v>Aprovado no 2 PT</v>
      </c>
      <c r="J16" s="381">
        <f ca="1">IFERROR(__xludf.UNSUPPORTED("""COMPUTED_VALUE"""),45713)</f>
        <v>45713</v>
      </c>
      <c r="K16" s="203" t="str">
        <f ca="1">IFERROR(__xludf.UNSUPPORTED("""COMPUTED_VALUE"""),"NA")</f>
        <v>NA</v>
      </c>
      <c r="L16" s="203" t="str">
        <f ca="1">IFERROR(__xludf.UNSUPPORTED("""COMPUTED_VALUE"""),"NA")</f>
        <v>NA</v>
      </c>
    </row>
    <row r="17" spans="2:12">
      <c r="B17" s="203" t="str">
        <f ca="1">IFERROR(__xludf.UNSUPPORTED("""COMPUTED_VALUE"""),"RESIDENTE MÉDIC")</f>
        <v>RESIDENTE MÉDIC</v>
      </c>
      <c r="C17" s="203" t="str">
        <f ca="1">IFERROR(__xludf.UNSUPPORTED("""COMPUTED_VALUE"""),"HIJPII")</f>
        <v>HIJPII</v>
      </c>
      <c r="D17" s="203" t="str">
        <f ca="1">IFERROR(__xludf.UNSUPPORTED("""COMPUTED_VALUE"""),"UFMG")</f>
        <v>UFMG</v>
      </c>
      <c r="E17" s="203" t="str">
        <f ca="1">IFERROR(__xludf.UNSUPPORTED("""COMPUTED_VALUE"""),"TCR")</f>
        <v>TCR</v>
      </c>
      <c r="F17" s="203"/>
      <c r="G17" s="203" t="str">
        <f ca="1">IFERROR(__xludf.UNSUPPORTED("""COMPUTED_VALUE"""),"NA")</f>
        <v>NA</v>
      </c>
      <c r="H17" s="203">
        <f ca="1">IFERROR(__xludf.UNSUPPORTED("""COMPUTED_VALUE"""),2)</f>
        <v>2</v>
      </c>
      <c r="I17" s="203" t="str">
        <f ca="1">IFERROR(__xludf.UNSUPPORTED("""COMPUTED_VALUE"""),"Aprovado no 1 PT")</f>
        <v>Aprovado no 1 PT</v>
      </c>
      <c r="J17" s="381">
        <f ca="1">IFERROR(__xludf.UNSUPPORTED("""COMPUTED_VALUE"""),45695)</f>
        <v>45695</v>
      </c>
      <c r="K17" s="382">
        <f ca="1">IFERROR(__xludf.UNSUPPORTED("""COMPUTED_VALUE"""),45944)</f>
        <v>45944</v>
      </c>
      <c r="L17" s="203"/>
    </row>
    <row r="18" spans="2:12">
      <c r="B18" s="203" t="str">
        <f ca="1">IFERROR(__xludf.UNSUPPORTED("""COMPUTED_VALUE"""),"SERVIDOR")</f>
        <v>SERVIDOR</v>
      </c>
      <c r="C18" s="203" t="str">
        <f ca="1">IFERROR(__xludf.UNSUPPORTED("""COMPUTED_VALUE"""),"HJXXIII")</f>
        <v>HJXXIII</v>
      </c>
      <c r="D18" s="203" t="str">
        <f ca="1">IFERROR(__xludf.UNSUPPORTED("""COMPUTED_VALUE"""),"FHEMIG")</f>
        <v>FHEMIG</v>
      </c>
      <c r="E18" s="203" t="str">
        <f ca="1">IFERROR(__xludf.UNSUPPORTED("""COMPUTED_VALUE"""),"CONGRESSO/DIVULGAÇÃO/PUBLICAÇÃO")</f>
        <v>CONGRESSO/DIVULGAÇÃO/PUBLICAÇÃO</v>
      </c>
      <c r="F18" s="203" t="str">
        <f ca="1">IFERROR(__xludf.UNSUPPORTED("""COMPUTED_VALUE"""),"Relato de experiência")</f>
        <v>Relato de experiência</v>
      </c>
      <c r="G18" s="203" t="str">
        <f ca="1">IFERROR(__xludf.UNSUPPORTED("""COMPUTED_VALUE"""),"NA")</f>
        <v>NA</v>
      </c>
      <c r="H18" s="203" t="str">
        <f ca="1">IFERROR(__xludf.UNSUPPORTED("""COMPUTED_VALUE"""),"ABC")</f>
        <v>ABC</v>
      </c>
      <c r="I18" s="203" t="str">
        <f ca="1">IFERROR(__xludf.UNSUPPORTED("""COMPUTED_VALUE"""),"NA")</f>
        <v>NA</v>
      </c>
      <c r="J18" s="203" t="str">
        <f ca="1">IFERROR(__xludf.UNSUPPORTED("""COMPUTED_VALUE"""),"NA")</f>
        <v>NA</v>
      </c>
      <c r="K18" s="203" t="str">
        <f ca="1">IFERROR(__xludf.UNSUPPORTED("""COMPUTED_VALUE"""),"NA")</f>
        <v>NA</v>
      </c>
      <c r="L18" s="203" t="str">
        <f ca="1">IFERROR(__xludf.UNSUPPORTED("""COMPUTED_VALUE"""),"NA")</f>
        <v>NA</v>
      </c>
    </row>
    <row r="19" spans="2:12">
      <c r="B19" s="203" t="str">
        <f ca="1">IFERROR(__xludf.UNSUPPORTED("""COMPUTED_VALUE"""),"RESIDENTE MÉDIC")</f>
        <v>RESIDENTE MÉDIC</v>
      </c>
      <c r="C19" s="203" t="str">
        <f ca="1">IFERROR(__xludf.UNSUPPORTED("""COMPUTED_VALUE"""),"HJXXIII")</f>
        <v>HJXXIII</v>
      </c>
      <c r="D19" s="203" t="str">
        <f ca="1">IFERROR(__xludf.UNSUPPORTED("""COMPUTED_VALUE"""),"FHEMIG")</f>
        <v>FHEMIG</v>
      </c>
      <c r="E19" s="203" t="str">
        <f ca="1">IFERROR(__xludf.UNSUPPORTED("""COMPUTED_VALUE"""),"TCR")</f>
        <v>TCR</v>
      </c>
      <c r="F19" s="203" t="str">
        <f ca="1">IFERROR(__xludf.UNSUPPORTED("""COMPUTED_VALUE"""),"Observacional prospectivo")</f>
        <v>Observacional prospectivo</v>
      </c>
      <c r="G19" s="203" t="str">
        <f ca="1">IFERROR(__xludf.UNSUPPORTED("""COMPUTED_VALUE"""),"Romulo Souki")</f>
        <v>Romulo Souki</v>
      </c>
      <c r="H19" s="203" t="str">
        <f ca="1">IFERROR(__xludf.UNSUPPORTED("""COMPUTED_VALUE"""),"ABC")</f>
        <v>ABC</v>
      </c>
      <c r="I19" s="203" t="str">
        <f ca="1">IFERROR(__xludf.UNSUPPORTED("""COMPUTED_VALUE"""),"Aprovado no 2 PT")</f>
        <v>Aprovado no 2 PT</v>
      </c>
      <c r="J19" s="381">
        <f ca="1">IFERROR(__xludf.UNSUPPORTED("""COMPUTED_VALUE"""),45804)</f>
        <v>45804</v>
      </c>
      <c r="K19" s="203" t="str">
        <f ca="1">IFERROR(__xludf.UNSUPPORTED("""COMPUTED_VALUE"""),"NA")</f>
        <v>NA</v>
      </c>
      <c r="L19" s="381">
        <f ca="1">IFERROR(__xludf.UNSUPPORTED("""COMPUTED_VALUE"""),45814)</f>
        <v>45814</v>
      </c>
    </row>
    <row r="20" spans="2:12">
      <c r="B20" s="203" t="str">
        <f ca="1">IFERROR(__xludf.UNSUPPORTED("""COMPUTED_VALUE"""),"RESIDENTE MULTI")</f>
        <v>RESIDENTE MULTI</v>
      </c>
      <c r="C20" s="203" t="str">
        <f ca="1">IFERROR(__xludf.UNSUPPORTED("""COMPUTED_VALUE"""),"HJXXIII")</f>
        <v>HJXXIII</v>
      </c>
      <c r="D20" s="203" t="str">
        <f ca="1">IFERROR(__xludf.UNSUPPORTED("""COMPUTED_VALUE"""),"FHEMIG")</f>
        <v>FHEMIG</v>
      </c>
      <c r="E20" s="203" t="str">
        <f ca="1">IFERROR(__xludf.UNSUPPORTED("""COMPUTED_VALUE"""),"TCR")</f>
        <v>TCR</v>
      </c>
      <c r="F20" s="203" t="str">
        <f ca="1">IFERROR(__xludf.UNSUPPORTED("""COMPUTED_VALUE"""),"Relato de caso")</f>
        <v>Relato de caso</v>
      </c>
      <c r="G20" s="203" t="str">
        <f ca="1">IFERROR(__xludf.UNSUPPORTED("""COMPUTED_VALUE"""),"NA")</f>
        <v>NA</v>
      </c>
      <c r="H20" s="203" t="str">
        <f ca="1">IFERROR(__xludf.UNSUPPORTED("""COMPUTED_VALUE"""),"ABC")</f>
        <v>ABC</v>
      </c>
      <c r="I20" s="203" t="str">
        <f ca="1">IFERROR(__xludf.UNSUPPORTED("""COMPUTED_VALUE"""),"Aprovado no 1 PT")</f>
        <v>Aprovado no 1 PT</v>
      </c>
      <c r="J20" s="381">
        <f ca="1">IFERROR(__xludf.UNSUPPORTED("""COMPUTED_VALUE"""),45304)</f>
        <v>45304</v>
      </c>
      <c r="K20" s="203" t="str">
        <f ca="1">IFERROR(__xludf.UNSUPPORTED("""COMPUTED_VALUE"""),"NA")</f>
        <v>NA</v>
      </c>
      <c r="L20" s="203" t="str">
        <f ca="1">IFERROR(__xludf.UNSUPPORTED("""COMPUTED_VALUE"""),"NA")</f>
        <v>NA</v>
      </c>
    </row>
    <row r="21" spans="2:12">
      <c r="B21" s="203" t="str">
        <f ca="1">IFERROR(__xludf.UNSUPPORTED("""COMPUTED_VALUE"""),"RESIDENTE MÉDIC")</f>
        <v>RESIDENTE MÉDIC</v>
      </c>
      <c r="C21" s="203" t="str">
        <f ca="1">IFERROR(__xludf.UNSUPPORTED("""COMPUTED_VALUE"""),"HJXXIII")</f>
        <v>HJXXIII</v>
      </c>
      <c r="D21" s="203" t="str">
        <f ca="1">IFERROR(__xludf.UNSUPPORTED("""COMPUTED_VALUE"""),"FHEMIG")</f>
        <v>FHEMIG</v>
      </c>
      <c r="E21" s="203" t="str">
        <f ca="1">IFERROR(__xludf.UNSUPPORTED("""COMPUTED_VALUE"""),"TCR")</f>
        <v>TCR</v>
      </c>
      <c r="F21" s="203" t="str">
        <f ca="1">IFERROR(__xludf.UNSUPPORTED("""COMPUTED_VALUE"""),"Relato de caso")</f>
        <v>Relato de caso</v>
      </c>
      <c r="G21" s="203" t="str">
        <f ca="1">IFERROR(__xludf.UNSUPPORTED("""COMPUTED_VALUE"""),"NA")</f>
        <v>NA</v>
      </c>
      <c r="H21" s="203" t="str">
        <f ca="1">IFERROR(__xludf.UNSUPPORTED("""COMPUTED_VALUE"""),"ABC")</f>
        <v>ABC</v>
      </c>
      <c r="I21" s="203" t="str">
        <f ca="1">IFERROR(__xludf.UNSUPPORTED("""COMPUTED_VALUE"""),"Aprovado no 1 PT")</f>
        <v>Aprovado no 1 PT</v>
      </c>
      <c r="J21" s="381">
        <f ca="1">IFERROR(__xludf.UNSUPPORTED("""COMPUTED_VALUE"""),45670)</f>
        <v>45670</v>
      </c>
      <c r="K21" s="203" t="str">
        <f ca="1">IFERROR(__xludf.UNSUPPORTED("""COMPUTED_VALUE"""),"NA")</f>
        <v>NA</v>
      </c>
      <c r="L21" s="381">
        <f ca="1">IFERROR(__xludf.UNSUPPORTED("""COMPUTED_VALUE"""),45694)</f>
        <v>45694</v>
      </c>
    </row>
    <row r="22" spans="2:12">
      <c r="B22" s="203" t="str">
        <f ca="1">IFERROR(__xludf.UNSUPPORTED("""COMPUTED_VALUE"""),"RESIDENTE MULTI")</f>
        <v>RESIDENTE MULTI</v>
      </c>
      <c r="C22" s="203" t="str">
        <f ca="1">IFERROR(__xludf.UNSUPPORTED("""COMPUTED_VALUE"""),"HJXXIII")</f>
        <v>HJXXIII</v>
      </c>
      <c r="D22" s="203" t="str">
        <f ca="1">IFERROR(__xludf.UNSUPPORTED("""COMPUTED_VALUE"""),"FHEMIG")</f>
        <v>FHEMIG</v>
      </c>
      <c r="E22" s="203" t="str">
        <f ca="1">IFERROR(__xludf.UNSUPPORTED("""COMPUTED_VALUE"""),"TCR")</f>
        <v>TCR</v>
      </c>
      <c r="F22" s="203" t="str">
        <f ca="1">IFERROR(__xludf.UNSUPPORTED("""COMPUTED_VALUE"""),"Observacional prospectivo")</f>
        <v>Observacional prospectivo</v>
      </c>
      <c r="G22" s="203" t="str">
        <f ca="1">IFERROR(__xludf.UNSUPPORTED("""COMPUTED_VALUE"""),"NA")</f>
        <v>NA</v>
      </c>
      <c r="H22" s="203" t="str">
        <f ca="1">IFERROR(__xludf.UNSUPPORTED("""COMPUTED_VALUE"""),"ABC")</f>
        <v>ABC</v>
      </c>
      <c r="I22" s="203" t="str">
        <f ca="1">IFERROR(__xludf.UNSUPPORTED("""COMPUTED_VALUE"""),"Aprovado no 1 PT")</f>
        <v>Aprovado no 1 PT</v>
      </c>
      <c r="J22" s="381">
        <f ca="1">IFERROR(__xludf.UNSUPPORTED("""COMPUTED_VALUE"""),45671)</f>
        <v>45671</v>
      </c>
      <c r="K22" s="203" t="str">
        <f ca="1">IFERROR(__xludf.UNSUPPORTED("""COMPUTED_VALUE"""),"NA")</f>
        <v>NA</v>
      </c>
      <c r="L22" s="203" t="str">
        <f ca="1">IFERROR(__xludf.UNSUPPORTED("""COMPUTED_VALUE"""),"NA")</f>
        <v>NA</v>
      </c>
    </row>
    <row r="23" spans="2:12">
      <c r="B23" s="203" t="str">
        <f ca="1">IFERROR(__xludf.UNSUPPORTED("""COMPUTED_VALUE"""),"RESIDENTE MÉDIC")</f>
        <v>RESIDENTE MÉDIC</v>
      </c>
      <c r="C23" s="203" t="str">
        <f ca="1">IFERROR(__xludf.UNSUPPORTED("""COMPUTED_VALUE"""),"HJXXIII")</f>
        <v>HJXXIII</v>
      </c>
      <c r="D23" s="203" t="str">
        <f ca="1">IFERROR(__xludf.UNSUPPORTED("""COMPUTED_VALUE"""),"FHEMIG")</f>
        <v>FHEMIG</v>
      </c>
      <c r="E23" s="203" t="str">
        <f ca="1">IFERROR(__xludf.UNSUPPORTED("""COMPUTED_VALUE"""),"TCR")</f>
        <v>TCR</v>
      </c>
      <c r="F23" s="203" t="str">
        <f ca="1">IFERROR(__xludf.UNSUPPORTED("""COMPUTED_VALUE"""),"Relato de caso")</f>
        <v>Relato de caso</v>
      </c>
      <c r="G23" s="203" t="str">
        <f ca="1">IFERROR(__xludf.UNSUPPORTED("""COMPUTED_VALUE"""),"NA")</f>
        <v>NA</v>
      </c>
      <c r="H23" s="203" t="str">
        <f ca="1">IFERROR(__xludf.UNSUPPORTED("""COMPUTED_VALUE"""),"ABC")</f>
        <v>ABC</v>
      </c>
      <c r="I23" s="203" t="str">
        <f ca="1">IFERROR(__xludf.UNSUPPORTED("""COMPUTED_VALUE"""),"Aprovado no 1 PT")</f>
        <v>Aprovado no 1 PT</v>
      </c>
      <c r="J23" s="381">
        <f ca="1">IFERROR(__xludf.UNSUPPORTED("""COMPUTED_VALUE"""),45670)</f>
        <v>45670</v>
      </c>
      <c r="K23" s="203" t="str">
        <f ca="1">IFERROR(__xludf.UNSUPPORTED("""COMPUTED_VALUE"""),"NA")</f>
        <v>NA</v>
      </c>
      <c r="L23" s="203" t="str">
        <f ca="1">IFERROR(__xludf.UNSUPPORTED("""COMPUTED_VALUE"""),"NA")</f>
        <v>NA</v>
      </c>
    </row>
    <row r="24" spans="2:12">
      <c r="B24" s="203" t="str">
        <f ca="1">IFERROR(__xludf.UNSUPPORTED("""COMPUTED_VALUE"""),"PESQ EXTERNO")</f>
        <v>PESQ EXTERNO</v>
      </c>
      <c r="C24" s="203" t="str">
        <f ca="1">IFERROR(__xludf.UNSUPPORTED("""COMPUTED_VALUE"""),"HJXXIII")</f>
        <v>HJXXIII</v>
      </c>
      <c r="D24" s="203" t="str">
        <f ca="1">IFERROR(__xludf.UNSUPPORTED("""COMPUTED_VALUE"""),"PUC-MG")</f>
        <v>PUC-MG</v>
      </c>
      <c r="E24" s="203" t="str">
        <f ca="1">IFERROR(__xludf.UNSUPPORTED("""COMPUTED_VALUE"""),"TCR")</f>
        <v>TCR</v>
      </c>
      <c r="F24" s="203" t="str">
        <f ca="1">IFERROR(__xludf.UNSUPPORTED("""COMPUTED_VALUE"""),"Observacional retrospectivo")</f>
        <v>Observacional retrospectivo</v>
      </c>
      <c r="G24" s="203" t="str">
        <f ca="1">IFERROR(__xludf.UNSUPPORTED("""COMPUTED_VALUE"""),"NA")</f>
        <v>NA</v>
      </c>
      <c r="H24" s="203" t="str">
        <f ca="1">IFERROR(__xludf.UNSUPPORTED("""COMPUTED_VALUE"""),"ABC")</f>
        <v>ABC</v>
      </c>
      <c r="I24" s="203" t="str">
        <f ca="1">IFERROR(__xludf.UNSUPPORTED("""COMPUTED_VALUE"""),"Aprovado no 1 PT")</f>
        <v>Aprovado no 1 PT</v>
      </c>
      <c r="J24" s="381">
        <f ca="1">IFERROR(__xludf.UNSUPPORTED("""COMPUTED_VALUE"""),45671)</f>
        <v>45671</v>
      </c>
      <c r="K24" s="381">
        <f ca="1">IFERROR(__xludf.UNSUPPORTED("""COMPUTED_VALUE"""),45698)</f>
        <v>45698</v>
      </c>
      <c r="L24" s="381">
        <f ca="1">IFERROR(__xludf.UNSUPPORTED("""COMPUTED_VALUE"""),45770)</f>
        <v>45770</v>
      </c>
    </row>
    <row r="25" spans="2:12">
      <c r="B25" s="203" t="str">
        <f ca="1">IFERROR(__xludf.UNSUPPORTED("""COMPUTED_VALUE"""),"RESIDENTE BUCO")</f>
        <v>RESIDENTE BUCO</v>
      </c>
      <c r="C25" s="203" t="str">
        <f ca="1">IFERROR(__xludf.UNSUPPORTED("""COMPUTED_VALUE"""),"HJXXIII")</f>
        <v>HJXXIII</v>
      </c>
      <c r="D25" s="203" t="str">
        <f ca="1">IFERROR(__xludf.UNSUPPORTED("""COMPUTED_VALUE"""),"FHEMIG")</f>
        <v>FHEMIG</v>
      </c>
      <c r="E25" s="203" t="str">
        <f ca="1">IFERROR(__xludf.UNSUPPORTED("""COMPUTED_VALUE"""),"TCR")</f>
        <v>TCR</v>
      </c>
      <c r="F25" s="203" t="str">
        <f ca="1">IFERROR(__xludf.UNSUPPORTED("""COMPUTED_VALUE"""),"Observacional retrospectivo")</f>
        <v>Observacional retrospectivo</v>
      </c>
      <c r="G25" s="203" t="str">
        <f ca="1">IFERROR(__xludf.UNSUPPORTED("""COMPUTED_VALUE"""),"NA ")</f>
        <v xml:space="preserve">NA </v>
      </c>
      <c r="H25" s="203" t="str">
        <f ca="1">IFERROR(__xludf.UNSUPPORTED("""COMPUTED_VALUE"""),"ABC")</f>
        <v>ABC</v>
      </c>
      <c r="I25" s="203" t="str">
        <f ca="1">IFERROR(__xludf.UNSUPPORTED("""COMPUTED_VALUE"""),"Aprovado no 2 PT")</f>
        <v>Aprovado no 2 PT</v>
      </c>
      <c r="J25" s="381">
        <f ca="1">IFERROR(__xludf.UNSUPPORTED("""COMPUTED_VALUE"""),45709)</f>
        <v>45709</v>
      </c>
      <c r="K25" s="203" t="str">
        <f ca="1">IFERROR(__xludf.UNSUPPORTED("""COMPUTED_VALUE"""),"NA")</f>
        <v>NA</v>
      </c>
      <c r="L25" s="381">
        <f ca="1">IFERROR(__xludf.UNSUPPORTED("""COMPUTED_VALUE"""),45737)</f>
        <v>45737</v>
      </c>
    </row>
    <row r="26" spans="2:12">
      <c r="B26" s="203" t="str">
        <f ca="1">IFERROR(__xludf.UNSUPPORTED("""COMPUTED_VALUE"""),"RESIDENTE MÉDIC")</f>
        <v>RESIDENTE MÉDIC</v>
      </c>
      <c r="C26" s="203" t="str">
        <f ca="1">IFERROR(__xludf.UNSUPPORTED("""COMPUTED_VALUE"""),"HJXXIII")</f>
        <v>HJXXIII</v>
      </c>
      <c r="D26" s="203" t="str">
        <f ca="1">IFERROR(__xludf.UNSUPPORTED("""COMPUTED_VALUE"""),"FHEMIG")</f>
        <v>FHEMIG</v>
      </c>
      <c r="E26" s="203" t="str">
        <f ca="1">IFERROR(__xludf.UNSUPPORTED("""COMPUTED_VALUE"""),"TCR")</f>
        <v>TCR</v>
      </c>
      <c r="F26" s="203" t="str">
        <f ca="1">IFERROR(__xludf.UNSUPPORTED("""COMPUTED_VALUE"""),"Observacional prospectivo")</f>
        <v>Observacional prospectivo</v>
      </c>
      <c r="G26" s="203" t="str">
        <f ca="1">IFERROR(__xludf.UNSUPPORTED("""COMPUTED_VALUE"""),"NA")</f>
        <v>NA</v>
      </c>
      <c r="H26" s="203" t="str">
        <f ca="1">IFERROR(__xludf.UNSUPPORTED("""COMPUTED_VALUE"""),"ABC")</f>
        <v>ABC</v>
      </c>
      <c r="I26" s="203" t="str">
        <f ca="1">IFERROR(__xludf.UNSUPPORTED("""COMPUTED_VALUE"""),"Aprovado no 2 PT")</f>
        <v>Aprovado no 2 PT</v>
      </c>
      <c r="J26" s="381">
        <f ca="1">IFERROR(__xludf.UNSUPPORTED("""COMPUTED_VALUE"""),45709)</f>
        <v>45709</v>
      </c>
      <c r="K26" s="203" t="str">
        <f ca="1">IFERROR(__xludf.UNSUPPORTED("""COMPUTED_VALUE"""),"NA")</f>
        <v>NA</v>
      </c>
      <c r="L26" s="203" t="str">
        <f ca="1">IFERROR(__xludf.UNSUPPORTED("""COMPUTED_VALUE"""),"NA")</f>
        <v>NA</v>
      </c>
    </row>
    <row r="27" spans="2:12">
      <c r="B27" s="203" t="str">
        <f ca="1">IFERROR(__xludf.UNSUPPORTED("""COMPUTED_VALUE"""),"RESIDENTE MULTI")</f>
        <v>RESIDENTE MULTI</v>
      </c>
      <c r="C27" s="203" t="str">
        <f ca="1">IFERROR(__xludf.UNSUPPORTED("""COMPUTED_VALUE"""),"HJXXIII")</f>
        <v>HJXXIII</v>
      </c>
      <c r="D27" s="203" t="str">
        <f ca="1">IFERROR(__xludf.UNSUPPORTED("""COMPUTED_VALUE"""),"FHEMIG")</f>
        <v>FHEMIG</v>
      </c>
      <c r="E27" s="203" t="str">
        <f ca="1">IFERROR(__xludf.UNSUPPORTED("""COMPUTED_VALUE"""),"TCR")</f>
        <v>TCR</v>
      </c>
      <c r="F27" s="203" t="str">
        <f ca="1">IFERROR(__xludf.UNSUPPORTED("""COMPUTED_VALUE"""),"Observacional prospectivo")</f>
        <v>Observacional prospectivo</v>
      </c>
      <c r="G27" s="203" t="str">
        <f ca="1">IFERROR(__xludf.UNSUPPORTED("""COMPUTED_VALUE"""),"NA ")</f>
        <v xml:space="preserve">NA </v>
      </c>
      <c r="H27" s="203" t="str">
        <f ca="1">IFERROR(__xludf.UNSUPPORTED("""COMPUTED_VALUE"""),"ABC")</f>
        <v>ABC</v>
      </c>
      <c r="I27" s="203" t="str">
        <f ca="1">IFERROR(__xludf.UNSUPPORTED("""COMPUTED_VALUE"""),"Aprovado no 2 PT")</f>
        <v>Aprovado no 2 PT</v>
      </c>
      <c r="J27" s="381">
        <f ca="1">IFERROR(__xludf.UNSUPPORTED("""COMPUTED_VALUE"""),45716)</f>
        <v>45716</v>
      </c>
      <c r="K27" s="203" t="str">
        <f ca="1">IFERROR(__xludf.UNSUPPORTED("""COMPUTED_VALUE"""),"NA")</f>
        <v>NA</v>
      </c>
      <c r="L27" s="381">
        <f ca="1">IFERROR(__xludf.UNSUPPORTED("""COMPUTED_VALUE"""),45723)</f>
        <v>45723</v>
      </c>
    </row>
    <row r="28" spans="2:12">
      <c r="B28" s="203" t="str">
        <f ca="1">IFERROR(__xludf.UNSUPPORTED("""COMPUTED_VALUE"""),"RESIDENTE MULTI")</f>
        <v>RESIDENTE MULTI</v>
      </c>
      <c r="C28" s="203" t="str">
        <f ca="1">IFERROR(__xludf.UNSUPPORTED("""COMPUTED_VALUE"""),"HJXXIII")</f>
        <v>HJXXIII</v>
      </c>
      <c r="D28" s="203" t="str">
        <f ca="1">IFERROR(__xludf.UNSUPPORTED("""COMPUTED_VALUE"""),"FHEMIG")</f>
        <v>FHEMIG</v>
      </c>
      <c r="E28" s="203" t="str">
        <f ca="1">IFERROR(__xludf.UNSUPPORTED("""COMPUTED_VALUE"""),"TCR")</f>
        <v>TCR</v>
      </c>
      <c r="F28" s="203" t="str">
        <f ca="1">IFERROR(__xludf.UNSUPPORTED("""COMPUTED_VALUE"""),"Relato de caso")</f>
        <v>Relato de caso</v>
      </c>
      <c r="G28" s="203" t="str">
        <f ca="1">IFERROR(__xludf.UNSUPPORTED("""COMPUTED_VALUE"""),"NA")</f>
        <v>NA</v>
      </c>
      <c r="H28" s="203" t="str">
        <f ca="1">IFERROR(__xludf.UNSUPPORTED("""COMPUTED_VALUE"""),"ABC")</f>
        <v>ABC</v>
      </c>
      <c r="I28" s="203" t="str">
        <f ca="1">IFERROR(__xludf.UNSUPPORTED("""COMPUTED_VALUE"""),"NA")</f>
        <v>NA</v>
      </c>
      <c r="J28" s="203" t="str">
        <f ca="1">IFERROR(__xludf.UNSUPPORTED("""COMPUTED_VALUE"""),"NA")</f>
        <v>NA</v>
      </c>
      <c r="K28" s="203" t="str">
        <f ca="1">IFERROR(__xludf.UNSUPPORTED("""COMPUTED_VALUE"""),"NA")</f>
        <v>NA</v>
      </c>
      <c r="L28" s="381">
        <f ca="1">IFERROR(__xludf.UNSUPPORTED("""COMPUTED_VALUE"""),45741)</f>
        <v>45741</v>
      </c>
    </row>
    <row r="29" spans="2:12">
      <c r="B29" s="203" t="str">
        <f ca="1">IFERROR(__xludf.UNSUPPORTED("""COMPUTED_VALUE"""),"SERVIDOR")</f>
        <v>SERVIDOR</v>
      </c>
      <c r="C29" s="203" t="str">
        <f ca="1">IFERROR(__xludf.UNSUPPORTED("""COMPUTED_VALUE"""),"HJXXIII")</f>
        <v>HJXXIII</v>
      </c>
      <c r="D29" s="203" t="str">
        <f ca="1">IFERROR(__xludf.UNSUPPORTED("""COMPUTED_VALUE"""),"UFMG")</f>
        <v>UFMG</v>
      </c>
      <c r="E29" s="203" t="str">
        <f ca="1">IFERROR(__xludf.UNSUPPORTED("""COMPUTED_VALUE"""),"MESTRADO")</f>
        <v>MESTRADO</v>
      </c>
      <c r="F29" s="203" t="str">
        <f ca="1">IFERROR(__xludf.UNSUPPORTED("""COMPUTED_VALUE"""),"Quase experimental")</f>
        <v>Quase experimental</v>
      </c>
      <c r="G29" s="203" t="str">
        <f ca="1">IFERROR(__xludf.UNSUPPORTED("""COMPUTED_VALUE"""),"ALINE")</f>
        <v>ALINE</v>
      </c>
      <c r="H29" s="203">
        <f ca="1">IFERROR(__xludf.UNSUPPORTED("""COMPUTED_VALUE"""),9)</f>
        <v>9</v>
      </c>
      <c r="I29" s="203" t="str">
        <f ca="1">IFERROR(__xludf.UNSUPPORTED("""COMPUTED_VALUE"""),"Aprovado no 1 PT")</f>
        <v>Aprovado no 1 PT</v>
      </c>
      <c r="J29" s="381">
        <f ca="1">IFERROR(__xludf.UNSUPPORTED("""COMPUTED_VALUE"""),45734)</f>
        <v>45734</v>
      </c>
      <c r="K29" s="382">
        <f ca="1">IFERROR(__xludf.UNSUPPORTED("""COMPUTED_VALUE"""),45959)</f>
        <v>45959</v>
      </c>
      <c r="L29" s="203" t="str">
        <f ca="1">IFERROR(__xludf.UNSUPPORTED("""COMPUTED_VALUE"""),"NA")</f>
        <v>NA</v>
      </c>
    </row>
    <row r="30" spans="2:12">
      <c r="B30" s="203" t="str">
        <f ca="1">IFERROR(__xludf.UNSUPPORTED("""COMPUTED_VALUE"""),"RESIDENTE MULTI")</f>
        <v>RESIDENTE MULTI</v>
      </c>
      <c r="C30" s="203" t="str">
        <f ca="1">IFERROR(__xludf.UNSUPPORTED("""COMPUTED_VALUE"""),"HJXXIII")</f>
        <v>HJXXIII</v>
      </c>
      <c r="D30" s="203" t="str">
        <f ca="1">IFERROR(__xludf.UNSUPPORTED("""COMPUTED_VALUE"""),"FHEMIG")</f>
        <v>FHEMIG</v>
      </c>
      <c r="E30" s="203" t="str">
        <f ca="1">IFERROR(__xludf.UNSUPPORTED("""COMPUTED_VALUE"""),"TCR")</f>
        <v>TCR</v>
      </c>
      <c r="F30" s="203" t="str">
        <f ca="1">IFERROR(__xludf.UNSUPPORTED("""COMPUTED_VALUE"""),"Transversal retrospectivo")</f>
        <v>Transversal retrospectivo</v>
      </c>
      <c r="G30" s="203" t="str">
        <f ca="1">IFERROR(__xludf.UNSUPPORTED("""COMPUTED_VALUE"""),"NA ")</f>
        <v xml:space="preserve">NA </v>
      </c>
      <c r="H30" s="203" t="str">
        <f ca="1">IFERROR(__xludf.UNSUPPORTED("""COMPUTED_VALUE"""),"ABC")</f>
        <v>ABC</v>
      </c>
      <c r="I30" s="203" t="str">
        <f ca="1">IFERROR(__xludf.UNSUPPORTED("""COMPUTED_VALUE"""),"Aprovado no 1 PT")</f>
        <v>Aprovado no 1 PT</v>
      </c>
      <c r="J30" s="381">
        <f ca="1">IFERROR(__xludf.UNSUPPORTED("""COMPUTED_VALUE"""),45693)</f>
        <v>45693</v>
      </c>
      <c r="K30" s="203" t="str">
        <f ca="1">IFERROR(__xludf.UNSUPPORTED("""COMPUTED_VALUE"""),"NA")</f>
        <v>NA</v>
      </c>
      <c r="L30" s="203" t="str">
        <f ca="1">IFERROR(__xludf.UNSUPPORTED("""COMPUTED_VALUE"""),"NA")</f>
        <v>NA</v>
      </c>
    </row>
    <row r="31" spans="2:12">
      <c r="B31" s="203" t="str">
        <f ca="1">IFERROR(__xludf.UNSUPPORTED("""COMPUTED_VALUE"""),"RESIDENTE MULTI")</f>
        <v>RESIDENTE MULTI</v>
      </c>
      <c r="C31" s="203" t="str">
        <f ca="1">IFERROR(__xludf.UNSUPPORTED("""COMPUTED_VALUE"""),"HJXXIII")</f>
        <v>HJXXIII</v>
      </c>
      <c r="D31" s="203" t="str">
        <f ca="1">IFERROR(__xludf.UNSUPPORTED("""COMPUTED_VALUE"""),"FHEMIG")</f>
        <v>FHEMIG</v>
      </c>
      <c r="E31" s="203" t="str">
        <f ca="1">IFERROR(__xludf.UNSUPPORTED("""COMPUTED_VALUE"""),"TCR")</f>
        <v>TCR</v>
      </c>
      <c r="F31" s="203" t="str">
        <f ca="1">IFERROR(__xludf.UNSUPPORTED("""COMPUTED_VALUE"""),"Observacional prospectivo")</f>
        <v>Observacional prospectivo</v>
      </c>
      <c r="G31" s="203" t="str">
        <f ca="1">IFERROR(__xludf.UNSUPPORTED("""COMPUTED_VALUE"""),"NA ")</f>
        <v xml:space="preserve">NA </v>
      </c>
      <c r="H31" s="203" t="str">
        <f ca="1">IFERROR(__xludf.UNSUPPORTED("""COMPUTED_VALUE"""),"ABC")</f>
        <v>ABC</v>
      </c>
      <c r="I31" s="203" t="str">
        <f ca="1">IFERROR(__xludf.UNSUPPORTED("""COMPUTED_VALUE"""),"Aprovado no 2 PT")</f>
        <v>Aprovado no 2 PT</v>
      </c>
      <c r="J31" s="381">
        <f ca="1">IFERROR(__xludf.UNSUPPORTED("""COMPUTED_VALUE"""),45713)</f>
        <v>45713</v>
      </c>
      <c r="K31" s="203" t="str">
        <f ca="1">IFERROR(__xludf.UNSUPPORTED("""COMPUTED_VALUE"""),"NA")</f>
        <v>NA</v>
      </c>
      <c r="L31" s="381">
        <f ca="1">IFERROR(__xludf.UNSUPPORTED("""COMPUTED_VALUE"""),45769)</f>
        <v>45769</v>
      </c>
    </row>
    <row r="32" spans="2:12">
      <c r="B32" s="203" t="str">
        <f ca="1">IFERROR(__xludf.UNSUPPORTED("""COMPUTED_VALUE"""),"RESIDENTE MULTI")</f>
        <v>RESIDENTE MULTI</v>
      </c>
      <c r="C32" s="203" t="str">
        <f ca="1">IFERROR(__xludf.UNSUPPORTED("""COMPUTED_VALUE"""),"HJXXIII")</f>
        <v>HJXXIII</v>
      </c>
      <c r="D32" s="203" t="str">
        <f ca="1">IFERROR(__xludf.UNSUPPORTED("""COMPUTED_VALUE"""),"FHEMIG")</f>
        <v>FHEMIG</v>
      </c>
      <c r="E32" s="203" t="str">
        <f ca="1">IFERROR(__xludf.UNSUPPORTED("""COMPUTED_VALUE"""),"TCR")</f>
        <v>TCR</v>
      </c>
      <c r="F32" s="203" t="str">
        <f ca="1">IFERROR(__xludf.UNSUPPORTED("""COMPUTED_VALUE"""),"Transversal prospectivo")</f>
        <v>Transversal prospectivo</v>
      </c>
      <c r="G32" s="203" t="str">
        <f ca="1">IFERROR(__xludf.UNSUPPORTED("""COMPUTED_VALUE"""),"NA")</f>
        <v>NA</v>
      </c>
      <c r="H32" s="203" t="str">
        <f ca="1">IFERROR(__xludf.UNSUPPORTED("""COMPUTED_VALUE"""),"ABC")</f>
        <v>ABC</v>
      </c>
      <c r="I32" s="203" t="str">
        <f ca="1">IFERROR(__xludf.UNSUPPORTED("""COMPUTED_VALUE"""),"Aprovado no 2 PT")</f>
        <v>Aprovado no 2 PT</v>
      </c>
      <c r="J32" s="381">
        <f ca="1">IFERROR(__xludf.UNSUPPORTED("""COMPUTED_VALUE"""),45709)</f>
        <v>45709</v>
      </c>
      <c r="K32" s="203" t="str">
        <f ca="1">IFERROR(__xludf.UNSUPPORTED("""COMPUTED_VALUE"""),"NA")</f>
        <v>NA</v>
      </c>
      <c r="L32" s="381">
        <f ca="1">IFERROR(__xludf.UNSUPPORTED("""COMPUTED_VALUE"""),45723)</f>
        <v>45723</v>
      </c>
    </row>
    <row r="33" spans="2:12">
      <c r="B33" s="203" t="str">
        <f ca="1">IFERROR(__xludf.UNSUPPORTED("""COMPUTED_VALUE"""),"SERVIDOR")</f>
        <v>SERVIDOR</v>
      </c>
      <c r="C33" s="203" t="str">
        <f ca="1">IFERROR(__xludf.UNSUPPORTED("""COMPUTED_VALUE"""),"HJXXIII")</f>
        <v>HJXXIII</v>
      </c>
      <c r="D33" s="203" t="str">
        <f ca="1">IFERROR(__xludf.UNSUPPORTED("""COMPUTED_VALUE"""),"FHEMIG")</f>
        <v>FHEMIG</v>
      </c>
      <c r="E33" s="203" t="str">
        <f ca="1">IFERROR(__xludf.UNSUPPORTED("""COMPUTED_VALUE"""),"TCR")</f>
        <v>TCR</v>
      </c>
      <c r="F33" s="203" t="str">
        <f ca="1">IFERROR(__xludf.UNSUPPORTED("""COMPUTED_VALUE"""),"Transversal retrospectivo")</f>
        <v>Transversal retrospectivo</v>
      </c>
      <c r="G33" s="203" t="str">
        <f ca="1">IFERROR(__xludf.UNSUPPORTED("""COMPUTED_VALUE"""),"NA")</f>
        <v>NA</v>
      </c>
      <c r="H33" s="203" t="str">
        <f ca="1">IFERROR(__xludf.UNSUPPORTED("""COMPUTED_VALUE"""),"ABC")</f>
        <v>ABC</v>
      </c>
      <c r="I33" s="203" t="str">
        <f ca="1">IFERROR(__xludf.UNSUPPORTED("""COMPUTED_VALUE"""),"Aprovado no 2 PT")</f>
        <v>Aprovado no 2 PT</v>
      </c>
      <c r="J33" s="381">
        <f ca="1">IFERROR(__xludf.UNSUPPORTED("""COMPUTED_VALUE"""),45709)</f>
        <v>45709</v>
      </c>
      <c r="K33" s="203" t="str">
        <f ca="1">IFERROR(__xludf.UNSUPPORTED("""COMPUTED_VALUE"""),"NA")</f>
        <v>NA</v>
      </c>
      <c r="L33" s="381">
        <f ca="1">IFERROR(__xludf.UNSUPPORTED("""COMPUTED_VALUE"""),45722)</f>
        <v>45722</v>
      </c>
    </row>
    <row r="34" spans="2:12">
      <c r="B34" s="203" t="str">
        <f ca="1">IFERROR(__xludf.UNSUPPORTED("""COMPUTED_VALUE"""),"RESIDENTE MULTI")</f>
        <v>RESIDENTE MULTI</v>
      </c>
      <c r="C34" s="203" t="str">
        <f ca="1">IFERROR(__xludf.UNSUPPORTED("""COMPUTED_VALUE"""),"HIJPII")</f>
        <v>HIJPII</v>
      </c>
      <c r="D34" s="203" t="str">
        <f ca="1">IFERROR(__xludf.UNSUPPORTED("""COMPUTED_VALUE"""),"FHEMIG")</f>
        <v>FHEMIG</v>
      </c>
      <c r="E34" s="203" t="str">
        <f ca="1">IFERROR(__xludf.UNSUPPORTED("""COMPUTED_VALUE"""),"TCR")</f>
        <v>TCR</v>
      </c>
      <c r="F34" s="203" t="str">
        <f ca="1">IFERROR(__xludf.UNSUPPORTED("""COMPUTED_VALUE"""),"Observacional prospectivo")</f>
        <v>Observacional prospectivo</v>
      </c>
      <c r="G34" s="203" t="str">
        <f ca="1">IFERROR(__xludf.UNSUPPORTED("""COMPUTED_VALUE"""),"NA")</f>
        <v>NA</v>
      </c>
      <c r="H34" s="203" t="str">
        <f ca="1">IFERROR(__xludf.UNSUPPORTED("""COMPUTED_VALUE"""),"ABC")</f>
        <v>ABC</v>
      </c>
      <c r="I34" s="203" t="str">
        <f ca="1">IFERROR(__xludf.UNSUPPORTED("""COMPUTED_VALUE"""),"Aprovado no 3 PT")</f>
        <v>Aprovado no 3 PT</v>
      </c>
      <c r="J34" s="381">
        <f ca="1">IFERROR(__xludf.UNSUPPORTED("""COMPUTED_VALUE"""),45743)</f>
        <v>45743</v>
      </c>
      <c r="K34" s="203" t="str">
        <f ca="1">IFERROR(__xludf.UNSUPPORTED("""COMPUTED_VALUE"""),"NA")</f>
        <v>NA</v>
      </c>
      <c r="L34" s="381">
        <f ca="1">IFERROR(__xludf.UNSUPPORTED("""COMPUTED_VALUE"""),45748)</f>
        <v>45748</v>
      </c>
    </row>
    <row r="35" spans="2:12">
      <c r="B35" s="383" t="str">
        <f ca="1">IFERROR(__xludf.UNSUPPORTED("""COMPUTED_VALUE"""),"RESIDENTE MULTI")</f>
        <v>RESIDENTE MULTI</v>
      </c>
      <c r="C35" s="203" t="str">
        <f ca="1">IFERROR(__xludf.UNSUPPORTED("""COMPUTED_VALUE"""),"HJXXIII")</f>
        <v>HJXXIII</v>
      </c>
      <c r="D35" s="203" t="str">
        <f ca="1">IFERROR(__xludf.UNSUPPORTED("""COMPUTED_VALUE"""),"FHEMIG")</f>
        <v>FHEMIG</v>
      </c>
      <c r="E35" s="203" t="str">
        <f ca="1">IFERROR(__xludf.UNSUPPORTED("""COMPUTED_VALUE"""),"TCR")</f>
        <v>TCR</v>
      </c>
      <c r="F35" s="203" t="str">
        <f ca="1">IFERROR(__xludf.UNSUPPORTED("""COMPUTED_VALUE"""),"Transversal retrospectivo")</f>
        <v>Transversal retrospectivo</v>
      </c>
      <c r="G35" s="203" t="str">
        <f ca="1">IFERROR(__xludf.UNSUPPORTED("""COMPUTED_VALUE"""),"NA")</f>
        <v>NA</v>
      </c>
      <c r="H35" s="203" t="str">
        <f ca="1">IFERROR(__xludf.UNSUPPORTED("""COMPUTED_VALUE"""),"ABC")</f>
        <v>ABC</v>
      </c>
      <c r="I35" s="203" t="str">
        <f ca="1">IFERROR(__xludf.UNSUPPORTED("""COMPUTED_VALUE"""),"Aprovado no 1 PT")</f>
        <v>Aprovado no 1 PT</v>
      </c>
      <c r="J35" s="381">
        <f ca="1">IFERROR(__xludf.UNSUPPORTED("""COMPUTED_VALUE"""),45693)</f>
        <v>45693</v>
      </c>
      <c r="K35" s="203" t="str">
        <f ca="1">IFERROR(__xludf.UNSUPPORTED("""COMPUTED_VALUE"""),"NA")</f>
        <v>NA</v>
      </c>
      <c r="L35" s="384">
        <f ca="1">IFERROR(__xludf.UNSUPPORTED("""COMPUTED_VALUE"""),45795)</f>
        <v>45795</v>
      </c>
    </row>
    <row r="36" spans="2:12">
      <c r="B36" s="203" t="str">
        <f ca="1">IFERROR(__xludf.UNSUPPORTED("""COMPUTED_VALUE"""),"RESIDENTE MÉDIC")</f>
        <v>RESIDENTE MÉDIC</v>
      </c>
      <c r="C36" s="203" t="str">
        <f ca="1">IFERROR(__xludf.UNSUPPORTED("""COMPUTED_VALUE"""),"HJXXIII")</f>
        <v>HJXXIII</v>
      </c>
      <c r="D36" s="203" t="str">
        <f ca="1">IFERROR(__xludf.UNSUPPORTED("""COMPUTED_VALUE"""),"FHEMIG")</f>
        <v>FHEMIG</v>
      </c>
      <c r="E36" s="203" t="str">
        <f ca="1">IFERROR(__xludf.UNSUPPORTED("""COMPUTED_VALUE"""),"TCR")</f>
        <v>TCR</v>
      </c>
      <c r="F36" s="203" t="str">
        <f ca="1">IFERROR(__xludf.UNSUPPORTED("""COMPUTED_VALUE"""),"Relato de caso")</f>
        <v>Relato de caso</v>
      </c>
      <c r="G36" s="203" t="str">
        <f ca="1">IFERROR(__xludf.UNSUPPORTED("""COMPUTED_VALUE"""),"N/A")</f>
        <v>N/A</v>
      </c>
      <c r="H36" s="203" t="str">
        <f ca="1">IFERROR(__xludf.UNSUPPORTED("""COMPUTED_VALUE"""),"ABC")</f>
        <v>ABC</v>
      </c>
      <c r="I36" s="203" t="str">
        <f ca="1">IFERROR(__xludf.UNSUPPORTED("""COMPUTED_VALUE"""),"Aprovado no 2 PT")</f>
        <v>Aprovado no 2 PT</v>
      </c>
      <c r="J36" s="381">
        <f ca="1">IFERROR(__xludf.UNSUPPORTED("""COMPUTED_VALUE"""),45693)</f>
        <v>45693</v>
      </c>
      <c r="K36" s="203" t="str">
        <f ca="1">IFERROR(__xludf.UNSUPPORTED("""COMPUTED_VALUE"""),"NA")</f>
        <v>NA</v>
      </c>
      <c r="L36" s="203" t="str">
        <f ca="1">IFERROR(__xludf.UNSUPPORTED("""COMPUTED_VALUE"""),"NA")</f>
        <v>NA</v>
      </c>
    </row>
    <row r="37" spans="2:12">
      <c r="B37" s="203" t="str">
        <f ca="1">IFERROR(__xludf.UNSUPPORTED("""COMPUTED_VALUE"""),"RESIDENTE MÉDIC")</f>
        <v>RESIDENTE MÉDIC</v>
      </c>
      <c r="C37" s="203" t="str">
        <f ca="1">IFERROR(__xludf.UNSUPPORTED("""COMPUTED_VALUE"""),"HJXXIII")</f>
        <v>HJXXIII</v>
      </c>
      <c r="D37" s="203" t="str">
        <f ca="1">IFERROR(__xludf.UNSUPPORTED("""COMPUTED_VALUE"""),"FHEMIG")</f>
        <v>FHEMIG</v>
      </c>
      <c r="E37" s="203" t="str">
        <f ca="1">IFERROR(__xludf.UNSUPPORTED("""COMPUTED_VALUE"""),"TCR")</f>
        <v>TCR</v>
      </c>
      <c r="F37" s="203" t="str">
        <f ca="1">IFERROR(__xludf.UNSUPPORTED("""COMPUTED_VALUE"""),"Relato de caso")</f>
        <v>Relato de caso</v>
      </c>
      <c r="G37" s="203" t="str">
        <f ca="1">IFERROR(__xludf.UNSUPPORTED("""COMPUTED_VALUE"""),"Armando Pinto")</f>
        <v>Armando Pinto</v>
      </c>
      <c r="H37" s="203" t="str">
        <f ca="1">IFERROR(__xludf.UNSUPPORTED("""COMPUTED_VALUE"""),"ABC")</f>
        <v>ABC</v>
      </c>
      <c r="I37" s="203" t="str">
        <f ca="1">IFERROR(__xludf.UNSUPPORTED("""COMPUTED_VALUE"""),"Reprovado")</f>
        <v>Reprovado</v>
      </c>
      <c r="J37" s="203" t="str">
        <f ca="1">IFERROR(__xludf.UNSUPPORTED("""COMPUTED_VALUE"""),"NA")</f>
        <v>NA</v>
      </c>
      <c r="K37" s="203" t="str">
        <f ca="1">IFERROR(__xludf.UNSUPPORTED("""COMPUTED_VALUE"""),"NA")</f>
        <v>NA</v>
      </c>
      <c r="L37" s="203" t="str">
        <f ca="1">IFERROR(__xludf.UNSUPPORTED("""COMPUTED_VALUE"""),"NA")</f>
        <v>NA</v>
      </c>
    </row>
    <row r="38" spans="2:12">
      <c r="B38" s="203" t="str">
        <f ca="1">IFERROR(__xludf.UNSUPPORTED("""COMPUTED_VALUE"""),"SERVIDOR")</f>
        <v>SERVIDOR</v>
      </c>
      <c r="C38" s="203" t="str">
        <f ca="1">IFERROR(__xludf.UNSUPPORTED("""COMPUTED_VALUE"""),"HIJPII")</f>
        <v>HIJPII</v>
      </c>
      <c r="D38" s="203" t="str">
        <f ca="1">IFERROR(__xludf.UNSUPPORTED("""COMPUTED_VALUE"""),"FHEMIG")</f>
        <v>FHEMIG</v>
      </c>
      <c r="E38" s="203" t="str">
        <f ca="1">IFERROR(__xludf.UNSUPPORTED("""COMPUTED_VALUE"""),"CONGRESSO/DIVULGAÇÃO/PUBLICAÇÃO")</f>
        <v>CONGRESSO/DIVULGAÇÃO/PUBLICAÇÃO</v>
      </c>
      <c r="F38" s="203" t="str">
        <f ca="1">IFERROR(__xludf.UNSUPPORTED("""COMPUTED_VALUE"""),"Observacional retrospectivo")</f>
        <v>Observacional retrospectivo</v>
      </c>
      <c r="G38" s="203" t="str">
        <f ca="1">IFERROR(__xludf.UNSUPPORTED("""COMPUTED_VALUE"""),"NA")</f>
        <v>NA</v>
      </c>
      <c r="H38" s="203" t="str">
        <f ca="1">IFERROR(__xludf.UNSUPPORTED("""COMPUTED_VALUE"""),"ABC")</f>
        <v>ABC</v>
      </c>
      <c r="I38" s="203" t="str">
        <f ca="1">IFERROR(__xludf.UNSUPPORTED("""COMPUTED_VALUE"""),"Aprovado no 1 PT")</f>
        <v>Aprovado no 1 PT</v>
      </c>
      <c r="J38" s="381">
        <f ca="1">IFERROR(__xludf.UNSUPPORTED("""COMPUTED_VALUE"""),45698)</f>
        <v>45698</v>
      </c>
      <c r="K38" s="203" t="str">
        <f ca="1">IFERROR(__xludf.UNSUPPORTED("""COMPUTED_VALUE"""),"NA")</f>
        <v>NA</v>
      </c>
      <c r="L38" s="381">
        <f ca="1">IFERROR(__xludf.UNSUPPORTED("""COMPUTED_VALUE"""),45708)</f>
        <v>45708</v>
      </c>
    </row>
    <row r="39" spans="2:12">
      <c r="B39" s="203" t="str">
        <f ca="1">IFERROR(__xludf.UNSUPPORTED("""COMPUTED_VALUE"""),"SERVIDOR")</f>
        <v>SERVIDOR</v>
      </c>
      <c r="C39" s="203" t="str">
        <f ca="1">IFERROR(__xludf.UNSUPPORTED("""COMPUTED_VALUE"""),"HJXXIII")</f>
        <v>HJXXIII</v>
      </c>
      <c r="D39" s="203" t="str">
        <f ca="1">IFERROR(__xludf.UNSUPPORTED("""COMPUTED_VALUE"""),"FHEMIG")</f>
        <v>FHEMIG</v>
      </c>
      <c r="E39" s="203" t="str">
        <f ca="1">IFERROR(__xludf.UNSUPPORTED("""COMPUTED_VALUE"""),"TCR")</f>
        <v>TCR</v>
      </c>
      <c r="F39" s="203" t="str">
        <f ca="1">IFERROR(__xludf.UNSUPPORTED("""COMPUTED_VALUE"""),"Survey")</f>
        <v>Survey</v>
      </c>
      <c r="G39" s="203" t="str">
        <f ca="1">IFERROR(__xludf.UNSUPPORTED("""COMPUTED_VALUE"""),"NA")</f>
        <v>NA</v>
      </c>
      <c r="H39" s="203" t="str">
        <f ca="1">IFERROR(__xludf.UNSUPPORTED("""COMPUTED_VALUE"""),"ABC")</f>
        <v>ABC</v>
      </c>
      <c r="I39" s="203" t="str">
        <f ca="1">IFERROR(__xludf.UNSUPPORTED("""COMPUTED_VALUE"""),"Aprovado no 1 PT")</f>
        <v>Aprovado no 1 PT</v>
      </c>
      <c r="J39" s="381">
        <f ca="1">IFERROR(__xludf.UNSUPPORTED("""COMPUTED_VALUE"""),45713)</f>
        <v>45713</v>
      </c>
      <c r="K39" s="203" t="str">
        <f ca="1">IFERROR(__xludf.UNSUPPORTED("""COMPUTED_VALUE"""),"NA")</f>
        <v>NA</v>
      </c>
      <c r="L39" s="381">
        <f ca="1">IFERROR(__xludf.UNSUPPORTED("""COMPUTED_VALUE"""),45722)</f>
        <v>45722</v>
      </c>
    </row>
    <row r="40" spans="2:12">
      <c r="B40" s="203" t="str">
        <f ca="1">IFERROR(__xludf.UNSUPPORTED("""COMPUTED_VALUE"""),"SERVIDOR")</f>
        <v>SERVIDOR</v>
      </c>
      <c r="C40" s="203" t="str">
        <f ca="1">IFERROR(__xludf.UNSUPPORTED("""COMPUTED_VALUE"""),"HIJPII")</f>
        <v>HIJPII</v>
      </c>
      <c r="D40" s="203" t="str">
        <f ca="1">IFERROR(__xludf.UNSUPPORTED("""COMPUTED_VALUE"""),"FHEMIG")</f>
        <v>FHEMIG</v>
      </c>
      <c r="E40" s="203" t="str">
        <f ca="1">IFERROR(__xludf.UNSUPPORTED("""COMPUTED_VALUE"""),"TCR")</f>
        <v>TCR</v>
      </c>
      <c r="F40" s="203" t="str">
        <f ca="1">IFERROR(__xludf.UNSUPPORTED("""COMPUTED_VALUE"""),"Observacional prospectivo")</f>
        <v>Observacional prospectivo</v>
      </c>
      <c r="G40" s="203" t="str">
        <f ca="1">IFERROR(__xludf.UNSUPPORTED("""COMPUTED_VALUE"""),"NA")</f>
        <v>NA</v>
      </c>
      <c r="H40" s="203" t="str">
        <f ca="1">IFERROR(__xludf.UNSUPPORTED("""COMPUTED_VALUE"""),"ABC")</f>
        <v>ABC</v>
      </c>
      <c r="I40" s="203" t="str">
        <f ca="1">IFERROR(__xludf.UNSUPPORTED("""COMPUTED_VALUE"""),"Aprovado no 3 PT")</f>
        <v>Aprovado no 3 PT</v>
      </c>
      <c r="J40" s="381">
        <f ca="1">IFERROR(__xludf.UNSUPPORTED("""COMPUTED_VALUE"""),45760)</f>
        <v>45760</v>
      </c>
      <c r="K40" s="203" t="str">
        <f ca="1">IFERROR(__xludf.UNSUPPORTED("""COMPUTED_VALUE"""),"NA")</f>
        <v>NA</v>
      </c>
      <c r="L40" s="381">
        <f ca="1">IFERROR(__xludf.UNSUPPORTED("""COMPUTED_VALUE"""),45795)</f>
        <v>45795</v>
      </c>
    </row>
    <row r="41" spans="2:12">
      <c r="B41" s="203" t="str">
        <f ca="1">IFERROR(__xludf.UNSUPPORTED("""COMPUTED_VALUE"""),"RESIDENTE MULTI")</f>
        <v>RESIDENTE MULTI</v>
      </c>
      <c r="C41" s="203" t="str">
        <f ca="1">IFERROR(__xludf.UNSUPPORTED("""COMPUTED_VALUE"""),"HIJPII")</f>
        <v>HIJPII</v>
      </c>
      <c r="D41" s="203" t="str">
        <f ca="1">IFERROR(__xludf.UNSUPPORTED("""COMPUTED_VALUE"""),"FHEMIG")</f>
        <v>FHEMIG</v>
      </c>
      <c r="E41" s="203" t="str">
        <f ca="1">IFERROR(__xludf.UNSUPPORTED("""COMPUTED_VALUE"""),"TCR")</f>
        <v>TCR</v>
      </c>
      <c r="F41" s="203" t="str">
        <f ca="1">IFERROR(__xludf.UNSUPPORTED("""COMPUTED_VALUE"""),"Transversal prospectivo")</f>
        <v>Transversal prospectivo</v>
      </c>
      <c r="G41" s="203" t="str">
        <f ca="1">IFERROR(__xludf.UNSUPPORTED("""COMPUTED_VALUE"""),"NA")</f>
        <v>NA</v>
      </c>
      <c r="H41" s="203" t="str">
        <f ca="1">IFERROR(__xludf.UNSUPPORTED("""COMPUTED_VALUE"""),"ABC")</f>
        <v>ABC</v>
      </c>
      <c r="I41" s="203" t="str">
        <f ca="1">IFERROR(__xludf.UNSUPPORTED("""COMPUTED_VALUE"""),"Aprovado no 1 PT")</f>
        <v>Aprovado no 1 PT</v>
      </c>
      <c r="J41" s="381">
        <f ca="1">IFERROR(__xludf.UNSUPPORTED("""COMPUTED_VALUE"""),45715)</f>
        <v>45715</v>
      </c>
      <c r="K41" s="203" t="str">
        <f ca="1">IFERROR(__xludf.UNSUPPORTED("""COMPUTED_VALUE"""),"NA")</f>
        <v>NA</v>
      </c>
      <c r="L41" s="203" t="str">
        <f ca="1">IFERROR(__xludf.UNSUPPORTED("""COMPUTED_VALUE"""),"NA")</f>
        <v>NA</v>
      </c>
    </row>
    <row r="42" spans="2:12">
      <c r="B42" s="203" t="str">
        <f ca="1">IFERROR(__xludf.UNSUPPORTED("""COMPUTED_VALUE"""),"RESIDENTE MÉDIC")</f>
        <v>RESIDENTE MÉDIC</v>
      </c>
      <c r="C42" s="203" t="str">
        <f ca="1">IFERROR(__xludf.UNSUPPORTED("""COMPUTED_VALUE"""),"HIJPII")</f>
        <v>HIJPII</v>
      </c>
      <c r="D42" s="203" t="str">
        <f ca="1">IFERROR(__xludf.UNSUPPORTED("""COMPUTED_VALUE"""),"FHEMIG")</f>
        <v>FHEMIG</v>
      </c>
      <c r="E42" s="203" t="str">
        <f ca="1">IFERROR(__xludf.UNSUPPORTED("""COMPUTED_VALUE"""),"TCR")</f>
        <v>TCR</v>
      </c>
      <c r="F42" s="203" t="str">
        <f ca="1">IFERROR(__xludf.UNSUPPORTED("""COMPUTED_VALUE"""),"Observacional descritivo ")</f>
        <v xml:space="preserve">Observacional descritivo </v>
      </c>
      <c r="G42" s="203" t="str">
        <f ca="1">IFERROR(__xludf.UNSUPPORTED("""COMPUTED_VALUE"""),"NA")</f>
        <v>NA</v>
      </c>
      <c r="H42" s="203" t="str">
        <f ca="1">IFERROR(__xludf.UNSUPPORTED("""COMPUTED_VALUE"""),"ABC")</f>
        <v>ABC</v>
      </c>
      <c r="I42" s="203" t="str">
        <f ca="1">IFERROR(__xludf.UNSUPPORTED("""COMPUTED_VALUE"""),"Aprovado no 1 PT")</f>
        <v>Aprovado no 1 PT</v>
      </c>
      <c r="J42" s="381">
        <f ca="1">IFERROR(__xludf.UNSUPPORTED("""COMPUTED_VALUE"""),45713)</f>
        <v>45713</v>
      </c>
      <c r="K42" s="203" t="str">
        <f ca="1">IFERROR(__xludf.UNSUPPORTED("""COMPUTED_VALUE"""),"NA")</f>
        <v>NA</v>
      </c>
      <c r="L42" s="381">
        <f ca="1">IFERROR(__xludf.UNSUPPORTED("""COMPUTED_VALUE"""),45751)</f>
        <v>45751</v>
      </c>
    </row>
    <row r="43" spans="2:12">
      <c r="B43" s="203" t="str">
        <f ca="1">IFERROR(__xludf.UNSUPPORTED("""COMPUTED_VALUE"""),"RESIDENTE MULTI")</f>
        <v>RESIDENTE MULTI</v>
      </c>
      <c r="C43" s="203" t="str">
        <f ca="1">IFERROR(__xludf.UNSUPPORTED("""COMPUTED_VALUE"""),"HJXXIII")</f>
        <v>HJXXIII</v>
      </c>
      <c r="D43" s="203" t="str">
        <f ca="1">IFERROR(__xludf.UNSUPPORTED("""COMPUTED_VALUE"""),"FHEMIG")</f>
        <v>FHEMIG</v>
      </c>
      <c r="E43" s="203" t="str">
        <f ca="1">IFERROR(__xludf.UNSUPPORTED("""COMPUTED_VALUE"""),"TCR")</f>
        <v>TCR</v>
      </c>
      <c r="F43" s="203" t="str">
        <f ca="1">IFERROR(__xludf.UNSUPPORTED("""COMPUTED_VALUE"""),"Qualitativa ")</f>
        <v xml:space="preserve">Qualitativa </v>
      </c>
      <c r="G43" s="203" t="str">
        <f ca="1">IFERROR(__xludf.UNSUPPORTED("""COMPUTED_VALUE"""),"NA")</f>
        <v>NA</v>
      </c>
      <c r="H43" s="203" t="str">
        <f ca="1">IFERROR(__xludf.UNSUPPORTED("""COMPUTED_VALUE"""),"ABC")</f>
        <v>ABC</v>
      </c>
      <c r="I43" s="203" t="str">
        <f ca="1">IFERROR(__xludf.UNSUPPORTED("""COMPUTED_VALUE"""),"Aprovado no 2 PT")</f>
        <v>Aprovado no 2 PT</v>
      </c>
      <c r="J43" s="381">
        <f ca="1">IFERROR(__xludf.UNSUPPORTED("""COMPUTED_VALUE"""),45713)</f>
        <v>45713</v>
      </c>
      <c r="K43" s="203" t="str">
        <f ca="1">IFERROR(__xludf.UNSUPPORTED("""COMPUTED_VALUE"""),"NA")</f>
        <v>NA</v>
      </c>
      <c r="L43" s="203" t="str">
        <f ca="1">IFERROR(__xludf.UNSUPPORTED("""COMPUTED_VALUE"""),"NA")</f>
        <v>NA</v>
      </c>
    </row>
    <row r="44" spans="2:12">
      <c r="B44" s="203" t="str">
        <f ca="1">IFERROR(__xludf.UNSUPPORTED("""COMPUTED_VALUE"""),"RESIDENTE MULTI")</f>
        <v>RESIDENTE MULTI</v>
      </c>
      <c r="C44" s="203" t="str">
        <f ca="1">IFERROR(__xludf.UNSUPPORTED("""COMPUTED_VALUE"""),"HJXXIII")</f>
        <v>HJXXIII</v>
      </c>
      <c r="D44" s="203" t="str">
        <f ca="1">IFERROR(__xludf.UNSUPPORTED("""COMPUTED_VALUE"""),"FHEMIG")</f>
        <v>FHEMIG</v>
      </c>
      <c r="E44" s="203" t="str">
        <f ca="1">IFERROR(__xludf.UNSUPPORTED("""COMPUTED_VALUE"""),"TCR")</f>
        <v>TCR</v>
      </c>
      <c r="F44" s="203" t="str">
        <f ca="1">IFERROR(__xludf.UNSUPPORTED("""COMPUTED_VALUE"""),"Observacional prospectivo")</f>
        <v>Observacional prospectivo</v>
      </c>
      <c r="G44" s="203" t="str">
        <f ca="1">IFERROR(__xludf.UNSUPPORTED("""COMPUTED_VALUE"""),"NA")</f>
        <v>NA</v>
      </c>
      <c r="H44" s="203" t="str">
        <f ca="1">IFERROR(__xludf.UNSUPPORTED("""COMPUTED_VALUE"""),"ABC")</f>
        <v>ABC</v>
      </c>
      <c r="I44" s="203" t="str">
        <f ca="1">IFERROR(__xludf.UNSUPPORTED("""COMPUTED_VALUE"""),"Aprovado no 1 PT")</f>
        <v>Aprovado no 1 PT</v>
      </c>
      <c r="J44" s="381">
        <f ca="1">IFERROR(__xludf.UNSUPPORTED("""COMPUTED_VALUE"""),45713)</f>
        <v>45713</v>
      </c>
      <c r="K44" s="203" t="str">
        <f ca="1">IFERROR(__xludf.UNSUPPORTED("""COMPUTED_VALUE"""),"NA")</f>
        <v>NA</v>
      </c>
      <c r="L44" s="203" t="str">
        <f ca="1">IFERROR(__xludf.UNSUPPORTED("""COMPUTED_VALUE"""),"NA")</f>
        <v>NA</v>
      </c>
    </row>
    <row r="45" spans="2:12">
      <c r="B45" s="203" t="str">
        <f ca="1">IFERROR(__xludf.UNSUPPORTED("""COMPUTED_VALUE"""),"SERVIDOR")</f>
        <v>SERVIDOR</v>
      </c>
      <c r="C45" s="203" t="str">
        <f ca="1">IFERROR(__xludf.UNSUPPORTED("""COMPUTED_VALUE"""),"HIJPII")</f>
        <v>HIJPII</v>
      </c>
      <c r="D45" s="203" t="str">
        <f ca="1">IFERROR(__xludf.UNSUPPORTED("""COMPUTED_VALUE"""),"FHEMIG")</f>
        <v>FHEMIG</v>
      </c>
      <c r="E45" s="203" t="str">
        <f ca="1">IFERROR(__xludf.UNSUPPORTED("""COMPUTED_VALUE"""),"TCR")</f>
        <v>TCR</v>
      </c>
      <c r="F45" s="203" t="str">
        <f ca="1">IFERROR(__xludf.UNSUPPORTED("""COMPUTED_VALUE"""),"Observacional prospectivo")</f>
        <v>Observacional prospectivo</v>
      </c>
      <c r="G45" s="203" t="str">
        <f ca="1">IFERROR(__xludf.UNSUPPORTED("""COMPUTED_VALUE"""),"N/A")</f>
        <v>N/A</v>
      </c>
      <c r="H45" s="203" t="str">
        <f ca="1">IFERROR(__xludf.UNSUPPORTED("""COMPUTED_VALUE"""),"ABC")</f>
        <v>ABC</v>
      </c>
      <c r="I45" s="203" t="str">
        <f ca="1">IFERROR(__xludf.UNSUPPORTED("""COMPUTED_VALUE"""),"Aprovado no 2 PT")</f>
        <v>Aprovado no 2 PT</v>
      </c>
      <c r="J45" s="381">
        <f ca="1">IFERROR(__xludf.UNSUPPORTED("""COMPUTED_VALUE"""),45760)</f>
        <v>45760</v>
      </c>
      <c r="K45" s="203" t="str">
        <f ca="1">IFERROR(__xludf.UNSUPPORTED("""COMPUTED_VALUE"""),"NA")</f>
        <v>NA</v>
      </c>
      <c r="L45" s="381">
        <f ca="1">IFERROR(__xludf.UNSUPPORTED("""COMPUTED_VALUE"""),45797)</f>
        <v>45797</v>
      </c>
    </row>
    <row r="46" spans="2:12">
      <c r="B46" s="203" t="str">
        <f ca="1">IFERROR(__xludf.UNSUPPORTED("""COMPUTED_VALUE"""),"SERVIDOR")</f>
        <v>SERVIDOR</v>
      </c>
      <c r="C46" s="203" t="str">
        <f ca="1">IFERROR(__xludf.UNSUPPORTED("""COMPUTED_VALUE"""),"HJXXIII")</f>
        <v>HJXXIII</v>
      </c>
      <c r="D46" s="203" t="str">
        <f ca="1">IFERROR(__xludf.UNSUPPORTED("""COMPUTED_VALUE"""),"CIENCIAS MÉDICAS")</f>
        <v>CIENCIAS MÉDICAS</v>
      </c>
      <c r="E46" s="203" t="str">
        <f ca="1">IFERROR(__xludf.UNSUPPORTED("""COMPUTED_VALUE"""),"CONGRESSO/DIVULGAÇÃO/PUBLICAÇÃO")</f>
        <v>CONGRESSO/DIVULGAÇÃO/PUBLICAÇÃO</v>
      </c>
      <c r="F46" s="203" t="str">
        <f ca="1">IFERROR(__xludf.UNSUPPORTED("""COMPUTED_VALUE"""),"Observacional descritivo ")</f>
        <v xml:space="preserve">Observacional descritivo </v>
      </c>
      <c r="G46" s="203" t="str">
        <f ca="1">IFERROR(__xludf.UNSUPPORTED("""COMPUTED_VALUE"""),"N/A")</f>
        <v>N/A</v>
      </c>
      <c r="H46" s="203" t="str">
        <f ca="1">IFERROR(__xludf.UNSUPPORTED("""COMPUTED_VALUE"""),"ABC")</f>
        <v>ABC</v>
      </c>
      <c r="I46" s="203" t="str">
        <f ca="1">IFERROR(__xludf.UNSUPPORTED("""COMPUTED_VALUE"""),"Aprovado no 1 PT")</f>
        <v>Aprovado no 1 PT</v>
      </c>
      <c r="J46" s="381">
        <f ca="1">IFERROR(__xludf.UNSUPPORTED("""COMPUTED_VALUE"""),45734)</f>
        <v>45734</v>
      </c>
      <c r="K46" s="203" t="str">
        <f ca="1">IFERROR(__xludf.UNSUPPORTED("""COMPUTED_VALUE"""),"NA")</f>
        <v>NA</v>
      </c>
      <c r="L46" s="203" t="str">
        <f ca="1">IFERROR(__xludf.UNSUPPORTED("""COMPUTED_VALUE"""),"NA")</f>
        <v>NA</v>
      </c>
    </row>
    <row r="47" spans="2:12">
      <c r="B47" s="203" t="str">
        <f ca="1">IFERROR(__xludf.UNSUPPORTED("""COMPUTED_VALUE"""),"SERVIDOR")</f>
        <v>SERVIDOR</v>
      </c>
      <c r="C47" s="203" t="str">
        <f ca="1">IFERROR(__xludf.UNSUPPORTED("""COMPUTED_VALUE"""),"HJXXIII")</f>
        <v>HJXXIII</v>
      </c>
      <c r="D47" s="203" t="str">
        <f ca="1">IFERROR(__xludf.UNSUPPORTED("""COMPUTED_VALUE"""),"FHEMIG")</f>
        <v>FHEMIG</v>
      </c>
      <c r="E47" s="203" t="str">
        <f ca="1">IFERROR(__xludf.UNSUPPORTED("""COMPUTED_VALUE"""),"TCR")</f>
        <v>TCR</v>
      </c>
      <c r="F47" s="203" t="str">
        <f ca="1">IFERROR(__xludf.UNSUPPORTED("""COMPUTED_VALUE"""),"Observacional retrospectivo")</f>
        <v>Observacional retrospectivo</v>
      </c>
      <c r="G47" s="203" t="str">
        <f ca="1">IFERROR(__xludf.UNSUPPORTED("""COMPUTED_VALUE"""),"N/A")</f>
        <v>N/A</v>
      </c>
      <c r="H47" s="203" t="str">
        <f ca="1">IFERROR(__xludf.UNSUPPORTED("""COMPUTED_VALUE"""),"ABC")</f>
        <v>ABC</v>
      </c>
      <c r="I47" s="203" t="str">
        <f ca="1">IFERROR(__xludf.UNSUPPORTED("""COMPUTED_VALUE"""),"Aprovado no 2 PT")</f>
        <v>Aprovado no 2 PT</v>
      </c>
      <c r="J47" s="381">
        <f ca="1">IFERROR(__xludf.UNSUPPORTED("""COMPUTED_VALUE"""),45715)</f>
        <v>45715</v>
      </c>
      <c r="K47" s="203" t="str">
        <f ca="1">IFERROR(__xludf.UNSUPPORTED("""COMPUTED_VALUE"""),"NA")</f>
        <v>NA</v>
      </c>
      <c r="L47" s="203" t="str">
        <f ca="1">IFERROR(__xludf.UNSUPPORTED("""COMPUTED_VALUE"""),"NA")</f>
        <v>NA</v>
      </c>
    </row>
    <row r="48" spans="2:12">
      <c r="B48" s="203" t="str">
        <f ca="1">IFERROR(__xludf.UNSUPPORTED("""COMPUTED_VALUE"""),"RESIDENTE MÉDIC")</f>
        <v>RESIDENTE MÉDIC</v>
      </c>
      <c r="C48" s="203" t="str">
        <f ca="1">IFERROR(__xludf.UNSUPPORTED("""COMPUTED_VALUE"""),"HJXXIII")</f>
        <v>HJXXIII</v>
      </c>
      <c r="D48" s="203" t="str">
        <f ca="1">IFERROR(__xludf.UNSUPPORTED("""COMPUTED_VALUE"""),"UFMG")</f>
        <v>UFMG</v>
      </c>
      <c r="E48" s="203" t="str">
        <f ca="1">IFERROR(__xludf.UNSUPPORTED("""COMPUTED_VALUE"""),"TCR")</f>
        <v>TCR</v>
      </c>
      <c r="F48" s="203" t="str">
        <f ca="1">IFERROR(__xludf.UNSUPPORTED("""COMPUTED_VALUE"""),"Observacional retrospectivo")</f>
        <v>Observacional retrospectivo</v>
      </c>
      <c r="G48" s="203" t="str">
        <f ca="1">IFERROR(__xludf.UNSUPPORTED("""COMPUTED_VALUE"""),"NA")</f>
        <v>NA</v>
      </c>
      <c r="H48" s="203" t="str">
        <f ca="1">IFERROR(__xludf.UNSUPPORTED("""COMPUTED_VALUE"""),"ABC")</f>
        <v>ABC</v>
      </c>
      <c r="I48" s="203" t="str">
        <f ca="1">IFERROR(__xludf.UNSUPPORTED("""COMPUTED_VALUE"""),"Aprovado no 1 PT")</f>
        <v>Aprovado no 1 PT</v>
      </c>
      <c r="J48" s="381">
        <f ca="1">IFERROR(__xludf.UNSUPPORTED("""COMPUTED_VALUE"""),45713)</f>
        <v>45713</v>
      </c>
      <c r="K48" s="203" t="str">
        <f ca="1">IFERROR(__xludf.UNSUPPORTED("""COMPUTED_VALUE"""),"NA")</f>
        <v>NA</v>
      </c>
      <c r="L48" s="203" t="str">
        <f ca="1">IFERROR(__xludf.UNSUPPORTED("""COMPUTED_VALUE"""),"NA")</f>
        <v>NA</v>
      </c>
    </row>
    <row r="49" spans="2:12">
      <c r="B49" s="203" t="str">
        <f ca="1">IFERROR(__xludf.UNSUPPORTED("""COMPUTED_VALUE"""),"SERVIDOR")</f>
        <v>SERVIDOR</v>
      </c>
      <c r="C49" s="203" t="str">
        <f ca="1">IFERROR(__xludf.UNSUPPORTED("""COMPUTED_VALUE"""),"HJXXIII")</f>
        <v>HJXXIII</v>
      </c>
      <c r="D49" s="203" t="str">
        <f ca="1">IFERROR(__xludf.UNSUPPORTED("""COMPUTED_VALUE"""),"CIENCIAS MÉDICAS")</f>
        <v>CIENCIAS MÉDICAS</v>
      </c>
      <c r="E49" s="203" t="str">
        <f ca="1">IFERROR(__xludf.UNSUPPORTED("""COMPUTED_VALUE"""),"MESTRADO")</f>
        <v>MESTRADO</v>
      </c>
      <c r="F49" s="203" t="str">
        <f ca="1">IFERROR(__xludf.UNSUPPORTED("""COMPUTED_VALUE"""),"Transversal retrospectivo")</f>
        <v>Transversal retrospectivo</v>
      </c>
      <c r="G49" s="203" t="str">
        <f ca="1">IFERROR(__xludf.UNSUPPORTED("""COMPUTED_VALUE"""),"NA")</f>
        <v>NA</v>
      </c>
      <c r="H49" s="203" t="str">
        <f ca="1">IFERROR(__xludf.UNSUPPORTED("""COMPUTED_VALUE"""),"ABC")</f>
        <v>ABC</v>
      </c>
      <c r="I49" s="203" t="str">
        <f ca="1">IFERROR(__xludf.UNSUPPORTED("""COMPUTED_VALUE"""),"Aprovado no 2 PT")</f>
        <v>Aprovado no 2 PT</v>
      </c>
      <c r="J49" s="381">
        <f ca="1">IFERROR(__xludf.UNSUPPORTED("""COMPUTED_VALUE"""),45716)</f>
        <v>45716</v>
      </c>
      <c r="K49" s="381">
        <f ca="1">IFERROR(__xludf.UNSUPPORTED("""COMPUTED_VALUE"""),45775)</f>
        <v>45775</v>
      </c>
      <c r="L49" s="381">
        <f ca="1">IFERROR(__xludf.UNSUPPORTED("""COMPUTED_VALUE"""),45785)</f>
        <v>45785</v>
      </c>
    </row>
    <row r="50" spans="2:12">
      <c r="B50" s="203" t="str">
        <f ca="1">IFERROR(__xludf.UNSUPPORTED("""COMPUTED_VALUE"""),"SERVIDOR")</f>
        <v>SERVIDOR</v>
      </c>
      <c r="C50" s="203" t="str">
        <f ca="1">IFERROR(__xludf.UNSUPPORTED("""COMPUTED_VALUE"""),"HJXXIII")</f>
        <v>HJXXIII</v>
      </c>
      <c r="D50" s="203" t="str">
        <f ca="1">IFERROR(__xludf.UNSUPPORTED("""COMPUTED_VALUE"""),"UNIFESP")</f>
        <v>UNIFESP</v>
      </c>
      <c r="E50" s="203" t="str">
        <f ca="1">IFERROR(__xludf.UNSUPPORTED("""COMPUTED_VALUE"""),"MESTRADO")</f>
        <v>MESTRADO</v>
      </c>
      <c r="F50" s="203" t="str">
        <f ca="1">IFERROR(__xludf.UNSUPPORTED("""COMPUTED_VALUE"""),"Observacional retrospectivo")</f>
        <v>Observacional retrospectivo</v>
      </c>
      <c r="G50" s="203" t="str">
        <f ca="1">IFERROR(__xludf.UNSUPPORTED("""COMPUTED_VALUE"""),"CINTIA GODINHO")</f>
        <v>CINTIA GODINHO</v>
      </c>
      <c r="H50" s="203">
        <f ca="1">IFERROR(__xludf.UNSUPPORTED("""COMPUTED_VALUE"""),9)</f>
        <v>9</v>
      </c>
      <c r="I50" s="203" t="str">
        <f ca="1">IFERROR(__xludf.UNSUPPORTED("""COMPUTED_VALUE"""),"Aprovado no 1 PT")</f>
        <v>Aprovado no 1 PT</v>
      </c>
      <c r="J50" s="381">
        <f ca="1">IFERROR(__xludf.UNSUPPORTED("""COMPUTED_VALUE"""),45734)</f>
        <v>45734</v>
      </c>
      <c r="K50" s="203" t="str">
        <f ca="1">IFERROR(__xludf.UNSUPPORTED("""COMPUTED_VALUE"""),"NA")</f>
        <v>NA</v>
      </c>
      <c r="L50" s="381">
        <f ca="1">IFERROR(__xludf.UNSUPPORTED("""COMPUTED_VALUE"""),46071)</f>
        <v>46071</v>
      </c>
    </row>
    <row r="51" spans="2:12">
      <c r="B51" s="203" t="str">
        <f ca="1">IFERROR(__xludf.UNSUPPORTED("""COMPUTED_VALUE"""),"SERVIDOR")</f>
        <v>SERVIDOR</v>
      </c>
      <c r="C51" s="203" t="str">
        <f ca="1">IFERROR(__xludf.UNSUPPORTED("""COMPUTED_VALUE"""),"HJXXIII")</f>
        <v>HJXXIII</v>
      </c>
      <c r="D51" s="203" t="str">
        <f ca="1">IFERROR(__xludf.UNSUPPORTED("""COMPUTED_VALUE"""),"FHEMIG")</f>
        <v>FHEMIG</v>
      </c>
      <c r="E51" s="203" t="str">
        <f ca="1">IFERROR(__xludf.UNSUPPORTED("""COMPUTED_VALUE"""),"TCR")</f>
        <v>TCR</v>
      </c>
      <c r="F51" s="203" t="str">
        <f ca="1">IFERROR(__xludf.UNSUPPORTED("""COMPUTED_VALUE"""),"Qualitativa ")</f>
        <v xml:space="preserve">Qualitativa </v>
      </c>
      <c r="G51" s="203" t="str">
        <f ca="1">IFERROR(__xludf.UNSUPPORTED("""COMPUTED_VALUE"""),"NA")</f>
        <v>NA</v>
      </c>
      <c r="H51" s="203" t="str">
        <f ca="1">IFERROR(__xludf.UNSUPPORTED("""COMPUTED_VALUE"""),"ABC")</f>
        <v>ABC</v>
      </c>
      <c r="I51" s="203" t="str">
        <f ca="1">IFERROR(__xludf.UNSUPPORTED("""COMPUTED_VALUE"""),"Aprovado no 1 PT")</f>
        <v>Aprovado no 1 PT</v>
      </c>
      <c r="J51" s="381">
        <f ca="1">IFERROR(__xludf.UNSUPPORTED("""COMPUTED_VALUE"""),45734)</f>
        <v>45734</v>
      </c>
      <c r="K51" s="203" t="str">
        <f ca="1">IFERROR(__xludf.UNSUPPORTED("""COMPUTED_VALUE"""),"NA")</f>
        <v>NA</v>
      </c>
      <c r="L51" s="203" t="str">
        <f ca="1">IFERROR(__xludf.UNSUPPORTED("""COMPUTED_VALUE"""),"NA")</f>
        <v>NA</v>
      </c>
    </row>
    <row r="52" spans="2:12">
      <c r="B52" s="203" t="str">
        <f ca="1">IFERROR(__xludf.UNSUPPORTED("""COMPUTED_VALUE"""),"RESIDENTE MÉDIC")</f>
        <v>RESIDENTE MÉDIC</v>
      </c>
      <c r="C52" s="203" t="str">
        <f ca="1">IFERROR(__xludf.UNSUPPORTED("""COMPUTED_VALUE"""),"HIJPII")</f>
        <v>HIJPII</v>
      </c>
      <c r="D52" s="203" t="str">
        <f ca="1">IFERROR(__xludf.UNSUPPORTED("""COMPUTED_VALUE"""),"FHEMIG")</f>
        <v>FHEMIG</v>
      </c>
      <c r="E52" s="203" t="str">
        <f ca="1">IFERROR(__xludf.UNSUPPORTED("""COMPUTED_VALUE"""),"TCR")</f>
        <v>TCR</v>
      </c>
      <c r="F52" s="203" t="str">
        <f ca="1">IFERROR(__xludf.UNSUPPORTED("""COMPUTED_VALUE"""),"Observacional retrospectivo")</f>
        <v>Observacional retrospectivo</v>
      </c>
      <c r="G52" s="203" t="str">
        <f ca="1">IFERROR(__xludf.UNSUPPORTED("""COMPUTED_VALUE"""),"Livia Isabela Oliveira (orientadora)")</f>
        <v>Livia Isabela Oliveira (orientadora)</v>
      </c>
      <c r="H52" s="203" t="str">
        <f ca="1">IFERROR(__xludf.UNSUPPORTED("""COMPUTED_VALUE"""),"ABC")</f>
        <v>ABC</v>
      </c>
      <c r="I52" s="203" t="str">
        <f ca="1">IFERROR(__xludf.UNSUPPORTED("""COMPUTED_VALUE"""),"Aprovado no 1 PT")</f>
        <v>Aprovado no 1 PT</v>
      </c>
      <c r="J52" s="381">
        <f ca="1">IFERROR(__xludf.UNSUPPORTED("""COMPUTED_VALUE"""),45716)</f>
        <v>45716</v>
      </c>
      <c r="K52" s="203" t="str">
        <f ca="1">IFERROR(__xludf.UNSUPPORTED("""COMPUTED_VALUE"""),"NA")</f>
        <v>NA</v>
      </c>
      <c r="L52" s="381">
        <f ca="1">IFERROR(__xludf.UNSUPPORTED("""COMPUTED_VALUE"""),45750)</f>
        <v>45750</v>
      </c>
    </row>
    <row r="53" spans="2:12">
      <c r="B53" s="203" t="str">
        <f ca="1">IFERROR(__xludf.UNSUPPORTED("""COMPUTED_VALUE"""),"RESIDENTE MULTI")</f>
        <v>RESIDENTE MULTI</v>
      </c>
      <c r="C53" s="203" t="str">
        <f ca="1">IFERROR(__xludf.UNSUPPORTED("""COMPUTED_VALUE"""),"HIJPII")</f>
        <v>HIJPII</v>
      </c>
      <c r="D53" s="203" t="str">
        <f ca="1">IFERROR(__xludf.UNSUPPORTED("""COMPUTED_VALUE"""),"FHEMIG")</f>
        <v>FHEMIG</v>
      </c>
      <c r="E53" s="203" t="str">
        <f ca="1">IFERROR(__xludf.UNSUPPORTED("""COMPUTED_VALUE"""),"TCR")</f>
        <v>TCR</v>
      </c>
      <c r="F53" s="203" t="str">
        <f ca="1">IFERROR(__xludf.UNSUPPORTED("""COMPUTED_VALUE"""),"Expermental pareado")</f>
        <v>Expermental pareado</v>
      </c>
      <c r="G53" s="203" t="str">
        <f ca="1">IFERROR(__xludf.UNSUPPORTED("""COMPUTED_VALUE"""),"Sarah Costa Drumond de Oliveira Moura e Rita de Cassia Guedes (orientadoras)")</f>
        <v>Sarah Costa Drumond de Oliveira Moura e Rita de Cassia Guedes (orientadoras)</v>
      </c>
      <c r="H53" s="203" t="str">
        <f ca="1">IFERROR(__xludf.UNSUPPORTED("""COMPUTED_VALUE"""),"ABC")</f>
        <v>ABC</v>
      </c>
      <c r="I53" s="203" t="str">
        <f ca="1">IFERROR(__xludf.UNSUPPORTED("""COMPUTED_VALUE"""),"Aprovado no 2 PT")</f>
        <v>Aprovado no 2 PT</v>
      </c>
      <c r="J53" s="381">
        <f ca="1">IFERROR(__xludf.UNSUPPORTED("""COMPUTED_VALUE"""),45707)</f>
        <v>45707</v>
      </c>
      <c r="K53" s="203" t="str">
        <f ca="1">IFERROR(__xludf.UNSUPPORTED("""COMPUTED_VALUE"""),"NA")</f>
        <v>NA</v>
      </c>
      <c r="L53" s="381">
        <f ca="1">IFERROR(__xludf.UNSUPPORTED("""COMPUTED_VALUE"""),45809)</f>
        <v>45809</v>
      </c>
    </row>
    <row r="54" spans="2:12">
      <c r="B54" s="203" t="str">
        <f ca="1">IFERROR(__xludf.UNSUPPORTED("""COMPUTED_VALUE"""),"RESIDENTE MÉDIC")</f>
        <v>RESIDENTE MÉDIC</v>
      </c>
      <c r="C54" s="203" t="str">
        <f ca="1">IFERROR(__xludf.UNSUPPORTED("""COMPUTED_VALUE"""),"HIJPII")</f>
        <v>HIJPII</v>
      </c>
      <c r="D54" s="203" t="str">
        <f ca="1">IFERROR(__xludf.UNSUPPORTED("""COMPUTED_VALUE"""),"FHEMIG")</f>
        <v>FHEMIG</v>
      </c>
      <c r="E54" s="203" t="str">
        <f ca="1">IFERROR(__xludf.UNSUPPORTED("""COMPUTED_VALUE"""),"TCR")</f>
        <v>TCR</v>
      </c>
      <c r="F54" s="203" t="str">
        <f ca="1">IFERROR(__xludf.UNSUPPORTED("""COMPUTED_VALUE"""),"Observacional retrospectivo")</f>
        <v>Observacional retrospectivo</v>
      </c>
      <c r="G54" s="203" t="str">
        <f ca="1">IFERROR(__xludf.UNSUPPORTED("""COMPUTED_VALUE""")," Fernanda Tormin Tanos Lopes (orientadora)")</f>
        <v xml:space="preserve"> Fernanda Tormin Tanos Lopes (orientadora)</v>
      </c>
      <c r="H54" s="203">
        <f ca="1">IFERROR(__xludf.UNSUPPORTED("""COMPUTED_VALUE"""),3)</f>
        <v>3</v>
      </c>
      <c r="I54" s="203" t="str">
        <f ca="1">IFERROR(__xludf.UNSUPPORTED("""COMPUTED_VALUE"""),"Aprovado no 1 PT")</f>
        <v>Aprovado no 1 PT</v>
      </c>
      <c r="J54" s="381">
        <f ca="1">IFERROR(__xludf.UNSUPPORTED("""COMPUTED_VALUE"""),45734)</f>
        <v>45734</v>
      </c>
      <c r="K54" s="203" t="str">
        <f ca="1">IFERROR(__xludf.UNSUPPORTED("""COMPUTED_VALUE"""),"NA")</f>
        <v>NA</v>
      </c>
      <c r="L54" s="381">
        <f ca="1">IFERROR(__xludf.UNSUPPORTED("""COMPUTED_VALUE"""),45750)</f>
        <v>45750</v>
      </c>
    </row>
    <row r="55" spans="2:12">
      <c r="B55" s="203" t="str">
        <f ca="1">IFERROR(__xludf.UNSUPPORTED("""COMPUTED_VALUE"""),"RESIDENTE MULTI")</f>
        <v>RESIDENTE MULTI</v>
      </c>
      <c r="C55" s="203" t="str">
        <f ca="1">IFERROR(__xludf.UNSUPPORTED("""COMPUTED_VALUE"""),"HJXXIII")</f>
        <v>HJXXIII</v>
      </c>
      <c r="D55" s="203" t="str">
        <f ca="1">IFERROR(__xludf.UNSUPPORTED("""COMPUTED_VALUE"""),"FHEMIG")</f>
        <v>FHEMIG</v>
      </c>
      <c r="E55" s="203" t="str">
        <f ca="1">IFERROR(__xludf.UNSUPPORTED("""COMPUTED_VALUE"""),"TCR")</f>
        <v>TCR</v>
      </c>
      <c r="F55" s="203" t="str">
        <f ca="1">IFERROR(__xludf.UNSUPPORTED("""COMPUTED_VALUE"""),"Transversal retrospectivo")</f>
        <v>Transversal retrospectivo</v>
      </c>
      <c r="G55" s="203" t="str">
        <f ca="1">IFERROR(__xludf.UNSUPPORTED("""COMPUTED_VALUE"""),"NA")</f>
        <v>NA</v>
      </c>
      <c r="H55" s="203" t="str">
        <f ca="1">IFERROR(__xludf.UNSUPPORTED("""COMPUTED_VALUE"""),"ABC")</f>
        <v>ABC</v>
      </c>
      <c r="I55" s="203" t="str">
        <f ca="1">IFERROR(__xludf.UNSUPPORTED("""COMPUTED_VALUE"""),"Aprovado no 1 PT")</f>
        <v>Aprovado no 1 PT</v>
      </c>
      <c r="J55" s="381">
        <f ca="1">IFERROR(__xludf.UNSUPPORTED("""COMPUTED_VALUE"""),45743)</f>
        <v>45743</v>
      </c>
      <c r="K55" s="203" t="str">
        <f ca="1">IFERROR(__xludf.UNSUPPORTED("""COMPUTED_VALUE"""),"NA")</f>
        <v>NA</v>
      </c>
      <c r="L55" s="381">
        <f ca="1">IFERROR(__xludf.UNSUPPORTED("""COMPUTED_VALUE"""),45769)</f>
        <v>45769</v>
      </c>
    </row>
    <row r="56" spans="2:12">
      <c r="B56" s="203" t="str">
        <f ca="1">IFERROR(__xludf.UNSUPPORTED("""COMPUTED_VALUE"""),"RESIDENTE MULTI")</f>
        <v>RESIDENTE MULTI</v>
      </c>
      <c r="C56" s="203" t="str">
        <f ca="1">IFERROR(__xludf.UNSUPPORTED("""COMPUTED_VALUE"""),"HIJPII")</f>
        <v>HIJPII</v>
      </c>
      <c r="D56" s="203" t="str">
        <f ca="1">IFERROR(__xludf.UNSUPPORTED("""COMPUTED_VALUE"""),"FHEMIG")</f>
        <v>FHEMIG</v>
      </c>
      <c r="E56" s="203" t="str">
        <f ca="1">IFERROR(__xludf.UNSUPPORTED("""COMPUTED_VALUE"""),"TCR")</f>
        <v>TCR</v>
      </c>
      <c r="F56" s="203" t="str">
        <f ca="1">IFERROR(__xludf.UNSUPPORTED("""COMPUTED_VALUE"""),"Observacional prospectivo")</f>
        <v>Observacional prospectivo</v>
      </c>
      <c r="G56" s="203" t="str">
        <f ca="1">IFERROR(__xludf.UNSUPPORTED("""COMPUTED_VALUE"""),"NA")</f>
        <v>NA</v>
      </c>
      <c r="H56" s="203" t="str">
        <f ca="1">IFERROR(__xludf.UNSUPPORTED("""COMPUTED_VALUE"""),"ABC")</f>
        <v>ABC</v>
      </c>
      <c r="I56" s="203" t="str">
        <f ca="1">IFERROR(__xludf.UNSUPPORTED("""COMPUTED_VALUE"""),"Aprovado no 1 PT")</f>
        <v>Aprovado no 1 PT</v>
      </c>
      <c r="J56" s="381">
        <f ca="1">IFERROR(__xludf.UNSUPPORTED("""COMPUTED_VALUE"""),45743)</f>
        <v>45743</v>
      </c>
      <c r="K56" s="203" t="str">
        <f ca="1">IFERROR(__xludf.UNSUPPORTED("""COMPUTED_VALUE"""),"NA")</f>
        <v>NA</v>
      </c>
      <c r="L56" s="381">
        <f ca="1">IFERROR(__xludf.UNSUPPORTED("""COMPUTED_VALUE"""),45795)</f>
        <v>45795</v>
      </c>
    </row>
    <row r="57" spans="2:12">
      <c r="B57" s="203" t="str">
        <f ca="1">IFERROR(__xludf.UNSUPPORTED("""COMPUTED_VALUE"""),"SERVIDOR")</f>
        <v>SERVIDOR</v>
      </c>
      <c r="C57" s="203" t="str">
        <f ca="1">IFERROR(__xludf.UNSUPPORTED("""COMPUTED_VALUE"""),"HJXXIII")</f>
        <v>HJXXIII</v>
      </c>
      <c r="D57" s="203" t="str">
        <f ca="1">IFERROR(__xludf.UNSUPPORTED("""COMPUTED_VALUE"""),"FHEMIG")</f>
        <v>FHEMIG</v>
      </c>
      <c r="E57" s="203" t="str">
        <f ca="1">IFERROR(__xludf.UNSUPPORTED("""COMPUTED_VALUE"""),"MESTRADO")</f>
        <v>MESTRADO</v>
      </c>
      <c r="F57" s="203" t="str">
        <f ca="1">IFERROR(__xludf.UNSUPPORTED("""COMPUTED_VALUE"""),"Qualitativa ")</f>
        <v xml:space="preserve">Qualitativa </v>
      </c>
      <c r="G57" s="203" t="str">
        <f ca="1">IFERROR(__xludf.UNSUPPORTED("""COMPUTED_VALUE"""),"NA ")</f>
        <v xml:space="preserve">NA </v>
      </c>
      <c r="H57" s="203" t="str">
        <f ca="1">IFERROR(__xludf.UNSUPPORTED("""COMPUTED_VALUE"""),"ABC")</f>
        <v>ABC</v>
      </c>
      <c r="I57" s="203" t="str">
        <f ca="1">IFERROR(__xludf.UNSUPPORTED("""COMPUTED_VALUE"""),"Aprovado no 2 PT")</f>
        <v>Aprovado no 2 PT</v>
      </c>
      <c r="J57" s="381">
        <f ca="1">IFERROR(__xludf.UNSUPPORTED("""COMPUTED_VALUE"""),45760)</f>
        <v>45760</v>
      </c>
      <c r="K57" s="203" t="str">
        <f ca="1">IFERROR(__xludf.UNSUPPORTED("""COMPUTED_VALUE"""),"NA")</f>
        <v>NA</v>
      </c>
      <c r="L57" s="203" t="str">
        <f ca="1">IFERROR(__xludf.UNSUPPORTED("""COMPUTED_VALUE"""),"NA")</f>
        <v>NA</v>
      </c>
    </row>
    <row r="58" spans="2:12">
      <c r="B58" s="203" t="str">
        <f ca="1">IFERROR(__xludf.UNSUPPORTED("""COMPUTED_VALUE"""),"PESQ EXTERNO")</f>
        <v>PESQ EXTERNO</v>
      </c>
      <c r="C58" s="203" t="str">
        <f ca="1">IFERROR(__xludf.UNSUPPORTED("""COMPUTED_VALUE"""),"HJXXIII")</f>
        <v>HJXXIII</v>
      </c>
      <c r="D58" s="203" t="str">
        <f ca="1">IFERROR(__xludf.UNSUPPORTED("""COMPUTED_VALUE"""),"PUCPR -PARANA")</f>
        <v>PUCPR -PARANA</v>
      </c>
      <c r="E58" s="203" t="str">
        <f ca="1">IFERROR(__xludf.UNSUPPORTED("""COMPUTED_VALUE"""),"CONGRESSO/DIVULGAÇÃO/PUBLICAÇÃO")</f>
        <v>CONGRESSO/DIVULGAÇÃO/PUBLICAÇÃO</v>
      </c>
      <c r="F58" s="203" t="str">
        <f ca="1">IFERROR(__xludf.UNSUPPORTED("""COMPUTED_VALUE"""),"Estudo clínico fase 1")</f>
        <v>Estudo clínico fase 1</v>
      </c>
      <c r="G58" s="203" t="str">
        <f ca="1">IFERROR(__xludf.UNSUPPORTED("""COMPUTED_VALUE"""),"Rodrigo Faleiro")</f>
        <v>Rodrigo Faleiro</v>
      </c>
      <c r="H58" s="203">
        <f ca="1">IFERROR(__xludf.UNSUPPORTED("""COMPUTED_VALUE"""),5)</f>
        <v>5</v>
      </c>
      <c r="I58" s="203" t="str">
        <f ca="1">IFERROR(__xludf.UNSUPPORTED("""COMPUTED_VALUE"""),"Pendência")</f>
        <v>Pendência</v>
      </c>
      <c r="J58" s="203" t="str">
        <f ca="1">IFERROR(__xludf.UNSUPPORTED("""COMPUTED_VALUE"""),"NA")</f>
        <v>NA</v>
      </c>
      <c r="K58" s="203" t="str">
        <f ca="1">IFERROR(__xludf.UNSUPPORTED("""COMPUTED_VALUE"""),"NA")</f>
        <v>NA</v>
      </c>
      <c r="L58" s="203" t="str">
        <f ca="1">IFERROR(__xludf.UNSUPPORTED("""COMPUTED_VALUE"""),"NA")</f>
        <v>NA</v>
      </c>
    </row>
    <row r="59" spans="2:12">
      <c r="B59" s="203" t="str">
        <f ca="1">IFERROR(__xludf.UNSUPPORTED("""COMPUTED_VALUE"""),"SERVIDOR")</f>
        <v>SERVIDOR</v>
      </c>
      <c r="C59" s="203" t="str">
        <f ca="1">IFERROR(__xludf.UNSUPPORTED("""COMPUTED_VALUE"""),"HJXXIII")</f>
        <v>HJXXIII</v>
      </c>
      <c r="D59" s="203" t="str">
        <f ca="1">IFERROR(__xludf.UNSUPPORTED("""COMPUTED_VALUE"""),"FHEMIG")</f>
        <v>FHEMIG</v>
      </c>
      <c r="E59" s="203" t="str">
        <f ca="1">IFERROR(__xludf.UNSUPPORTED("""COMPUTED_VALUE"""),"TCR")</f>
        <v>TCR</v>
      </c>
      <c r="F59" s="203" t="str">
        <f ca="1">IFERROR(__xludf.UNSUPPORTED("""COMPUTED_VALUE"""),"Observacional prospectivo")</f>
        <v>Observacional prospectivo</v>
      </c>
      <c r="G59" s="203" t="str">
        <f ca="1">IFERROR(__xludf.UNSUPPORTED("""COMPUTED_VALUE"""),"Rodrigo Muzzi")</f>
        <v>Rodrigo Muzzi</v>
      </c>
      <c r="H59" s="203" t="str">
        <f ca="1">IFERROR(__xludf.UNSUPPORTED("""COMPUTED_VALUE"""),"ABC")</f>
        <v>ABC</v>
      </c>
      <c r="I59" s="203" t="str">
        <f ca="1">IFERROR(__xludf.UNSUPPORTED("""COMPUTED_VALUE"""),"Aprovado no 2 PT")</f>
        <v>Aprovado no 2 PT</v>
      </c>
      <c r="J59" s="381">
        <f ca="1">IFERROR(__xludf.UNSUPPORTED("""COMPUTED_VALUE"""),45776)</f>
        <v>45776</v>
      </c>
      <c r="K59" s="203" t="str">
        <f ca="1">IFERROR(__xludf.UNSUPPORTED("""COMPUTED_VALUE"""),"N/A")</f>
        <v>N/A</v>
      </c>
      <c r="L59" s="381">
        <f ca="1">IFERROR(__xludf.UNSUPPORTED("""COMPUTED_VALUE"""),45809)</f>
        <v>45809</v>
      </c>
    </row>
    <row r="60" spans="2:12">
      <c r="B60" s="203" t="str">
        <f ca="1">IFERROR(__xludf.UNSUPPORTED("""COMPUTED_VALUE"""),"SERVIDOR")</f>
        <v>SERVIDOR</v>
      </c>
      <c r="C60" s="203" t="str">
        <f ca="1">IFERROR(__xludf.UNSUPPORTED("""COMPUTED_VALUE"""),"HJXXIII")</f>
        <v>HJXXIII</v>
      </c>
      <c r="D60" s="203" t="str">
        <f ca="1">IFERROR(__xludf.UNSUPPORTED("""COMPUTED_VALUE"""),"FHEMIG")</f>
        <v>FHEMIG</v>
      </c>
      <c r="E60" s="203" t="str">
        <f ca="1">IFERROR(__xludf.UNSUPPORTED("""COMPUTED_VALUE"""),"TCR")</f>
        <v>TCR</v>
      </c>
      <c r="F60" s="203" t="str">
        <f ca="1">IFERROR(__xludf.UNSUPPORTED("""COMPUTED_VALUE"""),"Transversal prospectivo")</f>
        <v>Transversal prospectivo</v>
      </c>
      <c r="G60" s="203" t="str">
        <f ca="1">IFERROR(__xludf.UNSUPPORTED("""COMPUTED_VALUE"""),"Luciana Cota")</f>
        <v>Luciana Cota</v>
      </c>
      <c r="H60" s="203" t="str">
        <f ca="1">IFERROR(__xludf.UNSUPPORTED("""COMPUTED_VALUE"""),"ABC")</f>
        <v>ABC</v>
      </c>
      <c r="I60" s="203" t="str">
        <f ca="1">IFERROR(__xludf.UNSUPPORTED("""COMPUTED_VALUE"""),"Aprovado no 1 PT")</f>
        <v>Aprovado no 1 PT</v>
      </c>
      <c r="J60" s="381">
        <f ca="1">IFERROR(__xludf.UNSUPPORTED("""COMPUTED_VALUE"""),45776)</f>
        <v>45776</v>
      </c>
      <c r="K60" s="203" t="str">
        <f ca="1">IFERROR(__xludf.UNSUPPORTED("""COMPUTED_VALUE"""),"N/A")</f>
        <v>N/A</v>
      </c>
      <c r="L60" s="381">
        <f ca="1">IFERROR(__xludf.UNSUPPORTED("""COMPUTED_VALUE"""),45814)</f>
        <v>45814</v>
      </c>
    </row>
    <row r="61" spans="2:12">
      <c r="B61" s="203" t="str">
        <f ca="1">IFERROR(__xludf.UNSUPPORTED("""COMPUTED_VALUE"""),"SERVIDOR")</f>
        <v>SERVIDOR</v>
      </c>
      <c r="C61" s="203" t="str">
        <f ca="1">IFERROR(__xludf.UNSUPPORTED("""COMPUTED_VALUE"""),"HJXXIII")</f>
        <v>HJXXIII</v>
      </c>
      <c r="D61" s="203" t="str">
        <f ca="1">IFERROR(__xludf.UNSUPPORTED("""COMPUTED_VALUE"""),"FHEMIG")</f>
        <v>FHEMIG</v>
      </c>
      <c r="E61" s="203" t="str">
        <f ca="1">IFERROR(__xludf.UNSUPPORTED("""COMPUTED_VALUE"""),"EMENDA PROJ INTERNO")</f>
        <v>EMENDA PROJ INTERNO</v>
      </c>
      <c r="F61" s="203" t="str">
        <f ca="1">IFERROR(__xludf.UNSUPPORTED("""COMPUTED_VALUE"""),"Observacional descritivo ")</f>
        <v xml:space="preserve">Observacional descritivo </v>
      </c>
      <c r="G61" s="203" t="str">
        <f ca="1">IFERROR(__xludf.UNSUPPORTED("""COMPUTED_VALUE"""),"NA")</f>
        <v>NA</v>
      </c>
      <c r="H61" s="203" t="str">
        <f ca="1">IFERROR(__xludf.UNSUPPORTED("""COMPUTED_VALUE"""),"ABC")</f>
        <v>ABC</v>
      </c>
      <c r="I61" s="203"/>
      <c r="J61" s="203" t="str">
        <f ca="1">IFERROR(__xludf.UNSUPPORTED("""COMPUTED_VALUE"""),"NA")</f>
        <v>NA</v>
      </c>
      <c r="K61" s="203" t="str">
        <f ca="1">IFERROR(__xludf.UNSUPPORTED("""COMPUTED_VALUE"""),"N/A")</f>
        <v>N/A</v>
      </c>
      <c r="L61" s="381">
        <f ca="1">IFERROR(__xludf.UNSUPPORTED("""COMPUTED_VALUE"""),45702)</f>
        <v>45702</v>
      </c>
    </row>
    <row r="62" spans="2:12">
      <c r="B62" s="203" t="str">
        <f ca="1">IFERROR(__xludf.UNSUPPORTED("""COMPUTED_VALUE"""),"RESIDENTE MULTI")</f>
        <v>RESIDENTE MULTI</v>
      </c>
      <c r="C62" s="203" t="str">
        <f ca="1">IFERROR(__xludf.UNSUPPORTED("""COMPUTED_VALUE"""),"HIJPII")</f>
        <v>HIJPII</v>
      </c>
      <c r="D62" s="203" t="str">
        <f ca="1">IFERROR(__xludf.UNSUPPORTED("""COMPUTED_VALUE"""),"FHEMIG")</f>
        <v>FHEMIG</v>
      </c>
      <c r="E62" s="203" t="str">
        <f ca="1">IFERROR(__xludf.UNSUPPORTED("""COMPUTED_VALUE"""),"TCR")</f>
        <v>TCR</v>
      </c>
      <c r="F62" s="203" t="str">
        <f ca="1">IFERROR(__xludf.UNSUPPORTED("""COMPUTED_VALUE"""),"Observacional prospectivo")</f>
        <v>Observacional prospectivo</v>
      </c>
      <c r="G62" s="203" t="str">
        <f ca="1">IFERROR(__xludf.UNSUPPORTED("""COMPUTED_VALUE"""),"Enf. Luzia Maria dos Santos")</f>
        <v>Enf. Luzia Maria dos Santos</v>
      </c>
      <c r="H62" s="203">
        <f ca="1">IFERROR(__xludf.UNSUPPORTED("""COMPUTED_VALUE"""),6)</f>
        <v>6</v>
      </c>
      <c r="I62" s="203" t="str">
        <f ca="1">IFERROR(__xludf.UNSUPPORTED("""COMPUTED_VALUE"""),"Aprovado no 2 PT")</f>
        <v>Aprovado no 2 PT</v>
      </c>
      <c r="J62" s="381">
        <f ca="1">IFERROR(__xludf.UNSUPPORTED("""COMPUTED_VALUE"""),45835)</f>
        <v>45835</v>
      </c>
      <c r="K62" s="203" t="str">
        <f ca="1">IFERROR(__xludf.UNSUPPORTED("""COMPUTED_VALUE"""),"NA")</f>
        <v>NA</v>
      </c>
      <c r="L62" s="203" t="str">
        <f ca="1">IFERROR(__xludf.UNSUPPORTED("""COMPUTED_VALUE"""),"NA")</f>
        <v>NA</v>
      </c>
    </row>
    <row r="63" spans="2:12">
      <c r="B63" s="203" t="str">
        <f ca="1">IFERROR(__xludf.UNSUPPORTED("""COMPUTED_VALUE"""),"RESIDENTE MÉDIC")</f>
        <v>RESIDENTE MÉDIC</v>
      </c>
      <c r="C63" s="203" t="str">
        <f ca="1">IFERROR(__xludf.UNSUPPORTED("""COMPUTED_VALUE"""),"HIJPII")</f>
        <v>HIJPII</v>
      </c>
      <c r="D63" s="203" t="str">
        <f ca="1">IFERROR(__xludf.UNSUPPORTED("""COMPUTED_VALUE"""),"FHEMIG")</f>
        <v>FHEMIG</v>
      </c>
      <c r="E63" s="203" t="str">
        <f ca="1">IFERROR(__xludf.UNSUPPORTED("""COMPUTED_VALUE"""),"TCR")</f>
        <v>TCR</v>
      </c>
      <c r="F63" s="203" t="str">
        <f ca="1">IFERROR(__xludf.UNSUPPORTED("""COMPUTED_VALUE"""),"Coorte Prospectivo")</f>
        <v>Coorte Prospectivo</v>
      </c>
      <c r="G63" s="203" t="str">
        <f ca="1">IFERROR(__xludf.UNSUPPORTED("""COMPUTED_VALUE"""),"Chalene Guimaraes Soares Mezencio")</f>
        <v>Chalene Guimaraes Soares Mezencio</v>
      </c>
      <c r="H63" s="203" t="str">
        <f ca="1">IFERROR(__xludf.UNSUPPORTED("""COMPUTED_VALUE"""),"ABC")</f>
        <v>ABC</v>
      </c>
      <c r="I63" s="203" t="str">
        <f ca="1">IFERROR(__xludf.UNSUPPORTED("""COMPUTED_VALUE"""),"Aprovado no 1 PT")</f>
        <v>Aprovado no 1 PT</v>
      </c>
      <c r="J63" s="381">
        <f ca="1">IFERROR(__xludf.UNSUPPORTED("""COMPUTED_VALUE"""),45823)</f>
        <v>45823</v>
      </c>
      <c r="K63" s="203" t="str">
        <f ca="1">IFERROR(__xludf.UNSUPPORTED("""COMPUTED_VALUE"""),"NA")</f>
        <v>NA</v>
      </c>
      <c r="L63" s="203" t="str">
        <f ca="1">IFERROR(__xludf.UNSUPPORTED("""COMPUTED_VALUE"""),"NA")</f>
        <v>NA</v>
      </c>
    </row>
    <row r="64" spans="2:12">
      <c r="B64" s="203" t="str">
        <f ca="1">IFERROR(__xludf.UNSUPPORTED("""COMPUTED_VALUE"""),"SERVIDOR")</f>
        <v>SERVIDOR</v>
      </c>
      <c r="C64" s="203" t="str">
        <f ca="1">IFERROR(__xludf.UNSUPPORTED("""COMPUTED_VALUE"""),"HJXXIII")</f>
        <v>HJXXIII</v>
      </c>
      <c r="D64" s="203" t="str">
        <f ca="1">IFERROR(__xludf.UNSUPPORTED("""COMPUTED_VALUE"""),"FHEMIG")</f>
        <v>FHEMIG</v>
      </c>
      <c r="E64" s="203" t="str">
        <f ca="1">IFERROR(__xludf.UNSUPPORTED("""COMPUTED_VALUE"""),"CONGRESSO/DIVULGAÇÃO/PUBLICAÇÃO")</f>
        <v>CONGRESSO/DIVULGAÇÃO/PUBLICAÇÃO</v>
      </c>
      <c r="F64" s="203" t="str">
        <f ca="1">IFERROR(__xludf.UNSUPPORTED("""COMPUTED_VALUE"""),"Observacional prospectivo")</f>
        <v>Observacional prospectivo</v>
      </c>
      <c r="G64" s="203" t="str">
        <f ca="1">IFERROR(__xludf.UNSUPPORTED("""COMPUTED_VALUE"""),"Frederico Bruzzi")</f>
        <v>Frederico Bruzzi</v>
      </c>
      <c r="H64" s="203">
        <f ca="1">IFERROR(__xludf.UNSUPPORTED("""COMPUTED_VALUE"""),1)</f>
        <v>1</v>
      </c>
      <c r="I64" s="203" t="str">
        <f ca="1">IFERROR(__xludf.UNSUPPORTED("""COMPUTED_VALUE"""),"NA")</f>
        <v>NA</v>
      </c>
      <c r="J64" s="203" t="str">
        <f ca="1">IFERROR(__xludf.UNSUPPORTED("""COMPUTED_VALUE"""),"NA")</f>
        <v>NA</v>
      </c>
      <c r="K64" s="203" t="str">
        <f ca="1">IFERROR(__xludf.UNSUPPORTED("""COMPUTED_VALUE"""),"NA")</f>
        <v>NA</v>
      </c>
      <c r="L64" s="203" t="str">
        <f ca="1">IFERROR(__xludf.UNSUPPORTED("""COMPUTED_VALUE"""),"NA")</f>
        <v>NA</v>
      </c>
    </row>
    <row r="65" spans="2:12">
      <c r="B65" s="203" t="str">
        <f ca="1">IFERROR(__xludf.UNSUPPORTED("""COMPUTED_VALUE"""),"PESQ EXTERNO")</f>
        <v>PESQ EXTERNO</v>
      </c>
      <c r="C65" s="203" t="str">
        <f ca="1">IFERROR(__xludf.UNSUPPORTED("""COMPUTED_VALUE"""),"HIJPII")</f>
        <v>HIJPII</v>
      </c>
      <c r="D65" s="203" t="str">
        <f ca="1">IFERROR(__xludf.UNSUPPORTED("""COMPUTED_VALUE"""),"UFMG")</f>
        <v>UFMG</v>
      </c>
      <c r="E65" s="203" t="str">
        <f ca="1">IFERROR(__xludf.UNSUPPORTED("""COMPUTED_VALUE"""),"TCR")</f>
        <v>TCR</v>
      </c>
      <c r="F65" s="203" t="str">
        <f ca="1">IFERROR(__xludf.UNSUPPORTED("""COMPUTED_VALUE"""),"Observacional prospectivo")</f>
        <v>Observacional prospectivo</v>
      </c>
      <c r="G65" s="203" t="str">
        <f ca="1">IFERROR(__xludf.UNSUPPORTED("""COMPUTED_VALUE"""),"Livia Isabela de Oliveira")</f>
        <v>Livia Isabela de Oliveira</v>
      </c>
      <c r="H65" s="203" t="str">
        <f ca="1">IFERROR(__xludf.UNSUPPORTED("""COMPUTED_VALUE"""),"ABC")</f>
        <v>ABC</v>
      </c>
      <c r="I65" s="203" t="str">
        <f ca="1">IFERROR(__xludf.UNSUPPORTED("""COMPUTED_VALUE"""),"Aprovado no 2 PT")</f>
        <v>Aprovado no 2 PT</v>
      </c>
      <c r="J65" s="203" t="str">
        <f ca="1">IFERROR(__xludf.UNSUPPORTED("""COMPUTED_VALUE"""),"NA")</f>
        <v>NA</v>
      </c>
      <c r="K65" s="203" t="str">
        <f ca="1">IFERROR(__xludf.UNSUPPORTED("""COMPUTED_VALUE"""),"NA")</f>
        <v>NA</v>
      </c>
      <c r="L65" s="203" t="str">
        <f ca="1">IFERROR(__xludf.UNSUPPORTED("""COMPUTED_VALUE"""),"NA")</f>
        <v>NA</v>
      </c>
    </row>
    <row r="66" spans="2:12">
      <c r="B66" s="203" t="str">
        <f ca="1">IFERROR(__xludf.UNSUPPORTED("""COMPUTED_VALUE"""),"RESIDENTE MULTI")</f>
        <v>RESIDENTE MULTI</v>
      </c>
      <c r="C66" s="203" t="str">
        <f ca="1">IFERROR(__xludf.UNSUPPORTED("""COMPUTED_VALUE"""),"HJXXIII")</f>
        <v>HJXXIII</v>
      </c>
      <c r="D66" s="203" t="str">
        <f ca="1">IFERROR(__xludf.UNSUPPORTED("""COMPUTED_VALUE"""),"FHEMIG")</f>
        <v>FHEMIG</v>
      </c>
      <c r="E66" s="203" t="str">
        <f ca="1">IFERROR(__xludf.UNSUPPORTED("""COMPUTED_VALUE"""),"TCR")</f>
        <v>TCR</v>
      </c>
      <c r="F66" s="203" t="str">
        <f ca="1">IFERROR(__xludf.UNSUPPORTED("""COMPUTED_VALUE"""),"Transversal prospectivo")</f>
        <v>Transversal prospectivo</v>
      </c>
      <c r="G66" s="203" t="str">
        <f ca="1">IFERROR(__xludf.UNSUPPORTED("""COMPUTED_VALUE"""),"NA")</f>
        <v>NA</v>
      </c>
      <c r="H66" s="203" t="str">
        <f ca="1">IFERROR(__xludf.UNSUPPORTED("""COMPUTED_VALUE"""),"ABC")</f>
        <v>ABC</v>
      </c>
      <c r="I66" s="203" t="str">
        <f ca="1">IFERROR(__xludf.UNSUPPORTED("""COMPUTED_VALUE"""),"Aprovado no 1 PT")</f>
        <v>Aprovado no 1 PT</v>
      </c>
      <c r="J66" s="381">
        <f ca="1">IFERROR(__xludf.UNSUPPORTED("""COMPUTED_VALUE"""),45693)</f>
        <v>45693</v>
      </c>
      <c r="K66" s="203" t="str">
        <f ca="1">IFERROR(__xludf.UNSUPPORTED("""COMPUTED_VALUE"""),"NA")</f>
        <v>NA</v>
      </c>
      <c r="L66" s="381">
        <f ca="1">IFERROR(__xludf.UNSUPPORTED("""COMPUTED_VALUE"""),45723)</f>
        <v>45723</v>
      </c>
    </row>
    <row r="67" spans="2:12">
      <c r="B67" s="203" t="str">
        <f ca="1">IFERROR(__xludf.UNSUPPORTED("""COMPUTED_VALUE"""),"RESIDENTE MÉDIC")</f>
        <v>RESIDENTE MÉDIC</v>
      </c>
      <c r="C67" s="203" t="str">
        <f ca="1">IFERROR(__xludf.UNSUPPORTED("""COMPUTED_VALUE"""),"HJXXIII")</f>
        <v>HJXXIII</v>
      </c>
      <c r="D67" s="203" t="str">
        <f ca="1">IFERROR(__xludf.UNSUPPORTED("""COMPUTED_VALUE"""),"FHEMIG")</f>
        <v>FHEMIG</v>
      </c>
      <c r="E67" s="203" t="str">
        <f ca="1">IFERROR(__xludf.UNSUPPORTED("""COMPUTED_VALUE"""),"TCR")</f>
        <v>TCR</v>
      </c>
      <c r="F67" s="203" t="str">
        <f ca="1">IFERROR(__xludf.UNSUPPORTED("""COMPUTED_VALUE"""),"Transversal retrospectivo")</f>
        <v>Transversal retrospectivo</v>
      </c>
      <c r="G67" s="203" t="str">
        <f ca="1">IFERROR(__xludf.UNSUPPORTED("""COMPUTED_VALUE"""),"Juliana Mattos Tavares")</f>
        <v>Juliana Mattos Tavares</v>
      </c>
      <c r="H67" s="203" t="str">
        <f ca="1">IFERROR(__xludf.UNSUPPORTED("""COMPUTED_VALUE"""),"ABC")</f>
        <v>ABC</v>
      </c>
      <c r="I67" s="203" t="str">
        <f ca="1">IFERROR(__xludf.UNSUPPORTED("""COMPUTED_VALUE"""),"Aprovado no 1 PT")</f>
        <v>Aprovado no 1 PT</v>
      </c>
      <c r="J67" s="203" t="str">
        <f ca="1">IFERROR(__xludf.UNSUPPORTED("""COMPUTED_VALUE"""),"NA")</f>
        <v>NA</v>
      </c>
      <c r="K67" s="203" t="str">
        <f ca="1">IFERROR(__xludf.UNSUPPORTED("""COMPUTED_VALUE"""),"NA")</f>
        <v>NA</v>
      </c>
      <c r="L67" s="203" t="str">
        <f ca="1">IFERROR(__xludf.UNSUPPORTED("""COMPUTED_VALUE"""),"NA")</f>
        <v>NA</v>
      </c>
    </row>
    <row r="68" spans="2:12">
      <c r="B68" s="203" t="str">
        <f ca="1">IFERROR(__xludf.UNSUPPORTED("""COMPUTED_VALUE"""),"SERVIDOR")</f>
        <v>SERVIDOR</v>
      </c>
      <c r="C68" s="203" t="str">
        <f ca="1">IFERROR(__xludf.UNSUPPORTED("""COMPUTED_VALUE"""),"HJXXIII")</f>
        <v>HJXXIII</v>
      </c>
      <c r="D68" s="203" t="str">
        <f ca="1">IFERROR(__xludf.UNSUPPORTED("""COMPUTED_VALUE"""),"HCFMUSP")</f>
        <v>HCFMUSP</v>
      </c>
      <c r="E68" s="203" t="str">
        <f ca="1">IFERROR(__xludf.UNSUPPORTED("""COMPUTED_VALUE"""),"CONGRESSO/DIVULGAÇÃO/PUBLICAÇÃO")</f>
        <v>CONGRESSO/DIVULGAÇÃO/PUBLICAÇÃO</v>
      </c>
      <c r="F68" s="203" t="str">
        <f ca="1">IFERROR(__xludf.UNSUPPORTED("""COMPUTED_VALUE"""),"Internacional prospec observ multicent  ")</f>
        <v xml:space="preserve">Internacional prospec observ multicent  </v>
      </c>
      <c r="G68" s="203" t="str">
        <f ca="1">IFERROR(__xludf.UNSUPPORTED("""COMPUTED_VALUE"""),"Luciana Cota")</f>
        <v>Luciana Cota</v>
      </c>
      <c r="H68" s="203" t="str">
        <f ca="1">IFERROR(__xludf.UNSUPPORTED("""COMPUTED_VALUE"""),"ABC")</f>
        <v>ABC</v>
      </c>
      <c r="I68" s="203" t="str">
        <f ca="1">IFERROR(__xludf.UNSUPPORTED("""COMPUTED_VALUE"""),"Aprovado no 4 PT")</f>
        <v>Aprovado no 4 PT</v>
      </c>
      <c r="J68" s="381">
        <f ca="1">IFERROR(__xludf.UNSUPPORTED("""COMPUTED_VALUE"""),45846)</f>
        <v>45846</v>
      </c>
      <c r="K68" s="203" t="str">
        <f ca="1">IFERROR(__xludf.UNSUPPORTED("""COMPUTED_VALUE"""),"NA")</f>
        <v>NA</v>
      </c>
      <c r="L68" s="203" t="str">
        <f ca="1">IFERROR(__xludf.UNSUPPORTED("""COMPUTED_VALUE"""),"NA")</f>
        <v>NA</v>
      </c>
    </row>
    <row r="69" spans="2:12">
      <c r="B69" s="203" t="str">
        <f ca="1">IFERROR(__xludf.UNSUPPORTED("""COMPUTED_VALUE"""),"RESIDENTE MÉDIC")</f>
        <v>RESIDENTE MÉDIC</v>
      </c>
      <c r="C69" s="203" t="str">
        <f ca="1">IFERROR(__xludf.UNSUPPORTED("""COMPUTED_VALUE"""),"HJXXIII")</f>
        <v>HJXXIII</v>
      </c>
      <c r="D69" s="203" t="str">
        <f ca="1">IFERROR(__xludf.UNSUPPORTED("""COMPUTED_VALUE"""),"FHEMIG")</f>
        <v>FHEMIG</v>
      </c>
      <c r="E69" s="203" t="str">
        <f ca="1">IFERROR(__xludf.UNSUPPORTED("""COMPUTED_VALUE"""),"TCR")</f>
        <v>TCR</v>
      </c>
      <c r="F69" s="203" t="str">
        <f ca="1">IFERROR(__xludf.UNSUPPORTED("""COMPUTED_VALUE"""),"Observacional retrospectivo")</f>
        <v>Observacional retrospectivo</v>
      </c>
      <c r="G69" s="203" t="str">
        <f ca="1">IFERROR(__xludf.UNSUPPORTED("""COMPUTED_VALUE"""),"Luzia ")</f>
        <v xml:space="preserve">Luzia </v>
      </c>
      <c r="H69" s="203">
        <f ca="1">IFERROR(__xludf.UNSUPPORTED("""COMPUTED_VALUE"""),6)</f>
        <v>6</v>
      </c>
      <c r="I69" s="203" t="str">
        <f ca="1">IFERROR(__xludf.UNSUPPORTED("""COMPUTED_VALUE"""),"Aprovado no 3 PT")</f>
        <v>Aprovado no 3 PT</v>
      </c>
      <c r="J69" s="381">
        <f ca="1">IFERROR(__xludf.UNSUPPORTED("""COMPUTED_VALUE"""),45835)</f>
        <v>45835</v>
      </c>
      <c r="K69" s="203" t="str">
        <f ca="1">IFERROR(__xludf.UNSUPPORTED("""COMPUTED_VALUE"""),"NA")</f>
        <v>NA</v>
      </c>
      <c r="L69" s="203">
        <f ca="1">IFERROR(__xludf.UNSUPPORTED("""COMPUTED_VALUE"""),45848)</f>
        <v>45848</v>
      </c>
    </row>
    <row r="70" spans="2:12">
      <c r="B70" s="203" t="str">
        <f ca="1">IFERROR(__xludf.UNSUPPORTED("""COMPUTED_VALUE"""),"SERVIDOR")</f>
        <v>SERVIDOR</v>
      </c>
      <c r="C70" s="203" t="str">
        <f ca="1">IFERROR(__xludf.UNSUPPORTED("""COMPUTED_VALUE"""),"HJXXIII")</f>
        <v>HJXXIII</v>
      </c>
      <c r="D70" s="203" t="str">
        <f ca="1">IFERROR(__xludf.UNSUPPORTED("""COMPUTED_VALUE"""),"FHEMIG")</f>
        <v>FHEMIG</v>
      </c>
      <c r="E70" s="203" t="str">
        <f ca="1">IFERROR(__xludf.UNSUPPORTED("""COMPUTED_VALUE"""),"CONGRESSO/DIVULGAÇÃO/PUBLICAÇÃO")</f>
        <v>CONGRESSO/DIVULGAÇÃO/PUBLICAÇÃO</v>
      </c>
      <c r="F70" s="203" t="str">
        <f ca="1">IFERROR(__xludf.UNSUPPORTED("""COMPUTED_VALUE"""),"Observacional retrospectivo")</f>
        <v>Observacional retrospectivo</v>
      </c>
      <c r="G70" s="203" t="str">
        <f ca="1">IFERROR(__xludf.UNSUPPORTED("""COMPUTED_VALUE"""),"NA")</f>
        <v>NA</v>
      </c>
      <c r="H70" s="203">
        <f ca="1">IFERROR(__xludf.UNSUPPORTED("""COMPUTED_VALUE"""),5)</f>
        <v>5</v>
      </c>
      <c r="I70" s="203" t="str">
        <f ca="1">IFERROR(__xludf.UNSUPPORTED("""COMPUTED_VALUE"""),"Aprovado no 1 PT")</f>
        <v>Aprovado no 1 PT</v>
      </c>
      <c r="J70" s="381">
        <f ca="1">IFERROR(__xludf.UNSUPPORTED("""COMPUTED_VALUE"""),45824)</f>
        <v>45824</v>
      </c>
      <c r="K70" s="203" t="str">
        <f ca="1">IFERROR(__xludf.UNSUPPORTED("""COMPUTED_VALUE"""),"NA")</f>
        <v>NA</v>
      </c>
      <c r="L70" s="381">
        <f ca="1">IFERROR(__xludf.UNSUPPORTED("""COMPUTED_VALUE"""),45835)</f>
        <v>45835</v>
      </c>
    </row>
    <row r="71" spans="2:12">
      <c r="B71" s="203" t="str">
        <f ca="1">IFERROR(__xludf.UNSUPPORTED("""COMPUTED_VALUE"""),"SERVIDOR")</f>
        <v>SERVIDOR</v>
      </c>
      <c r="C71" s="203" t="str">
        <f ca="1">IFERROR(__xludf.UNSUPPORTED("""COMPUTED_VALUE"""),"HIJPII")</f>
        <v>HIJPII</v>
      </c>
      <c r="D71" s="203" t="str">
        <f ca="1">IFERROR(__xludf.UNSUPPORTED("""COMPUTED_VALUE"""),"FHEMIG")</f>
        <v>FHEMIG</v>
      </c>
      <c r="E71" s="203" t="str">
        <f ca="1">IFERROR(__xludf.UNSUPPORTED("""COMPUTED_VALUE"""),"TCR")</f>
        <v>TCR</v>
      </c>
      <c r="F71" s="203" t="str">
        <f ca="1">IFERROR(__xludf.UNSUPPORTED("""COMPUTED_VALUE"""),"Relato de caso")</f>
        <v>Relato de caso</v>
      </c>
      <c r="G71" s="203" t="str">
        <f ca="1">IFERROR(__xludf.UNSUPPORTED("""COMPUTED_VALUE"""),"NA")</f>
        <v>NA</v>
      </c>
      <c r="H71" s="203">
        <f ca="1">IFERROR(__xludf.UNSUPPORTED("""COMPUTED_VALUE"""),5)</f>
        <v>5</v>
      </c>
      <c r="I71" s="203" t="str">
        <f ca="1">IFERROR(__xludf.UNSUPPORTED("""COMPUTED_VALUE"""),"Aprovado no 1 PT")</f>
        <v>Aprovado no 1 PT</v>
      </c>
      <c r="J71" s="381">
        <f ca="1">IFERROR(__xludf.UNSUPPORTED("""COMPUTED_VALUE"""),45823)</f>
        <v>45823</v>
      </c>
      <c r="K71" s="203" t="str">
        <f ca="1">IFERROR(__xludf.UNSUPPORTED("""COMPUTED_VALUE"""),"NA")</f>
        <v>NA</v>
      </c>
      <c r="L71" s="381">
        <f ca="1">IFERROR(__xludf.UNSUPPORTED("""COMPUTED_VALUE"""),45831)</f>
        <v>45831</v>
      </c>
    </row>
    <row r="72" spans="2:12">
      <c r="B72" s="203" t="str">
        <f ca="1">IFERROR(__xludf.UNSUPPORTED("""COMPUTED_VALUE"""),"RESIDENTE MULTI")</f>
        <v>RESIDENTE MULTI</v>
      </c>
      <c r="C72" s="203" t="str">
        <f ca="1">IFERROR(__xludf.UNSUPPORTED("""COMPUTED_VALUE"""),"HJXXIII")</f>
        <v>HJXXIII</v>
      </c>
      <c r="D72" s="203" t="str">
        <f ca="1">IFERROR(__xludf.UNSUPPORTED("""COMPUTED_VALUE"""),"FHEMIG")</f>
        <v>FHEMIG</v>
      </c>
      <c r="E72" s="203" t="str">
        <f ca="1">IFERROR(__xludf.UNSUPPORTED("""COMPUTED_VALUE"""),"CONGRESSO/DIVULGAÇÃO/PUBLICAÇÃO")</f>
        <v>CONGRESSO/DIVULGAÇÃO/PUBLICAÇÃO</v>
      </c>
      <c r="F72" s="203" t="str">
        <f ca="1">IFERROR(__xludf.UNSUPPORTED("""COMPUTED_VALUE"""),"Observacional retrospectivo")</f>
        <v>Observacional retrospectivo</v>
      </c>
      <c r="G72" s="203" t="str">
        <f ca="1">IFERROR(__xludf.UNSUPPORTED("""COMPUTED_VALUE"""),"RESIDENTE")</f>
        <v>RESIDENTE</v>
      </c>
      <c r="H72" s="203">
        <f ca="1">IFERROR(__xludf.UNSUPPORTED("""COMPUTED_VALUE"""),2)</f>
        <v>2</v>
      </c>
      <c r="I72" s="203" t="str">
        <f ca="1">IFERROR(__xludf.UNSUPPORTED("""COMPUTED_VALUE"""),"Aprovado no 3 PT")</f>
        <v>Aprovado no 3 PT</v>
      </c>
      <c r="J72" s="381">
        <f ca="1">IFERROR(__xludf.UNSUPPORTED("""COMPUTED_VALUE"""),45866)</f>
        <v>45866</v>
      </c>
      <c r="K72" s="203" t="str">
        <f ca="1">IFERROR(__xludf.UNSUPPORTED("""COMPUTED_VALUE"""),"NA")</f>
        <v>NA</v>
      </c>
      <c r="L72" s="381">
        <f ca="1">IFERROR(__xludf.UNSUPPORTED("""COMPUTED_VALUE"""),45891)</f>
        <v>45891</v>
      </c>
    </row>
    <row r="73" spans="2:12">
      <c r="B73" s="203" t="str">
        <f ca="1">IFERROR(__xludf.UNSUPPORTED("""COMPUTED_VALUE"""),"SERVIDOR")</f>
        <v>SERVIDOR</v>
      </c>
      <c r="C73" s="203" t="str">
        <f ca="1">IFERROR(__xludf.UNSUPPORTED("""COMPUTED_VALUE"""),"HJXXIII")</f>
        <v>HJXXIII</v>
      </c>
      <c r="D73" s="203" t="str">
        <f ca="1">IFERROR(__xludf.UNSUPPORTED("""COMPUTED_VALUE"""),"FHEMIG")</f>
        <v>FHEMIG</v>
      </c>
      <c r="E73" s="203" t="str">
        <f ca="1">IFERROR(__xludf.UNSUPPORTED("""COMPUTED_VALUE"""),"CONGRESSO/DIVULGAÇÃO/PUBLICAÇÃO")</f>
        <v>CONGRESSO/DIVULGAÇÃO/PUBLICAÇÃO</v>
      </c>
      <c r="F73" s="203" t="str">
        <f ca="1">IFERROR(__xludf.UNSUPPORTED("""COMPUTED_VALUE"""),"Observacional retrospectivo")</f>
        <v>Observacional retrospectivo</v>
      </c>
      <c r="G73" s="203" t="str">
        <f ca="1">IFERROR(__xludf.UNSUPPORTED("""COMPUTED_VALUE"""),"NA")</f>
        <v>NA</v>
      </c>
      <c r="H73" s="203" t="str">
        <f ca="1">IFERROR(__xludf.UNSUPPORTED("""COMPUTED_VALUE"""),"#VALUE!")</f>
        <v>#VALUE!</v>
      </c>
      <c r="I73" s="203" t="str">
        <f ca="1">IFERROR(__xludf.UNSUPPORTED("""COMPUTED_VALUE"""),"Aprovado no 1 PT")</f>
        <v>Aprovado no 1 PT</v>
      </c>
      <c r="J73" s="381">
        <f ca="1">IFERROR(__xludf.UNSUPPORTED("""COMPUTED_VALUE"""),45824)</f>
        <v>45824</v>
      </c>
      <c r="K73" s="203" t="str">
        <f ca="1">IFERROR(__xludf.UNSUPPORTED("""COMPUTED_VALUE"""),"NA")</f>
        <v>NA</v>
      </c>
      <c r="L73" s="381">
        <f ca="1">IFERROR(__xludf.UNSUPPORTED("""COMPUTED_VALUE"""),45825)</f>
        <v>45825</v>
      </c>
    </row>
    <row r="74" spans="2:12">
      <c r="B74" s="203" t="str">
        <f ca="1">IFERROR(__xludf.UNSUPPORTED("""COMPUTED_VALUE"""),"RESIDENTE MÉDIC")</f>
        <v>RESIDENTE MÉDIC</v>
      </c>
      <c r="C74" s="203" t="str">
        <f ca="1">IFERROR(__xludf.UNSUPPORTED("""COMPUTED_VALUE"""),"HJXXIII")</f>
        <v>HJXXIII</v>
      </c>
      <c r="D74" s="203" t="str">
        <f ca="1">IFERROR(__xludf.UNSUPPORTED("""COMPUTED_VALUE"""),"FHEMIG")</f>
        <v>FHEMIG</v>
      </c>
      <c r="E74" s="203" t="str">
        <f ca="1">IFERROR(__xludf.UNSUPPORTED("""COMPUTED_VALUE"""),"TCR")</f>
        <v>TCR</v>
      </c>
      <c r="F74" s="203" t="str">
        <f ca="1">IFERROR(__xludf.UNSUPPORTED("""COMPUTED_VALUE"""),"Observacional prospectivo")</f>
        <v>Observacional prospectivo</v>
      </c>
      <c r="G74" s="203" t="str">
        <f ca="1">IFERROR(__xludf.UNSUPPORTED("""COMPUTED_VALUE""")," NA")</f>
        <v xml:space="preserve"> NA</v>
      </c>
      <c r="H74" s="203" t="str">
        <f ca="1">IFERROR(__xludf.UNSUPPORTED("""COMPUTED_VALUE"""),"#VALUE!")</f>
        <v>#VALUE!</v>
      </c>
      <c r="I74" s="203" t="str">
        <f ca="1">IFERROR(__xludf.UNSUPPORTED("""COMPUTED_VALUE"""),"Aprovado no 2 PT")</f>
        <v>Aprovado no 2 PT</v>
      </c>
      <c r="J74" s="381">
        <f ca="1">IFERROR(__xludf.UNSUPPORTED("""COMPUTED_VALUE"""),45846)</f>
        <v>45846</v>
      </c>
      <c r="K74" s="203" t="str">
        <f ca="1">IFERROR(__xludf.UNSUPPORTED("""COMPUTED_VALUE"""),"NA")</f>
        <v>NA</v>
      </c>
      <c r="L74" s="203" t="str">
        <f ca="1">IFERROR(__xludf.UNSUPPORTED("""COMPUTED_VALUE"""),"NA")</f>
        <v>NA</v>
      </c>
    </row>
    <row r="75" spans="2:12">
      <c r="B75" s="203" t="str">
        <f ca="1">IFERROR(__xludf.UNSUPPORTED("""COMPUTED_VALUE"""),"RESIDENTE MÉDIC")</f>
        <v>RESIDENTE MÉDIC</v>
      </c>
      <c r="C75" s="203" t="str">
        <f ca="1">IFERROR(__xludf.UNSUPPORTED("""COMPUTED_VALUE"""),"HMAL")</f>
        <v>HMAL</v>
      </c>
      <c r="D75" s="203" t="str">
        <f ca="1">IFERROR(__xludf.UNSUPPORTED("""COMPUTED_VALUE"""),"FHEMIG")</f>
        <v>FHEMIG</v>
      </c>
      <c r="E75" s="203" t="str">
        <f ca="1">IFERROR(__xludf.UNSUPPORTED("""COMPUTED_VALUE"""),"TCR")</f>
        <v>TCR</v>
      </c>
      <c r="F75" s="203" t="str">
        <f ca="1">IFERROR(__xludf.UNSUPPORTED("""COMPUTED_VALUE"""),"Observacional descritivo ")</f>
        <v xml:space="preserve">Observacional descritivo </v>
      </c>
      <c r="G75" s="203" t="str">
        <f ca="1">IFERROR(__xludf.UNSUPPORTED("""COMPUTED_VALUE"""),"N/A")</f>
        <v>N/A</v>
      </c>
      <c r="H75" s="203" t="str">
        <f ca="1">IFERROR(__xludf.UNSUPPORTED("""COMPUTED_VALUE"""),"#VALUE!")</f>
        <v>#VALUE!</v>
      </c>
      <c r="I75" s="203" t="str">
        <f ca="1">IFERROR(__xludf.UNSUPPORTED("""COMPUTED_VALUE"""),"Aprovado no 1 PT")</f>
        <v>Aprovado no 1 PT</v>
      </c>
      <c r="J75" s="381">
        <f ca="1">IFERROR(__xludf.UNSUPPORTED("""COMPUTED_VALUE"""),45846)</f>
        <v>45846</v>
      </c>
      <c r="K75" s="203" t="str">
        <f ca="1">IFERROR(__xludf.UNSUPPORTED("""COMPUTED_VALUE"""),"NA")</f>
        <v>NA</v>
      </c>
      <c r="L75" s="203" t="str">
        <f ca="1">IFERROR(__xludf.UNSUPPORTED("""COMPUTED_VALUE"""),"NA")</f>
        <v>NA</v>
      </c>
    </row>
    <row r="76" spans="2:12">
      <c r="B76" s="203" t="str">
        <f ca="1">IFERROR(__xludf.UNSUPPORTED("""COMPUTED_VALUE"""),"RESIDENTE MÉDIC")</f>
        <v>RESIDENTE MÉDIC</v>
      </c>
      <c r="C76" s="203" t="str">
        <f ca="1">IFERROR(__xludf.UNSUPPORTED("""COMPUTED_VALUE"""),"HJXXIII")</f>
        <v>HJXXIII</v>
      </c>
      <c r="D76" s="203" t="str">
        <f ca="1">IFERROR(__xludf.UNSUPPORTED("""COMPUTED_VALUE"""),"FHEMIG")</f>
        <v>FHEMIG</v>
      </c>
      <c r="E76" s="203" t="str">
        <f ca="1">IFERROR(__xludf.UNSUPPORTED("""COMPUTED_VALUE"""),"TCR")</f>
        <v>TCR</v>
      </c>
      <c r="F76" s="203" t="str">
        <f ca="1">IFERROR(__xludf.UNSUPPORTED("""COMPUTED_VALUE"""),"Observacional retrospectivo")</f>
        <v>Observacional retrospectivo</v>
      </c>
      <c r="G76" s="203" t="str">
        <f ca="1">IFERROR(__xludf.UNSUPPORTED("""COMPUTED_VALUE"""),"NA")</f>
        <v>NA</v>
      </c>
      <c r="H76" s="203">
        <f ca="1">IFERROR(__xludf.UNSUPPORTED("""COMPUTED_VALUE"""),2)</f>
        <v>2</v>
      </c>
      <c r="I76" s="203" t="str">
        <f ca="1">IFERROR(__xludf.UNSUPPORTED("""COMPUTED_VALUE"""),"Aprovado no 2 PT")</f>
        <v>Aprovado no 2 PT</v>
      </c>
      <c r="J76" s="381">
        <f ca="1">IFERROR(__xludf.UNSUPPORTED("""COMPUTED_VALUE"""),45915)</f>
        <v>45915</v>
      </c>
      <c r="K76" s="203" t="str">
        <f ca="1">IFERROR(__xludf.UNSUPPORTED("""COMPUTED_VALUE"""),"NA")</f>
        <v>NA</v>
      </c>
      <c r="L76" s="203" t="str">
        <f ca="1">IFERROR(__xludf.UNSUPPORTED("""COMPUTED_VALUE"""),"NA")</f>
        <v>NA</v>
      </c>
    </row>
    <row r="77" spans="2:12">
      <c r="B77" s="203" t="str">
        <f ca="1">IFERROR(__xludf.UNSUPPORTED("""COMPUTED_VALUE"""),"SERVIDOR")</f>
        <v>SERVIDOR</v>
      </c>
      <c r="C77" s="203" t="str">
        <f ca="1">IFERROR(__xludf.UNSUPPORTED("""COMPUTED_VALUE"""),"HIJPII")</f>
        <v>HIJPII</v>
      </c>
      <c r="D77" s="203" t="str">
        <f ca="1">IFERROR(__xludf.UNSUPPORTED("""COMPUTED_VALUE"""),"FHEMIG")</f>
        <v>FHEMIG</v>
      </c>
      <c r="E77" s="203" t="str">
        <f ca="1">IFERROR(__xludf.UNSUPPORTED("""COMPUTED_VALUE"""),"DOUTORADO")</f>
        <v>DOUTORADO</v>
      </c>
      <c r="F77" s="203" t="str">
        <f ca="1">IFERROR(__xludf.UNSUPPORTED("""COMPUTED_VALUE"""),"Ensaio Clínico ")</f>
        <v xml:space="preserve">Ensaio Clínico </v>
      </c>
      <c r="G77" s="203" t="str">
        <f ca="1">IFERROR(__xludf.UNSUPPORTED("""COMPUTED_VALUE"""),"N/A")</f>
        <v>N/A</v>
      </c>
      <c r="H77" s="203">
        <f ca="1">IFERROR(__xludf.UNSUPPORTED("""COMPUTED_VALUE"""),3)</f>
        <v>3</v>
      </c>
      <c r="I77" s="203" t="str">
        <f ca="1">IFERROR(__xludf.UNSUPPORTED("""COMPUTED_VALUE"""),"Pendência")</f>
        <v>Pendência</v>
      </c>
      <c r="J77" s="203" t="str">
        <f ca="1">IFERROR(__xludf.UNSUPPORTED("""COMPUTED_VALUE"""),"NA")</f>
        <v>NA</v>
      </c>
      <c r="K77" s="203" t="str">
        <f ca="1">IFERROR(__xludf.UNSUPPORTED("""COMPUTED_VALUE"""),"NA")</f>
        <v>NA</v>
      </c>
      <c r="L77" s="203" t="str">
        <f ca="1">IFERROR(__xludf.UNSUPPORTED("""COMPUTED_VALUE"""),"NA")</f>
        <v>NA</v>
      </c>
    </row>
    <row r="78" spans="2:12">
      <c r="B78" s="203" t="str">
        <f ca="1">IFERROR(__xludf.UNSUPPORTED("""COMPUTED_VALUE"""),"SERVIDOR")</f>
        <v>SERVIDOR</v>
      </c>
      <c r="C78" s="203" t="str">
        <f ca="1">IFERROR(__xludf.UNSUPPORTED("""COMPUTED_VALUE"""),"HJXXIII")</f>
        <v>HJXXIII</v>
      </c>
      <c r="D78" s="203" t="str">
        <f ca="1">IFERROR(__xludf.UNSUPPORTED("""COMPUTED_VALUE"""),"UFMG")</f>
        <v>UFMG</v>
      </c>
      <c r="E78" s="203" t="str">
        <f ca="1">IFERROR(__xludf.UNSUPPORTED("""COMPUTED_VALUE"""),"DOUTORADO")</f>
        <v>DOUTORADO</v>
      </c>
      <c r="F78" s="203" t="str">
        <f ca="1">IFERROR(__xludf.UNSUPPORTED("""COMPUTED_VALUE"""),"NT")</f>
        <v>NT</v>
      </c>
      <c r="G78" s="203" t="str">
        <f ca="1">IFERROR(__xludf.UNSUPPORTED("""COMPUTED_VALUE"""),"NA")</f>
        <v>NA</v>
      </c>
      <c r="H78" s="203">
        <f ca="1">IFERROR(__xludf.UNSUPPORTED("""COMPUTED_VALUE"""),32)</f>
        <v>32</v>
      </c>
      <c r="I78" s="203" t="str">
        <f ca="1">IFERROR(__xludf.UNSUPPORTED("""COMPUTED_VALUE"""),"Aprovado no 1 PT")</f>
        <v>Aprovado no 1 PT</v>
      </c>
      <c r="J78" s="382">
        <f ca="1">IFERROR(__xludf.UNSUPPORTED("""COMPUTED_VALUE"""),45978)</f>
        <v>45978</v>
      </c>
      <c r="K78" s="203" t="str">
        <f ca="1">IFERROR(__xludf.UNSUPPORTED("""COMPUTED_VALUE"""),"NA")</f>
        <v>NA</v>
      </c>
      <c r="L78" s="203" t="str">
        <f ca="1">IFERROR(__xludf.UNSUPPORTED("""COMPUTED_VALUE"""),"NA")</f>
        <v>NA</v>
      </c>
    </row>
    <row r="79" spans="2:12">
      <c r="B79" s="203" t="str">
        <f ca="1">IFERROR(__xludf.UNSUPPORTED("""COMPUTED_VALUE"""),"PESQ EXTERNO")</f>
        <v>PESQ EXTERNO</v>
      </c>
      <c r="C79" s="203" t="str">
        <f ca="1">IFERROR(__xludf.UNSUPPORTED("""COMPUTED_VALUE"""),"HJXXIII")</f>
        <v>HJXXIII</v>
      </c>
      <c r="D79" s="203" t="str">
        <f ca="1">IFERROR(__xludf.UNSUPPORTED("""COMPUTED_VALUE"""),"UFMG")</f>
        <v>UFMG</v>
      </c>
      <c r="E79" s="203" t="str">
        <f ca="1">IFERROR(__xludf.UNSUPPORTED("""COMPUTED_VALUE"""),"MESTRADO")</f>
        <v>MESTRADO</v>
      </c>
      <c r="F79" s="203" t="str">
        <f ca="1">IFERROR(__xludf.UNSUPPORTED("""COMPUTED_VALUE"""),"Observacional descritivo ")</f>
        <v xml:space="preserve">Observacional descritivo </v>
      </c>
      <c r="G79" s="203" t="str">
        <f ca="1">IFERROR(__xludf.UNSUPPORTED("""COMPUTED_VALUE"""),"PRISCILA PIERAZOLI DE A. BATISTA")</f>
        <v>PRISCILA PIERAZOLI DE A. BATISTA</v>
      </c>
      <c r="H79" s="203">
        <f ca="1">IFERROR(__xludf.UNSUPPORTED("""COMPUTED_VALUE"""),6)</f>
        <v>6</v>
      </c>
      <c r="I79" s="203" t="str">
        <f ca="1">IFERROR(__xludf.UNSUPPORTED("""COMPUTED_VALUE"""),"Aprovado no 1 PT")</f>
        <v>Aprovado no 1 PT</v>
      </c>
      <c r="J79" s="381">
        <f ca="1">IFERROR(__xludf.UNSUPPORTED("""COMPUTED_VALUE"""),45866)</f>
        <v>45866</v>
      </c>
      <c r="K79" s="381">
        <f ca="1">IFERROR(__xludf.UNSUPPORTED("""COMPUTED_VALUE"""),45992)</f>
        <v>45992</v>
      </c>
      <c r="L79" s="382">
        <f ca="1">IFERROR(__xludf.UNSUPPORTED("""COMPUTED_VALUE"""),46012)</f>
        <v>46012</v>
      </c>
    </row>
    <row r="80" spans="2:12">
      <c r="B80" s="203" t="str">
        <f ca="1">IFERROR(__xludf.UNSUPPORTED("""COMPUTED_VALUE"""),"RESIDENTE MÉDIC")</f>
        <v>RESIDENTE MÉDIC</v>
      </c>
      <c r="C80" s="203" t="str">
        <f ca="1">IFERROR(__xludf.UNSUPPORTED("""COMPUTED_VALUE"""),"HIJPII")</f>
        <v>HIJPII</v>
      </c>
      <c r="D80" s="203" t="str">
        <f ca="1">IFERROR(__xludf.UNSUPPORTED("""COMPUTED_VALUE"""),"FHEMIG")</f>
        <v>FHEMIG</v>
      </c>
      <c r="E80" s="203" t="str">
        <f ca="1">IFERROR(__xludf.UNSUPPORTED("""COMPUTED_VALUE"""),"TCR")</f>
        <v>TCR</v>
      </c>
      <c r="F80" s="203" t="str">
        <f ca="1">IFERROR(__xludf.UNSUPPORTED("""COMPUTED_VALUE"""),"Observacional retrospectivo")</f>
        <v>Observacional retrospectivo</v>
      </c>
      <c r="G80" s="203" t="str">
        <f ca="1">IFERROR(__xludf.UNSUPPORTED("""COMPUTED_VALUE"""),"LÍVIA ISABELA DE OLIVEIRA")</f>
        <v>LÍVIA ISABELA DE OLIVEIRA</v>
      </c>
      <c r="H80" s="203">
        <f ca="1">IFERROR(__xludf.UNSUPPORTED("""COMPUTED_VALUE"""),3)</f>
        <v>3</v>
      </c>
      <c r="I80" s="203" t="str">
        <f ca="1">IFERROR(__xludf.UNSUPPORTED("""COMPUTED_VALUE"""),"Aprovado no 1 PT")</f>
        <v>Aprovado no 1 PT</v>
      </c>
      <c r="J80" s="381">
        <f ca="1">IFERROR(__xludf.UNSUPPORTED("""COMPUTED_VALUE"""),45877)</f>
        <v>45877</v>
      </c>
      <c r="K80" s="203" t="str">
        <f ca="1">IFERROR(__xludf.UNSUPPORTED("""COMPUTED_VALUE"""),"NA")</f>
        <v>NA</v>
      </c>
      <c r="L80" s="381">
        <f ca="1">IFERROR(__xludf.UNSUPPORTED("""COMPUTED_VALUE"""),45912)</f>
        <v>45912</v>
      </c>
    </row>
    <row r="81" spans="2:12">
      <c r="B81" s="203" t="str">
        <f ca="1">IFERROR(__xludf.UNSUPPORTED("""COMPUTED_VALUE"""),"SERVIDOR")</f>
        <v>SERVIDOR</v>
      </c>
      <c r="C81" s="203" t="str">
        <f ca="1">IFERROR(__xludf.UNSUPPORTED("""COMPUTED_VALUE"""),"HJXXIII")</f>
        <v>HJXXIII</v>
      </c>
      <c r="D81" s="203" t="str">
        <f ca="1">IFERROR(__xludf.UNSUPPORTED("""COMPUTED_VALUE"""),"FHEMIG")</f>
        <v>FHEMIG</v>
      </c>
      <c r="E81" s="203" t="str">
        <f ca="1">IFERROR(__xludf.UNSUPPORTED("""COMPUTED_VALUE"""),"CONGRESSO/DIVULGAÇÃO/PUBLICAÇÃO")</f>
        <v>CONGRESSO/DIVULGAÇÃO/PUBLICAÇÃO</v>
      </c>
      <c r="F81" s="203" t="str">
        <f ca="1">IFERROR(__xludf.UNSUPPORTED("""COMPUTED_VALUE"""),"Série de casos ")</f>
        <v xml:space="preserve">Série de casos </v>
      </c>
      <c r="G81" s="203" t="str">
        <f ca="1">IFERROR(__xludf.UNSUPPORTED("""COMPUTED_VALUE"""),"NA")</f>
        <v>NA</v>
      </c>
      <c r="H81" s="203">
        <f ca="1">IFERROR(__xludf.UNSUPPORTED("""COMPUTED_VALUE"""),8)</f>
        <v>8</v>
      </c>
      <c r="I81" s="203" t="str">
        <f ca="1">IFERROR(__xludf.UNSUPPORTED("""COMPUTED_VALUE"""),"Aprovado no 2 PT")</f>
        <v>Aprovado no 2 PT</v>
      </c>
      <c r="J81" s="381">
        <f ca="1">IFERROR(__xludf.UNSUPPORTED("""COMPUTED_VALUE"""),45898)</f>
        <v>45898</v>
      </c>
      <c r="K81" s="203" t="str">
        <f ca="1">IFERROR(__xludf.UNSUPPORTED("""COMPUTED_VALUE"""),"NA")</f>
        <v>NA</v>
      </c>
      <c r="L81" s="381">
        <f ca="1">IFERROR(__xludf.UNSUPPORTED("""COMPUTED_VALUE"""),45918)</f>
        <v>45918</v>
      </c>
    </row>
    <row r="82" spans="2:12">
      <c r="B82" s="203" t="str">
        <f ca="1">IFERROR(__xludf.UNSUPPORTED("""COMPUTED_VALUE"""),"SERVIDOR")</f>
        <v>SERVIDOR</v>
      </c>
      <c r="C82" s="203" t="str">
        <f ca="1">IFERROR(__xludf.UNSUPPORTED("""COMPUTED_VALUE"""),"HJXXIII")</f>
        <v>HJXXIII</v>
      </c>
      <c r="D82" s="203" t="str">
        <f ca="1">IFERROR(__xludf.UNSUPPORTED("""COMPUTED_VALUE"""),"FHEMIG")</f>
        <v>FHEMIG</v>
      </c>
      <c r="E82" s="203" t="str">
        <f ca="1">IFERROR(__xludf.UNSUPPORTED("""COMPUTED_VALUE"""),"CONGRESSO/DIVULGAÇÃO/PUBLICAÇÃO")</f>
        <v>CONGRESSO/DIVULGAÇÃO/PUBLICAÇÃO</v>
      </c>
      <c r="F82" s="203" t="str">
        <f ca="1">IFERROR(__xludf.UNSUPPORTED("""COMPUTED_VALUE"""),"Relato de caso")</f>
        <v>Relato de caso</v>
      </c>
      <c r="G82" s="203" t="str">
        <f ca="1">IFERROR(__xludf.UNSUPPORTED("""COMPUTED_VALUE"""),"NA")</f>
        <v>NA</v>
      </c>
      <c r="H82" s="203">
        <f ca="1">IFERROR(__xludf.UNSUPPORTED("""COMPUTED_VALUE"""),5)</f>
        <v>5</v>
      </c>
      <c r="I82" s="203" t="str">
        <f ca="1">IFERROR(__xludf.UNSUPPORTED("""COMPUTED_VALUE"""),"Aprovado no 1 PT")</f>
        <v>Aprovado no 1 PT</v>
      </c>
      <c r="J82" s="381">
        <f ca="1">IFERROR(__xludf.UNSUPPORTED("""COMPUTED_VALUE"""),45896)</f>
        <v>45896</v>
      </c>
      <c r="K82" s="203" t="str">
        <f ca="1">IFERROR(__xludf.UNSUPPORTED("""COMPUTED_VALUE"""),"NA")</f>
        <v>NA</v>
      </c>
      <c r="L82" s="381">
        <f ca="1">IFERROR(__xludf.UNSUPPORTED("""COMPUTED_VALUE"""),45918)</f>
        <v>45918</v>
      </c>
    </row>
    <row r="83" spans="2:12">
      <c r="B83" s="203" t="str">
        <f ca="1">IFERROR(__xludf.UNSUPPORTED("""COMPUTED_VALUE"""),"SERVIDOR")</f>
        <v>SERVIDOR</v>
      </c>
      <c r="C83" s="203" t="str">
        <f ca="1">IFERROR(__xludf.UNSUPPORTED("""COMPUTED_VALUE"""),"HJXXIII")</f>
        <v>HJXXIII</v>
      </c>
      <c r="D83" s="203" t="str">
        <f ca="1">IFERROR(__xludf.UNSUPPORTED("""COMPUTED_VALUE"""),"FHEMIG")</f>
        <v>FHEMIG</v>
      </c>
      <c r="E83" s="203" t="str">
        <f ca="1">IFERROR(__xludf.UNSUPPORTED("""COMPUTED_VALUE"""),"TCR")</f>
        <v>TCR</v>
      </c>
      <c r="F83" s="203" t="str">
        <f ca="1">IFERROR(__xludf.UNSUPPORTED("""COMPUTED_VALUE"""),"Observacional retrospectivo")</f>
        <v>Observacional retrospectivo</v>
      </c>
      <c r="G83" s="203" t="str">
        <f ca="1">IFERROR(__xludf.UNSUPPORTED("""COMPUTED_VALUE"""),"NA")</f>
        <v>NA</v>
      </c>
      <c r="H83" s="203">
        <f ca="1">IFERROR(__xludf.UNSUPPORTED("""COMPUTED_VALUE"""),47)</f>
        <v>47</v>
      </c>
      <c r="I83" s="203" t="str">
        <f ca="1">IFERROR(__xludf.UNSUPPORTED("""COMPUTED_VALUE"""),"Aprovado no 1 PT")</f>
        <v>Aprovado no 1 PT</v>
      </c>
      <c r="J83" s="381">
        <f ca="1">IFERROR(__xludf.UNSUPPORTED("""COMPUTED_VALUE"""),45915)</f>
        <v>45915</v>
      </c>
      <c r="K83" s="203" t="str">
        <f ca="1">IFERROR(__xludf.UNSUPPORTED("""COMPUTED_VALUE"""),"NA")</f>
        <v>NA</v>
      </c>
      <c r="L83" s="203" t="str">
        <f ca="1">IFERROR(__xludf.UNSUPPORTED("""COMPUTED_VALUE"""),"NA")</f>
        <v>NA</v>
      </c>
    </row>
    <row r="84" spans="2:12">
      <c r="B84" s="203" t="str">
        <f ca="1">IFERROR(__xludf.UNSUPPORTED("""COMPUTED_VALUE"""),"SERVIDOR")</f>
        <v>SERVIDOR</v>
      </c>
      <c r="C84" s="203" t="str">
        <f ca="1">IFERROR(__xludf.UNSUPPORTED("""COMPUTED_VALUE"""),"HJXXIII")</f>
        <v>HJXXIII</v>
      </c>
      <c r="D84" s="203" t="str">
        <f ca="1">IFERROR(__xludf.UNSUPPORTED("""COMPUTED_VALUE"""),"FHEMIG")</f>
        <v>FHEMIG</v>
      </c>
      <c r="E84" s="203" t="str">
        <f ca="1">IFERROR(__xludf.UNSUPPORTED("""COMPUTED_VALUE"""),"TCR")</f>
        <v>TCR</v>
      </c>
      <c r="F84" s="203" t="str">
        <f ca="1">IFERROR(__xludf.UNSUPPORTED("""COMPUTED_VALUE"""),"Observacional retrospectivo")</f>
        <v>Observacional retrospectivo</v>
      </c>
      <c r="G84" s="203" t="str">
        <f ca="1">IFERROR(__xludf.UNSUPPORTED("""COMPUTED_VALUE"""),"NA")</f>
        <v>NA</v>
      </c>
      <c r="H84" s="203">
        <f ca="1">IFERROR(__xludf.UNSUPPORTED("""COMPUTED_VALUE"""),3)</f>
        <v>3</v>
      </c>
      <c r="I84" s="203" t="str">
        <f ca="1">IFERROR(__xludf.UNSUPPORTED("""COMPUTED_VALUE"""),"Aprovado no 1 PT")</f>
        <v>Aprovado no 1 PT</v>
      </c>
      <c r="J84" s="381">
        <f ca="1">IFERROR(__xludf.UNSUPPORTED("""COMPUTED_VALUE"""),45894)</f>
        <v>45894</v>
      </c>
      <c r="K84" s="203" t="str">
        <f ca="1">IFERROR(__xludf.UNSUPPORTED("""COMPUTED_VALUE"""),"NA")</f>
        <v>NA</v>
      </c>
      <c r="L84" s="381">
        <f ca="1">IFERROR(__xludf.UNSUPPORTED("""COMPUTED_VALUE"""),45915)</f>
        <v>45915</v>
      </c>
    </row>
    <row r="85" spans="2:12">
      <c r="B85" s="203" t="str">
        <f ca="1">IFERROR(__xludf.UNSUPPORTED("""COMPUTED_VALUE"""),"RESIDENTE MÉDIC")</f>
        <v>RESIDENTE MÉDIC</v>
      </c>
      <c r="C85" s="203" t="str">
        <f ca="1">IFERROR(__xludf.UNSUPPORTED("""COMPUTED_VALUE"""),"HJXXIII")</f>
        <v>HJXXIII</v>
      </c>
      <c r="D85" s="203" t="str">
        <f ca="1">IFERROR(__xludf.UNSUPPORTED("""COMPUTED_VALUE"""),"FHEMIG")</f>
        <v>FHEMIG</v>
      </c>
      <c r="E85" s="203" t="str">
        <f ca="1">IFERROR(__xludf.UNSUPPORTED("""COMPUTED_VALUE"""),"TCR")</f>
        <v>TCR</v>
      </c>
      <c r="F85" s="203" t="str">
        <f ca="1">IFERROR(__xludf.UNSUPPORTED("""COMPUTED_VALUE"""),"Observacional retrospectivo")</f>
        <v>Observacional retrospectivo</v>
      </c>
      <c r="G85" s="203" t="str">
        <f ca="1">IFERROR(__xludf.UNSUPPORTED("""COMPUTED_VALUE"""),"Frederico Figueiredo Amâncio")</f>
        <v>Frederico Figueiredo Amâncio</v>
      </c>
      <c r="H85" s="203">
        <f ca="1">IFERROR(__xludf.UNSUPPORTED("""COMPUTED_VALUE"""),1)</f>
        <v>1</v>
      </c>
      <c r="I85" s="203" t="str">
        <f ca="1">IFERROR(__xludf.UNSUPPORTED("""COMPUTED_VALUE"""),"Aprovado no 1 PT")</f>
        <v>Aprovado no 1 PT</v>
      </c>
      <c r="J85" s="381">
        <f ca="1">IFERROR(__xludf.UNSUPPORTED("""COMPUTED_VALUE"""),45932)</f>
        <v>45932</v>
      </c>
      <c r="K85" s="203" t="str">
        <f ca="1">IFERROR(__xludf.UNSUPPORTED("""COMPUTED_VALUE"""),"NA")</f>
        <v>NA</v>
      </c>
      <c r="L85" s="203" t="str">
        <f ca="1">IFERROR(__xludf.UNSUPPORTED("""COMPUTED_VALUE"""),"NA")</f>
        <v>NA</v>
      </c>
    </row>
    <row r="86" spans="2:12">
      <c r="B86" s="203" t="str">
        <f ca="1">IFERROR(__xludf.UNSUPPORTED("""COMPUTED_VALUE"""),"PESQ EXTERNO")</f>
        <v>PESQ EXTERNO</v>
      </c>
      <c r="C86" s="203" t="str">
        <f ca="1">IFERROR(__xludf.UNSUPPORTED("""COMPUTED_VALUE"""),"HJXXIII")</f>
        <v>HJXXIII</v>
      </c>
      <c r="D86" s="203" t="str">
        <f ca="1">IFERROR(__xludf.UNSUPPORTED("""COMPUTED_VALUE"""),"UFMG")</f>
        <v>UFMG</v>
      </c>
      <c r="E86" s="203" t="str">
        <f ca="1">IFERROR(__xludf.UNSUPPORTED("""COMPUTED_VALUE"""),"CONGRESSO/DIVULGAÇÃO/PUBLICAÇÃO")</f>
        <v>CONGRESSO/DIVULGAÇÃO/PUBLICAÇÃO</v>
      </c>
      <c r="F86" s="203" t="str">
        <f ca="1">IFERROR(__xludf.UNSUPPORTED("""COMPUTED_VALUE"""),"NT")</f>
        <v>NT</v>
      </c>
      <c r="G86" s="203" t="str">
        <f ca="1">IFERROR(__xludf.UNSUPPORTED("""COMPUTED_VALUE"""),"NA")</f>
        <v>NA</v>
      </c>
      <c r="H86" s="203">
        <f ca="1">IFERROR(__xludf.UNSUPPORTED("""COMPUTED_VALUE"""),6)</f>
        <v>6</v>
      </c>
      <c r="I86" s="203" t="str">
        <f ca="1">IFERROR(__xludf.UNSUPPORTED("""COMPUTED_VALUE"""),"Pendência")</f>
        <v>Pendência</v>
      </c>
      <c r="J86" s="203" t="str">
        <f ca="1">IFERROR(__xludf.UNSUPPORTED("""COMPUTED_VALUE"""),"NA")</f>
        <v>NA</v>
      </c>
      <c r="K86" s="203" t="str">
        <f ca="1">IFERROR(__xludf.UNSUPPORTED("""COMPUTED_VALUE"""),"NA")</f>
        <v>NA</v>
      </c>
      <c r="L86" s="203" t="str">
        <f ca="1">IFERROR(__xludf.UNSUPPORTED("""COMPUTED_VALUE"""),"NA")</f>
        <v>NA</v>
      </c>
    </row>
    <row r="87" spans="2:12">
      <c r="B87" s="203" t="str">
        <f ca="1">IFERROR(__xludf.UNSUPPORTED("""COMPUTED_VALUE"""),"PESQ EXTERNO")</f>
        <v>PESQ EXTERNO</v>
      </c>
      <c r="C87" s="203" t="str">
        <f ca="1">IFERROR(__xludf.UNSUPPORTED("""COMPUTED_VALUE"""),"HJXXIII")</f>
        <v>HJXXIII</v>
      </c>
      <c r="D87" s="203" t="str">
        <f ca="1">IFERROR(__xludf.UNSUPPORTED("""COMPUTED_VALUE"""),"UFMG")</f>
        <v>UFMG</v>
      </c>
      <c r="E87" s="203" t="str">
        <f ca="1">IFERROR(__xludf.UNSUPPORTED("""COMPUTED_VALUE"""),"DOUTORADO")</f>
        <v>DOUTORADO</v>
      </c>
      <c r="F87" s="203" t="str">
        <f ca="1">IFERROR(__xludf.UNSUPPORTED("""COMPUTED_VALUE"""),"Coorte retrospectivo")</f>
        <v>Coorte retrospectivo</v>
      </c>
      <c r="G87" s="203" t="str">
        <f ca="1">IFERROR(__xludf.UNSUPPORTED("""COMPUTED_VALUE"""),"NA")</f>
        <v>NA</v>
      </c>
      <c r="H87" s="203">
        <f ca="1">IFERROR(__xludf.UNSUPPORTED("""COMPUTED_VALUE"""),1)</f>
        <v>1</v>
      </c>
      <c r="I87" s="203" t="str">
        <f ca="1">IFERROR(__xludf.UNSUPPORTED("""COMPUTED_VALUE"""),"Pendência")</f>
        <v>Pendência</v>
      </c>
      <c r="J87" s="203" t="str">
        <f ca="1">IFERROR(__xludf.UNSUPPORTED("""COMPUTED_VALUE"""),"NA")</f>
        <v>NA</v>
      </c>
      <c r="K87" s="203" t="str">
        <f ca="1">IFERROR(__xludf.UNSUPPORTED("""COMPUTED_VALUE"""),"NA")</f>
        <v>NA</v>
      </c>
      <c r="L87" s="203" t="str">
        <f ca="1">IFERROR(__xludf.UNSUPPORTED("""COMPUTED_VALUE"""),"NA")</f>
        <v>NA</v>
      </c>
    </row>
    <row r="88" spans="2:12">
      <c r="B88" s="203" t="str">
        <f ca="1">IFERROR(__xludf.UNSUPPORTED("""COMPUTED_VALUE"""),"SERVIDOR")</f>
        <v>SERVIDOR</v>
      </c>
      <c r="C88" s="203" t="str">
        <f ca="1">IFERROR(__xludf.UNSUPPORTED("""COMPUTED_VALUE"""),"HIJPII")</f>
        <v>HIJPII</v>
      </c>
      <c r="D88" s="203" t="str">
        <f ca="1">IFERROR(__xludf.UNSUPPORTED("""COMPUTED_VALUE"""),"FHEMIG")</f>
        <v>FHEMIG</v>
      </c>
      <c r="E88" s="203" t="str">
        <f ca="1">IFERROR(__xludf.UNSUPPORTED("""COMPUTED_VALUE"""),"CONGRESSO/DIVULGAÇÃO/PUBLICAÇÃO")</f>
        <v>CONGRESSO/DIVULGAÇÃO/PUBLICAÇÃO</v>
      </c>
      <c r="F88" s="203" t="str">
        <f ca="1">IFERROR(__xludf.UNSUPPORTED("""COMPUTED_VALUE"""),"Observacional retrospectivo")</f>
        <v>Observacional retrospectivo</v>
      </c>
      <c r="G88" s="203" t="str">
        <f ca="1">IFERROR(__xludf.UNSUPPORTED("""COMPUTED_VALUE"""),"WILSON ROCHA")</f>
        <v>WILSON ROCHA</v>
      </c>
      <c r="H88" s="203">
        <f ca="1">IFERROR(__xludf.UNSUPPORTED("""COMPUTED_VALUE"""),1)</f>
        <v>1</v>
      </c>
      <c r="I88" s="203" t="str">
        <f ca="1">IFERROR(__xludf.UNSUPPORTED("""COMPUTED_VALUE"""),"Aprovado no 3 PT")</f>
        <v>Aprovado no 3 PT</v>
      </c>
      <c r="J88" s="382">
        <f ca="1">IFERROR(__xludf.UNSUPPORTED("""COMPUTED_VALUE"""),45960)</f>
        <v>45960</v>
      </c>
      <c r="K88" s="203" t="str">
        <f ca="1">IFERROR(__xludf.UNSUPPORTED("""COMPUTED_VALUE"""),"NA")</f>
        <v>NA</v>
      </c>
      <c r="L88" s="203" t="str">
        <f ca="1">IFERROR(__xludf.UNSUPPORTED("""COMPUTED_VALUE"""),"NA")</f>
        <v>NA</v>
      </c>
    </row>
    <row r="89" spans="2:12">
      <c r="B89" s="203" t="str">
        <f ca="1">IFERROR(__xludf.UNSUPPORTED("""COMPUTED_VALUE"""),"SERVIDOR")</f>
        <v>SERVIDOR</v>
      </c>
      <c r="C89" s="203" t="str">
        <f ca="1">IFERROR(__xludf.UNSUPPORTED("""COMPUTED_VALUE"""),"HJXXIII")</f>
        <v>HJXXIII</v>
      </c>
      <c r="D89" s="203" t="str">
        <f ca="1">IFERROR(__xludf.UNSUPPORTED("""COMPUTED_VALUE"""),"FHEMIG")</f>
        <v>FHEMIG</v>
      </c>
      <c r="E89" s="203" t="str">
        <f ca="1">IFERROR(__xludf.UNSUPPORTED("""COMPUTED_VALUE"""),"CONGRESSO/DIVULGAÇÃO/PUBLICAÇÃO")</f>
        <v>CONGRESSO/DIVULGAÇÃO/PUBLICAÇÃO</v>
      </c>
      <c r="F89" s="203" t="str">
        <f ca="1">IFERROR(__xludf.UNSUPPORTED("""COMPUTED_VALUE"""),"ECCR ")</f>
        <v xml:space="preserve">ECCR </v>
      </c>
      <c r="G89" s="203" t="str">
        <f ca="1">IFERROR(__xludf.UNSUPPORTED("""COMPUTED_VALUE"""),"NA")</f>
        <v>NA</v>
      </c>
      <c r="H89" s="203">
        <f ca="1">IFERROR(__xludf.UNSUPPORTED("""COMPUTED_VALUE"""),2)</f>
        <v>2</v>
      </c>
      <c r="I89" s="203" t="str">
        <f ca="1">IFERROR(__xludf.UNSUPPORTED("""COMPUTED_VALUE"""),"NA")</f>
        <v>NA</v>
      </c>
      <c r="J89" s="203" t="str">
        <f ca="1">IFERROR(__xludf.UNSUPPORTED("""COMPUTED_VALUE"""),"NA")</f>
        <v>NA</v>
      </c>
      <c r="K89" s="203" t="str">
        <f ca="1">IFERROR(__xludf.UNSUPPORTED("""COMPUTED_VALUE"""),"NA")</f>
        <v>NA</v>
      </c>
      <c r="L89" s="203" t="str">
        <f ca="1">IFERROR(__xludf.UNSUPPORTED("""COMPUTED_VALUE"""),"NA")</f>
        <v>NA</v>
      </c>
    </row>
    <row r="90" spans="2:12">
      <c r="B90" s="203" t="str">
        <f ca="1">IFERROR(__xludf.UNSUPPORTED("""COMPUTED_VALUE"""),"RESIDENTE MÉDIC")</f>
        <v>RESIDENTE MÉDIC</v>
      </c>
      <c r="C90" s="203" t="str">
        <f ca="1">IFERROR(__xludf.UNSUPPORTED("""COMPUTED_VALUE"""),"HJXXIII")</f>
        <v>HJXXIII</v>
      </c>
      <c r="D90" s="203" t="str">
        <f ca="1">IFERROR(__xludf.UNSUPPORTED("""COMPUTED_VALUE"""),"FHEMIG")</f>
        <v>FHEMIG</v>
      </c>
      <c r="E90" s="203" t="str">
        <f ca="1">IFERROR(__xludf.UNSUPPORTED("""COMPUTED_VALUE"""),"TCR")</f>
        <v>TCR</v>
      </c>
      <c r="F90" s="203" t="str">
        <f ca="1">IFERROR(__xludf.UNSUPPORTED("""COMPUTED_VALUE"""),"NT")</f>
        <v>NT</v>
      </c>
      <c r="G90" s="203" t="str">
        <f ca="1">IFERROR(__xludf.UNSUPPORTED("""COMPUTED_VALUE"""),"CLARA MARQUES SANTANA")</f>
        <v>CLARA MARQUES SANTANA</v>
      </c>
      <c r="H90" s="203">
        <f ca="1">IFERROR(__xludf.UNSUPPORTED("""COMPUTED_VALUE"""),2)</f>
        <v>2</v>
      </c>
      <c r="I90" s="203" t="str">
        <f ca="1">IFERROR(__xludf.UNSUPPORTED("""COMPUTED_VALUE"""),"NA")</f>
        <v>NA</v>
      </c>
      <c r="J90" s="203" t="str">
        <f ca="1">IFERROR(__xludf.UNSUPPORTED("""COMPUTED_VALUE"""),"NA")</f>
        <v>NA</v>
      </c>
      <c r="K90" s="203" t="str">
        <f ca="1">IFERROR(__xludf.UNSUPPORTED("""COMPUTED_VALUE"""),"NA")</f>
        <v>NA</v>
      </c>
      <c r="L90" s="203" t="str">
        <f ca="1">IFERROR(__xludf.UNSUPPORTED("""COMPUTED_VALUE"""),"NA")</f>
        <v>NA</v>
      </c>
    </row>
    <row r="91" spans="2:12">
      <c r="B91" s="203" t="str">
        <f ca="1">IFERROR(__xludf.UNSUPPORTED("""COMPUTED_VALUE"""),"RESIDENTE MULTI")</f>
        <v>RESIDENTE MULTI</v>
      </c>
      <c r="C91" s="203" t="str">
        <f ca="1">IFERROR(__xludf.UNSUPPORTED("""COMPUTED_VALUE"""),"HJXXIII")</f>
        <v>HJXXIII</v>
      </c>
      <c r="D91" s="203" t="str">
        <f ca="1">IFERROR(__xludf.UNSUPPORTED("""COMPUTED_VALUE"""),"FHEMIG")</f>
        <v>FHEMIG</v>
      </c>
      <c r="E91" s="203" t="str">
        <f ca="1">IFERROR(__xludf.UNSUPPORTED("""COMPUTED_VALUE"""),"CONGRESSO/DIVULGAÇÃO/PUBLICAÇÃO")</f>
        <v>CONGRESSO/DIVULGAÇÃO/PUBLICAÇÃO</v>
      </c>
      <c r="F91" s="203" t="str">
        <f ca="1">IFERROR(__xludf.UNSUPPORTED("""COMPUTED_VALUE"""),"Relato de caso")</f>
        <v>Relato de caso</v>
      </c>
      <c r="G91" s="203" t="str">
        <f ca="1">IFERROR(__xludf.UNSUPPORTED("""COMPUTED_VALUE"""),"Milena Batista de Oliveira")</f>
        <v>Milena Batista de Oliveira</v>
      </c>
      <c r="H91" s="203">
        <f ca="1">IFERROR(__xludf.UNSUPPORTED("""COMPUTED_VALUE"""),2)</f>
        <v>2</v>
      </c>
      <c r="I91" s="203" t="str">
        <f ca="1">IFERROR(__xludf.UNSUPPORTED("""COMPUTED_VALUE"""),"Aprovado no 1 PT")</f>
        <v>Aprovado no 1 PT</v>
      </c>
      <c r="J91" s="381">
        <f ca="1">IFERROR(__xludf.UNSUPPORTED("""COMPUTED_VALUE"""),45905)</f>
        <v>45905</v>
      </c>
      <c r="K91" s="203" t="str">
        <f ca="1">IFERROR(__xludf.UNSUPPORTED("""COMPUTED_VALUE"""),"NA")</f>
        <v>NA</v>
      </c>
      <c r="L91" s="203" t="str">
        <f ca="1">IFERROR(__xludf.UNSUPPORTED("""COMPUTED_VALUE"""),"NA")</f>
        <v>NA</v>
      </c>
    </row>
    <row r="92" spans="2:12">
      <c r="B92" s="203" t="str">
        <f ca="1">IFERROR(__xludf.UNSUPPORTED("""COMPUTED_VALUE"""),"SERVIDOR")</f>
        <v>SERVIDOR</v>
      </c>
      <c r="C92" s="203" t="str">
        <f ca="1">IFERROR(__xludf.UNSUPPORTED("""COMPUTED_VALUE"""),"HJXXIII")</f>
        <v>HJXXIII</v>
      </c>
      <c r="D92" s="203" t="str">
        <f ca="1">IFERROR(__xludf.UNSUPPORTED("""COMPUTED_VALUE"""),"FHEMIG")</f>
        <v>FHEMIG</v>
      </c>
      <c r="E92" s="203" t="str">
        <f ca="1">IFERROR(__xludf.UNSUPPORTED("""COMPUTED_VALUE"""),"CONGRESSO/DIVULGAÇÃO/PUBLICAÇÃO")</f>
        <v>CONGRESSO/DIVULGAÇÃO/PUBLICAÇÃO</v>
      </c>
      <c r="F92" s="203" t="str">
        <f ca="1">IFERROR(__xludf.UNSUPPORTED("""COMPUTED_VALUE"""),"Observacional retrospectivo")</f>
        <v>Observacional retrospectivo</v>
      </c>
      <c r="G92" s="203" t="str">
        <f ca="1">IFERROR(__xludf.UNSUPPORTED("""COMPUTED_VALUE"""),"NA")</f>
        <v>NA</v>
      </c>
      <c r="H92" s="203">
        <f ca="1">IFERROR(__xludf.UNSUPPORTED("""COMPUTED_VALUE"""),2)</f>
        <v>2</v>
      </c>
      <c r="I92" s="203" t="str">
        <f ca="1">IFERROR(__xludf.UNSUPPORTED("""COMPUTED_VALUE"""),"Aprovado no 1 PT")</f>
        <v>Aprovado no 1 PT</v>
      </c>
      <c r="J92" s="381">
        <f ca="1">IFERROR(__xludf.UNSUPPORTED("""COMPUTED_VALUE"""),45915)</f>
        <v>45915</v>
      </c>
      <c r="K92" s="203" t="str">
        <f ca="1">IFERROR(__xludf.UNSUPPORTED("""COMPUTED_VALUE"""),"NA")</f>
        <v>NA</v>
      </c>
      <c r="L92" s="381">
        <f ca="1">IFERROR(__xludf.UNSUPPORTED("""COMPUTED_VALUE"""),45932)</f>
        <v>45932</v>
      </c>
    </row>
    <row r="93" spans="2:12">
      <c r="B93" s="203" t="str">
        <f ca="1">IFERROR(__xludf.UNSUPPORTED("""COMPUTED_VALUE"""),"SERVIDOR")</f>
        <v>SERVIDOR</v>
      </c>
      <c r="C93" s="203" t="str">
        <f ca="1">IFERROR(__xludf.UNSUPPORTED("""COMPUTED_VALUE"""),"HIJPII")</f>
        <v>HIJPII</v>
      </c>
      <c r="D93" s="203" t="str">
        <f ca="1">IFERROR(__xludf.UNSUPPORTED("""COMPUTED_VALUE"""),"FHEMIG")</f>
        <v>FHEMIG</v>
      </c>
      <c r="E93" s="203" t="str">
        <f ca="1">IFERROR(__xludf.UNSUPPORTED("""COMPUTED_VALUE"""),"TCR")</f>
        <v>TCR</v>
      </c>
      <c r="F93" s="203" t="str">
        <f ca="1">IFERROR(__xludf.UNSUPPORTED("""COMPUTED_VALUE"""),"Observacional retrospectivo")</f>
        <v>Observacional retrospectivo</v>
      </c>
      <c r="G93" s="203" t="str">
        <f ca="1">IFERROR(__xludf.UNSUPPORTED("""COMPUTED_VALUE"""),"NA")</f>
        <v>NA</v>
      </c>
      <c r="H93" s="203">
        <f ca="1">IFERROR(__xludf.UNSUPPORTED("""COMPUTED_VALUE"""),2)</f>
        <v>2</v>
      </c>
      <c r="I93" s="203" t="str">
        <f ca="1">IFERROR(__xludf.UNSUPPORTED("""COMPUTED_VALUE"""),"Aprovado no 2 PT")</f>
        <v>Aprovado no 2 PT</v>
      </c>
      <c r="J93" s="381">
        <f ca="1">IFERROR(__xludf.UNSUPPORTED("""COMPUTED_VALUE"""),45929)</f>
        <v>45929</v>
      </c>
      <c r="K93" s="203" t="str">
        <f ca="1">IFERROR(__xludf.UNSUPPORTED("""COMPUTED_VALUE"""),"NA")</f>
        <v>NA</v>
      </c>
      <c r="L93" s="203" t="str">
        <f ca="1">IFERROR(__xludf.UNSUPPORTED("""COMPUTED_VALUE"""),"NA")</f>
        <v>NA</v>
      </c>
    </row>
    <row r="94" spans="2:12">
      <c r="B94" s="203" t="str">
        <f ca="1">IFERROR(__xludf.UNSUPPORTED("""COMPUTED_VALUE"""),"SERVIDOR")</f>
        <v>SERVIDOR</v>
      </c>
      <c r="C94" s="203" t="str">
        <f ca="1">IFERROR(__xludf.UNSUPPORTED("""COMPUTED_VALUE"""),"HJXXIII")</f>
        <v>HJXXIII</v>
      </c>
      <c r="D94" s="203" t="str">
        <f ca="1">IFERROR(__xludf.UNSUPPORTED("""COMPUTED_VALUE"""),"FHEMIG")</f>
        <v>FHEMIG</v>
      </c>
      <c r="E94" s="203" t="str">
        <f ca="1">IFERROR(__xludf.UNSUPPORTED("""COMPUTED_VALUE"""),"CONGRESSO/DIVULGAÇÃO/PUBLICAÇÃO")</f>
        <v>CONGRESSO/DIVULGAÇÃO/PUBLICAÇÃO</v>
      </c>
      <c r="F94" s="203" t="str">
        <f ca="1">IFERROR(__xludf.UNSUPPORTED("""COMPUTED_VALUE"""),"Observacional prospectivo")</f>
        <v>Observacional prospectivo</v>
      </c>
      <c r="G94" s="203" t="str">
        <f ca="1">IFERROR(__xludf.UNSUPPORTED("""COMPUTED_VALUE"""),"NA")</f>
        <v>NA</v>
      </c>
      <c r="H94" s="203">
        <f ca="1">IFERROR(__xludf.UNSUPPORTED("""COMPUTED_VALUE"""),2)</f>
        <v>2</v>
      </c>
      <c r="I94" s="203" t="str">
        <f ca="1">IFERROR(__xludf.UNSUPPORTED("""COMPUTED_VALUE"""),"Aprovado no 2 PT")</f>
        <v>Aprovado no 2 PT</v>
      </c>
      <c r="J94" s="381">
        <f ca="1">IFERROR(__xludf.UNSUPPORTED("""COMPUTED_VALUE"""),46066)</f>
        <v>46066</v>
      </c>
      <c r="K94" s="203" t="str">
        <f ca="1">IFERROR(__xludf.UNSUPPORTED("""COMPUTED_VALUE"""),"NA")</f>
        <v>NA</v>
      </c>
      <c r="L94" s="381">
        <f ca="1">IFERROR(__xludf.UNSUPPORTED("""COMPUTED_VALUE"""),46096)</f>
        <v>46096</v>
      </c>
    </row>
    <row r="95" spans="2:12">
      <c r="B95" s="203" t="str">
        <f ca="1">IFERROR(__xludf.UNSUPPORTED("""COMPUTED_VALUE"""),"RESIDENTE MÉDIC")</f>
        <v>RESIDENTE MÉDIC</v>
      </c>
      <c r="C95" s="203" t="str">
        <f ca="1">IFERROR(__xludf.UNSUPPORTED("""COMPUTED_VALUE"""),"HJXXIII")</f>
        <v>HJXXIII</v>
      </c>
      <c r="D95" s="203" t="str">
        <f ca="1">IFERROR(__xludf.UNSUPPORTED("""COMPUTED_VALUE"""),"FHEMIG")</f>
        <v>FHEMIG</v>
      </c>
      <c r="E95" s="203" t="str">
        <f ca="1">IFERROR(__xludf.UNSUPPORTED("""COMPUTED_VALUE"""),"TCR")</f>
        <v>TCR</v>
      </c>
      <c r="F95" s="203" t="str">
        <f ca="1">IFERROR(__xludf.UNSUPPORTED("""COMPUTED_VALUE"""),"Relato de caso")</f>
        <v>Relato de caso</v>
      </c>
      <c r="G95" s="203" t="str">
        <f ca="1">IFERROR(__xludf.UNSUPPORTED("""COMPUTED_VALUE"""),"NA")</f>
        <v>NA</v>
      </c>
      <c r="H95" s="203">
        <f ca="1">IFERROR(__xludf.UNSUPPORTED("""COMPUTED_VALUE"""),2)</f>
        <v>2</v>
      </c>
      <c r="I95" s="203" t="str">
        <f ca="1">IFERROR(__xludf.UNSUPPORTED("""COMPUTED_VALUE"""),"Aprovado no 1 PT")</f>
        <v>Aprovado no 1 PT</v>
      </c>
      <c r="J95" s="381">
        <f ca="1">IFERROR(__xludf.UNSUPPORTED("""COMPUTED_VALUE"""),45929)</f>
        <v>45929</v>
      </c>
      <c r="K95" s="203" t="str">
        <f ca="1">IFERROR(__xludf.UNSUPPORTED("""COMPUTED_VALUE"""),"NA")</f>
        <v>NA</v>
      </c>
      <c r="L95" s="203" t="str">
        <f ca="1">IFERROR(__xludf.UNSUPPORTED("""COMPUTED_VALUE"""),"NA")</f>
        <v>NA</v>
      </c>
    </row>
    <row r="96" spans="2:12">
      <c r="B96" s="203" t="str">
        <f ca="1">IFERROR(__xludf.UNSUPPORTED("""COMPUTED_VALUE"""),"SERVIDOR")</f>
        <v>SERVIDOR</v>
      </c>
      <c r="C96" s="203" t="str">
        <f ca="1">IFERROR(__xludf.UNSUPPORTED("""COMPUTED_VALUE"""),"HIJPII")</f>
        <v>HIJPII</v>
      </c>
      <c r="D96" s="203" t="str">
        <f ca="1">IFERROR(__xludf.UNSUPPORTED("""COMPUTED_VALUE"""),"PUC-MG")</f>
        <v>PUC-MG</v>
      </c>
      <c r="E96" s="203" t="str">
        <f ca="1">IFERROR(__xludf.UNSUPPORTED("""COMPUTED_VALUE"""),"TCC")</f>
        <v>TCC</v>
      </c>
      <c r="F96" s="203" t="str">
        <f ca="1">IFERROR(__xludf.UNSUPPORTED("""COMPUTED_VALUE"""),"NT")</f>
        <v>NT</v>
      </c>
      <c r="G96" s="203" t="str">
        <f ca="1">IFERROR(__xludf.UNSUPPORTED("""COMPUTED_VALUE"""),"NA")</f>
        <v>NA</v>
      </c>
      <c r="H96" s="203">
        <f ca="1">IFERROR(__xludf.UNSUPPORTED("""COMPUTED_VALUE"""),2)</f>
        <v>2</v>
      </c>
      <c r="I96" s="203" t="str">
        <f ca="1">IFERROR(__xludf.UNSUPPORTED("""COMPUTED_VALUE"""),"Aprovado no 3 PT")</f>
        <v>Aprovado no 3 PT</v>
      </c>
      <c r="J96" s="381">
        <f ca="1">IFERROR(__xludf.UNSUPPORTED("""COMPUTED_VALUE"""),45930)</f>
        <v>45930</v>
      </c>
      <c r="K96" s="203" t="str">
        <f ca="1">IFERROR(__xludf.UNSUPPORTED("""COMPUTED_VALUE"""),"NA")</f>
        <v>NA</v>
      </c>
      <c r="L96" s="203" t="str">
        <f ca="1">IFERROR(__xludf.UNSUPPORTED("""COMPUTED_VALUE"""),"NA")</f>
        <v>NA</v>
      </c>
    </row>
    <row r="97" spans="2:12">
      <c r="B97" s="203" t="str">
        <f ca="1">IFERROR(__xludf.UNSUPPORTED("""COMPUTED_VALUE"""),"PESQ EXTERNO")</f>
        <v>PESQ EXTERNO</v>
      </c>
      <c r="C97" s="203" t="str">
        <f ca="1">IFERROR(__xludf.UNSUPPORTED("""COMPUTED_VALUE"""),"HJXXIII")</f>
        <v>HJXXIII</v>
      </c>
      <c r="D97" s="203" t="str">
        <f ca="1">IFERROR(__xludf.UNSUPPORTED("""COMPUTED_VALUE"""),"UEMG")</f>
        <v>UEMG</v>
      </c>
      <c r="E97" s="203" t="str">
        <f ca="1">IFERROR(__xludf.UNSUPPORTED("""COMPUTED_VALUE"""),"MESTRADO")</f>
        <v>MESTRADO</v>
      </c>
      <c r="F97" s="203" t="str">
        <f ca="1">IFERROR(__xludf.UNSUPPORTED("""COMPUTED_VALUE"""),"NT")</f>
        <v>NT</v>
      </c>
      <c r="G97" s="203" t="str">
        <f ca="1">IFERROR(__xludf.UNSUPPORTED("""COMPUTED_VALUE"""),"NAO TEM")</f>
        <v>NAO TEM</v>
      </c>
      <c r="H97" s="203">
        <f ca="1">IFERROR(__xludf.UNSUPPORTED("""COMPUTED_VALUE"""),2)</f>
        <v>2</v>
      </c>
      <c r="I97" s="203" t="str">
        <f ca="1">IFERROR(__xludf.UNSUPPORTED("""COMPUTED_VALUE"""),"Aprovado no 2 PT")</f>
        <v>Aprovado no 2 PT</v>
      </c>
      <c r="J97" s="381">
        <f ca="1">IFERROR(__xludf.UNSUPPORTED("""COMPUTED_VALUE"""),45968)</f>
        <v>45968</v>
      </c>
      <c r="K97" s="381">
        <f ca="1">IFERROR(__xludf.UNSUPPORTED("""COMPUTED_VALUE"""),46027)</f>
        <v>46027</v>
      </c>
      <c r="L97" s="203" t="str">
        <f ca="1">IFERROR(__xludf.UNSUPPORTED("""COMPUTED_VALUE"""),"NA")</f>
        <v>NA</v>
      </c>
    </row>
    <row r="98" spans="2:12">
      <c r="B98" s="203" t="str">
        <f ca="1">IFERROR(__xludf.UNSUPPORTED("""COMPUTED_VALUE"""),"RESIDENTE MULTI")</f>
        <v>RESIDENTE MULTI</v>
      </c>
      <c r="C98" s="203" t="str">
        <f ca="1">IFERROR(__xludf.UNSUPPORTED("""COMPUTED_VALUE"""),"HJXXIII")</f>
        <v>HJXXIII</v>
      </c>
      <c r="D98" s="203" t="str">
        <f ca="1">IFERROR(__xludf.UNSUPPORTED("""COMPUTED_VALUE"""),"FHEMIG")</f>
        <v>FHEMIG</v>
      </c>
      <c r="E98" s="203" t="str">
        <f ca="1">IFERROR(__xludf.UNSUPPORTED("""COMPUTED_VALUE"""),"TCR")</f>
        <v>TCR</v>
      </c>
      <c r="F98" s="203" t="str">
        <f ca="1">IFERROR(__xludf.UNSUPPORTED("""COMPUTED_VALUE"""),"Observacional retrospectivo")</f>
        <v>Observacional retrospectivo</v>
      </c>
      <c r="G98" s="203" t="str">
        <f ca="1">IFERROR(__xludf.UNSUPPORTED("""COMPUTED_VALUE"""),"LUCIANA GALDINO")</f>
        <v>LUCIANA GALDINO</v>
      </c>
      <c r="H98" s="203">
        <f ca="1">IFERROR(__xludf.UNSUPPORTED("""COMPUTED_VALUE"""),5)</f>
        <v>5</v>
      </c>
      <c r="I98" s="203" t="str">
        <f ca="1">IFERROR(__xludf.UNSUPPORTED("""COMPUTED_VALUE"""),"Aprovado no 2 PT")</f>
        <v>Aprovado no 2 PT</v>
      </c>
      <c r="J98" s="381">
        <f ca="1">IFERROR(__xludf.UNSUPPORTED("""COMPUTED_VALUE"""),45995)</f>
        <v>45995</v>
      </c>
      <c r="K98" s="203" t="str">
        <f ca="1">IFERROR(__xludf.UNSUPPORTED("""COMPUTED_VALUE"""),"NA")</f>
        <v>NA</v>
      </c>
      <c r="L98" s="203" t="str">
        <f ca="1">IFERROR(__xludf.UNSUPPORTED("""COMPUTED_VALUE"""),"NA")</f>
        <v>NA</v>
      </c>
    </row>
    <row r="99" spans="2:12">
      <c r="B99" s="203" t="str">
        <f ca="1">IFERROR(__xludf.UNSUPPORTED("""COMPUTED_VALUE"""),"SERVIDOR")</f>
        <v>SERVIDOR</v>
      </c>
      <c r="C99" s="203" t="str">
        <f ca="1">IFERROR(__xludf.UNSUPPORTED("""COMPUTED_VALUE"""),"HIJPII")</f>
        <v>HIJPII</v>
      </c>
      <c r="D99" s="203" t="str">
        <f ca="1">IFERROR(__xludf.UNSUPPORTED("""COMPUTED_VALUE"""),"FHEMIG")</f>
        <v>FHEMIG</v>
      </c>
      <c r="E99" s="203" t="str">
        <f ca="1">IFERROR(__xludf.UNSUPPORTED("""COMPUTED_VALUE"""),"CONGRESSO/DIVULGAÇÃO/PUBLICAÇÃO")</f>
        <v>CONGRESSO/DIVULGAÇÃO/PUBLICAÇÃO</v>
      </c>
      <c r="F99" s="203" t="str">
        <f ca="1">IFERROR(__xludf.UNSUPPORTED("""COMPUTED_VALUE"""),"Observacional descritivo ")</f>
        <v xml:space="preserve">Observacional descritivo </v>
      </c>
      <c r="G99" s="203" t="str">
        <f ca="1">IFERROR(__xludf.UNSUPPORTED("""COMPUTED_VALUE"""),"Alberto Andrade Vergara")</f>
        <v>Alberto Andrade Vergara</v>
      </c>
      <c r="H99" s="203">
        <f ca="1">IFERROR(__xludf.UNSUPPORTED("""COMPUTED_VALUE"""),1)</f>
        <v>1</v>
      </c>
      <c r="I99" s="203" t="str">
        <f ca="1">IFERROR(__xludf.UNSUPPORTED("""COMPUTED_VALUE"""),"Aprovado no 2 PT")</f>
        <v>Aprovado no 2 PT</v>
      </c>
      <c r="J99" s="382">
        <f ca="1">IFERROR(__xludf.UNSUPPORTED("""COMPUTED_VALUE"""),45958)</f>
        <v>45958</v>
      </c>
      <c r="K99" s="382">
        <f ca="1">IFERROR(__xludf.UNSUPPORTED("""COMPUTED_VALUE"""),45996)</f>
        <v>45996</v>
      </c>
      <c r="L99" s="381">
        <f ca="1">IFERROR(__xludf.UNSUPPORTED("""COMPUTED_VALUE"""),46038)</f>
        <v>46038</v>
      </c>
    </row>
    <row r="100" spans="2:12">
      <c r="B100" s="385" t="str">
        <f ca="1">IFERROR(__xludf.UNSUPPORTED("""COMPUTED_VALUE"""),"RESIDENTE MÉDIC")</f>
        <v>RESIDENTE MÉDIC</v>
      </c>
      <c r="C100" s="386" t="str">
        <f ca="1">IFERROR(__xludf.UNSUPPORTED("""COMPUTED_VALUE"""),"HIJPII")</f>
        <v>HIJPII</v>
      </c>
      <c r="D100" s="386" t="str">
        <f ca="1">IFERROR(__xludf.UNSUPPORTED("""COMPUTED_VALUE"""),"FHEMIG")</f>
        <v>FHEMIG</v>
      </c>
      <c r="E100" s="386" t="str">
        <f ca="1">IFERROR(__xludf.UNSUPPORTED("""COMPUTED_VALUE"""),"TCR")</f>
        <v>TCR</v>
      </c>
      <c r="F100" s="386" t="str">
        <f ca="1">IFERROR(__xludf.UNSUPPORTED("""COMPUTED_VALUE"""),"Relato de caso")</f>
        <v>Relato de caso</v>
      </c>
      <c r="G100" s="386" t="str">
        <f ca="1">IFERROR(__xludf.UNSUPPORTED("""COMPUTED_VALUE"""),"Karina Soares Loutfi")</f>
        <v>Karina Soares Loutfi</v>
      </c>
      <c r="H100" s="385">
        <f ca="1">IFERROR(__xludf.UNSUPPORTED("""COMPUTED_VALUE"""),1)</f>
        <v>1</v>
      </c>
      <c r="I100" s="385" t="str">
        <f ca="1">IFERROR(__xludf.UNSUPPORTED("""COMPUTED_VALUE"""),"Aprovado no 1 PT")</f>
        <v>Aprovado no 1 PT</v>
      </c>
      <c r="J100" s="387">
        <f ca="1">IFERROR(__xludf.UNSUPPORTED("""COMPUTED_VALUE"""),45929)</f>
        <v>45929</v>
      </c>
      <c r="K100" s="385" t="str">
        <f ca="1">IFERROR(__xludf.UNSUPPORTED("""COMPUTED_VALUE"""),"NA")</f>
        <v>NA</v>
      </c>
      <c r="L100" s="388">
        <f ca="1">IFERROR(__xludf.UNSUPPORTED("""COMPUTED_VALUE"""),45988)</f>
        <v>45988</v>
      </c>
    </row>
    <row r="101" spans="2:12">
      <c r="B101" s="385" t="str">
        <f ca="1">IFERROR(__xludf.UNSUPPORTED("""COMPUTED_VALUE"""),"SERVIDOR")</f>
        <v>SERVIDOR</v>
      </c>
      <c r="C101" s="386" t="str">
        <f ca="1">IFERROR(__xludf.UNSUPPORTED("""COMPUTED_VALUE"""),"HIJPII")</f>
        <v>HIJPII</v>
      </c>
      <c r="D101" s="386" t="str">
        <f ca="1">IFERROR(__xludf.UNSUPPORTED("""COMPUTED_VALUE"""),"FHEMIG")</f>
        <v>FHEMIG</v>
      </c>
      <c r="E101" s="386" t="str">
        <f ca="1">IFERROR(__xludf.UNSUPPORTED("""COMPUTED_VALUE"""),"MESTRADO")</f>
        <v>MESTRADO</v>
      </c>
      <c r="F101" s="386" t="str">
        <f ca="1">IFERROR(__xludf.UNSUPPORTED("""COMPUTED_VALUE"""),"Observacional prospectivo")</f>
        <v>Observacional prospectivo</v>
      </c>
      <c r="G101" s="386" t="str">
        <f ca="1">IFERROR(__xludf.UNSUPPORTED("""COMPUTED_VALUE"""),"NA")</f>
        <v>NA</v>
      </c>
      <c r="H101" s="385">
        <f ca="1">IFERROR(__xludf.UNSUPPORTED("""COMPUTED_VALUE"""),1)</f>
        <v>1</v>
      </c>
      <c r="I101" s="385" t="str">
        <f ca="1">IFERROR(__xludf.UNSUPPORTED("""COMPUTED_VALUE"""),"Aprovado no 2 PT")</f>
        <v>Aprovado no 2 PT</v>
      </c>
      <c r="J101" s="388">
        <f ca="1">IFERROR(__xludf.UNSUPPORTED("""COMPUTED_VALUE"""),45960)</f>
        <v>45960</v>
      </c>
      <c r="K101" s="385" t="str">
        <f ca="1">IFERROR(__xludf.UNSUPPORTED("""COMPUTED_VALUE"""),"NA")</f>
        <v>NA</v>
      </c>
      <c r="L101" s="385"/>
    </row>
    <row r="102" spans="2:12">
      <c r="B102" s="385" t="str">
        <f ca="1">IFERROR(__xludf.UNSUPPORTED("""COMPUTED_VALUE"""),"PESQ EXTERNO")</f>
        <v>PESQ EXTERNO</v>
      </c>
      <c r="C102" s="386" t="str">
        <f ca="1">IFERROR(__xludf.UNSUPPORTED("""COMPUTED_VALUE"""),"HJXXIII")</f>
        <v>HJXXIII</v>
      </c>
      <c r="D102" s="386" t="str">
        <f ca="1">IFERROR(__xludf.UNSUPPORTED("""COMPUTED_VALUE"""),"UFMG")</f>
        <v>UFMG</v>
      </c>
      <c r="E102" s="386" t="str">
        <f ca="1">IFERROR(__xludf.UNSUPPORTED("""COMPUTED_VALUE"""),"DOUTORADO")</f>
        <v>DOUTORADO</v>
      </c>
      <c r="F102" s="386" t="str">
        <f ca="1">IFERROR(__xludf.UNSUPPORTED("""COMPUTED_VALUE"""),"Observacional prospectivo")</f>
        <v>Observacional prospectivo</v>
      </c>
      <c r="G102" s="386" t="str">
        <f ca="1">IFERROR(__xludf.UNSUPPORTED("""COMPUTED_VALUE"""),"Caroline Miranda de Lima")</f>
        <v>Caroline Miranda de Lima</v>
      </c>
      <c r="H102" s="385">
        <f ca="1">IFERROR(__xludf.UNSUPPORTED("""COMPUTED_VALUE"""),3)</f>
        <v>3</v>
      </c>
      <c r="I102" s="385" t="str">
        <f ca="1">IFERROR(__xludf.UNSUPPORTED("""COMPUTED_VALUE"""),"Aprovado no 1 PT")</f>
        <v>Aprovado no 1 PT</v>
      </c>
      <c r="J102" s="387">
        <f ca="1">IFERROR(__xludf.UNSUPPORTED("""COMPUTED_VALUE"""),46304)</f>
        <v>46304</v>
      </c>
      <c r="K102" s="387">
        <f ca="1">IFERROR(__xludf.UNSUPPORTED("""COMPUTED_VALUE"""),45938)</f>
        <v>45938</v>
      </c>
      <c r="L102" s="387">
        <f ca="1">IFERROR(__xludf.UNSUPPORTED("""COMPUTED_VALUE"""),46149)</f>
        <v>46149</v>
      </c>
    </row>
    <row r="103" spans="2:12">
      <c r="B103" s="385" t="str">
        <f ca="1">IFERROR(__xludf.UNSUPPORTED("""COMPUTED_VALUE"""),"RESIDENTE MÉDIC")</f>
        <v>RESIDENTE MÉDIC</v>
      </c>
      <c r="C103" s="386" t="str">
        <f ca="1">IFERROR(__xludf.UNSUPPORTED("""COMPUTED_VALUE"""),"HJXXIII")</f>
        <v>HJXXIII</v>
      </c>
      <c r="D103" s="386" t="str">
        <f ca="1">IFERROR(__xludf.UNSUPPORTED("""COMPUTED_VALUE"""),"FHEMIG")</f>
        <v>FHEMIG</v>
      </c>
      <c r="E103" s="386" t="str">
        <f ca="1">IFERROR(__xludf.UNSUPPORTED("""COMPUTED_VALUE"""),"TCR")</f>
        <v>TCR</v>
      </c>
      <c r="F103" s="386" t="str">
        <f ca="1">IFERROR(__xludf.UNSUPPORTED("""COMPUTED_VALUE"""),"Observacional prospectivo")</f>
        <v>Observacional prospectivo</v>
      </c>
      <c r="G103" s="386" t="str">
        <f ca="1">IFERROR(__xludf.UNSUPPORTED("""COMPUTED_VALUE"""),"Luciana Cota")</f>
        <v>Luciana Cota</v>
      </c>
      <c r="H103" s="385">
        <f ca="1">IFERROR(__xludf.UNSUPPORTED("""COMPUTED_VALUE"""),2)</f>
        <v>2</v>
      </c>
      <c r="I103" s="385" t="str">
        <f ca="1">IFERROR(__xludf.UNSUPPORTED("""COMPUTED_VALUE"""),"Aprovado no 1 PT")</f>
        <v>Aprovado no 1 PT</v>
      </c>
      <c r="J103" s="388">
        <f ca="1">IFERROR(__xludf.UNSUPPORTED("""COMPUTED_VALUE"""),45978)</f>
        <v>45978</v>
      </c>
      <c r="K103" s="385" t="str">
        <f ca="1">IFERROR(__xludf.UNSUPPORTED("""COMPUTED_VALUE"""),"NA")</f>
        <v>NA</v>
      </c>
      <c r="L103" s="388">
        <f ca="1">IFERROR(__xludf.UNSUPPORTED("""COMPUTED_VALUE"""),46008)</f>
        <v>46008</v>
      </c>
    </row>
    <row r="104" spans="2:12">
      <c r="B104" s="385" t="str">
        <f ca="1">IFERROR(__xludf.UNSUPPORTED("""COMPUTED_VALUE"""),"RESIDENTE MÉDIC")</f>
        <v>RESIDENTE MÉDIC</v>
      </c>
      <c r="C104" s="386" t="str">
        <f ca="1">IFERROR(__xludf.UNSUPPORTED("""COMPUTED_VALUE"""),"HJXXIII")</f>
        <v>HJXXIII</v>
      </c>
      <c r="D104" s="386" t="str">
        <f ca="1">IFERROR(__xludf.UNSUPPORTED("""COMPUTED_VALUE"""),"FHEMIG")</f>
        <v>FHEMIG</v>
      </c>
      <c r="E104" s="386" t="str">
        <f ca="1">IFERROR(__xludf.UNSUPPORTED("""COMPUTED_VALUE"""),"TCR")</f>
        <v>TCR</v>
      </c>
      <c r="F104" s="386" t="str">
        <f ca="1">IFERROR(__xludf.UNSUPPORTED("""COMPUTED_VALUE"""),"Observacional prospectivo")</f>
        <v>Observacional prospectivo</v>
      </c>
      <c r="G104" s="386" t="str">
        <f ca="1">IFERROR(__xludf.UNSUPPORTED("""COMPUTED_VALUE"""),"Luciana Cota")</f>
        <v>Luciana Cota</v>
      </c>
      <c r="H104" s="385">
        <f ca="1">IFERROR(__xludf.UNSUPPORTED("""COMPUTED_VALUE"""),1)</f>
        <v>1</v>
      </c>
      <c r="I104" s="385" t="str">
        <f ca="1">IFERROR(__xludf.UNSUPPORTED("""COMPUTED_VALUE"""),"Aprovado no 2 PT")</f>
        <v>Aprovado no 2 PT</v>
      </c>
      <c r="J104" s="387">
        <f ca="1">IFERROR(__xludf.UNSUPPORTED("""COMPUTED_VALUE"""),6693408)</f>
        <v>6693408</v>
      </c>
      <c r="K104" s="385" t="str">
        <f ca="1">IFERROR(__xludf.UNSUPPORTED("""COMPUTED_VALUE"""),"NA")</f>
        <v>NA</v>
      </c>
      <c r="L104" s="388">
        <f ca="1">IFERROR(__xludf.UNSUPPORTED("""COMPUTED_VALUE"""),46008)</f>
        <v>46008</v>
      </c>
    </row>
    <row r="105" spans="2:12">
      <c r="B105" s="385" t="str">
        <f ca="1">IFERROR(__xludf.UNSUPPORTED("""COMPUTED_VALUE"""),"RESIDENTE MÉDIC")</f>
        <v>RESIDENTE MÉDIC</v>
      </c>
      <c r="C105" s="386" t="str">
        <f ca="1">IFERROR(__xludf.UNSUPPORTED("""COMPUTED_VALUE"""),"HIJPII")</f>
        <v>HIJPII</v>
      </c>
      <c r="D105" s="386" t="str">
        <f ca="1">IFERROR(__xludf.UNSUPPORTED("""COMPUTED_VALUE"""),"FHEMIG")</f>
        <v>FHEMIG</v>
      </c>
      <c r="E105" s="386" t="str">
        <f ca="1">IFERROR(__xludf.UNSUPPORTED("""COMPUTED_VALUE"""),"TCR")</f>
        <v>TCR</v>
      </c>
      <c r="F105" s="386" t="str">
        <f ca="1">IFERROR(__xludf.UNSUPPORTED("""COMPUTED_VALUE"""),"Observacional retrospectivo")</f>
        <v>Observacional retrospectivo</v>
      </c>
      <c r="G105" s="386" t="str">
        <f ca="1">IFERROR(__xludf.UNSUPPORTED("""COMPUTED_VALUE"""),"Ana Carolina Cardoso Diniz")</f>
        <v>Ana Carolina Cardoso Diniz</v>
      </c>
      <c r="H105" s="385"/>
      <c r="I105" s="385" t="str">
        <f ca="1">IFERROR(__xludf.UNSUPPORTED("""COMPUTED_VALUE"""),"Pendência")</f>
        <v>Pendência</v>
      </c>
      <c r="J105" s="385" t="str">
        <f ca="1">IFERROR(__xludf.UNSUPPORTED("""COMPUTED_VALUE"""),"NA")</f>
        <v>NA</v>
      </c>
      <c r="K105" s="385" t="str">
        <f ca="1">IFERROR(__xludf.UNSUPPORTED("""COMPUTED_VALUE"""),"NA")</f>
        <v>NA</v>
      </c>
      <c r="L105" s="385" t="str">
        <f ca="1">IFERROR(__xludf.UNSUPPORTED("""COMPUTED_VALUE"""),"NA")</f>
        <v>NA</v>
      </c>
    </row>
    <row r="106" spans="2:12">
      <c r="B106" s="385" t="str">
        <f ca="1">IFERROR(__xludf.UNSUPPORTED("""COMPUTED_VALUE"""),"RESIDENTE MULTI")</f>
        <v>RESIDENTE MULTI</v>
      </c>
      <c r="C106" s="386" t="str">
        <f ca="1">IFERROR(__xludf.UNSUPPORTED("""COMPUTED_VALUE"""),"HJXXIII")</f>
        <v>HJXXIII</v>
      </c>
      <c r="D106" s="386" t="str">
        <f ca="1">IFERROR(__xludf.UNSUPPORTED("""COMPUTED_VALUE"""),"FHEMIG")</f>
        <v>FHEMIG</v>
      </c>
      <c r="E106" s="386" t="str">
        <f ca="1">IFERROR(__xludf.UNSUPPORTED("""COMPUTED_VALUE"""),"TCR")</f>
        <v>TCR</v>
      </c>
      <c r="F106" s="386" t="str">
        <f ca="1">IFERROR(__xludf.UNSUPPORTED("""COMPUTED_VALUE"""),"Observacional retrospectivo")</f>
        <v>Observacional retrospectivo</v>
      </c>
      <c r="G106" s="386" t="str">
        <f ca="1">IFERROR(__xludf.UNSUPPORTED("""COMPUTED_VALUE"""),"Enf Luciana Galdina de
Matos Rodrigues")</f>
        <v>Enf Luciana Galdina de
Matos Rodrigues</v>
      </c>
      <c r="H106" s="385">
        <f ca="1">IFERROR(__xludf.UNSUPPORTED("""COMPUTED_VALUE"""),1)</f>
        <v>1</v>
      </c>
      <c r="I106" s="385" t="str">
        <f ca="1">IFERROR(__xludf.UNSUPPORTED("""COMPUTED_VALUE"""),"Aprovado no 1 PT")</f>
        <v>Aprovado no 1 PT</v>
      </c>
      <c r="J106" s="388">
        <f ca="1">IFERROR(__xludf.UNSUPPORTED("""COMPUTED_VALUE"""),45960)</f>
        <v>45960</v>
      </c>
      <c r="K106" s="385" t="str">
        <f ca="1">IFERROR(__xludf.UNSUPPORTED("""COMPUTED_VALUE"""),"NA")</f>
        <v>NA</v>
      </c>
      <c r="L106" s="385" t="str">
        <f ca="1">IFERROR(__xludf.UNSUPPORTED("""COMPUTED_VALUE"""),"NA")</f>
        <v>NA</v>
      </c>
    </row>
    <row r="107" spans="2:12">
      <c r="B107" s="385" t="str">
        <f ca="1">IFERROR(__xludf.UNSUPPORTED("""COMPUTED_VALUE"""),"SERVIDOR")</f>
        <v>SERVIDOR</v>
      </c>
      <c r="C107" s="386" t="str">
        <f ca="1">IFERROR(__xludf.UNSUPPORTED("""COMPUTED_VALUE"""),"HJXXIII")</f>
        <v>HJXXIII</v>
      </c>
      <c r="D107" s="386" t="str">
        <f ca="1">IFERROR(__xludf.UNSUPPORTED("""COMPUTED_VALUE"""),"FHEMIG")</f>
        <v>FHEMIG</v>
      </c>
      <c r="E107" s="386" t="str">
        <f ca="1">IFERROR(__xludf.UNSUPPORTED("""COMPUTED_VALUE"""),"CONGRESSO/DIVULGAÇÃO/PUBLICAÇÃO")</f>
        <v>CONGRESSO/DIVULGAÇÃO/PUBLICAÇÃO</v>
      </c>
      <c r="F107" s="386" t="str">
        <f ca="1">IFERROR(__xludf.UNSUPPORTED("""COMPUTED_VALUE"""),"Relato de caso")</f>
        <v>Relato de caso</v>
      </c>
      <c r="G107" s="386" t="str">
        <f ca="1">IFERROR(__xludf.UNSUPPORTED("""COMPUTED_VALUE"""),"Ledna Bettcher/ JULIANA")</f>
        <v>Ledna Bettcher/ JULIANA</v>
      </c>
      <c r="H107" s="385">
        <f ca="1">IFERROR(__xludf.UNSUPPORTED("""COMPUTED_VALUE"""),1)</f>
        <v>1</v>
      </c>
      <c r="I107" s="385" t="str">
        <f ca="1">IFERROR(__xludf.UNSUPPORTED("""COMPUTED_VALUE"""),"Aprovado no 1 PT")</f>
        <v>Aprovado no 1 PT</v>
      </c>
      <c r="J107" s="388">
        <f ca="1">IFERROR(__xludf.UNSUPPORTED("""COMPUTED_VALUE"""),45953)</f>
        <v>45953</v>
      </c>
      <c r="K107" s="385" t="str">
        <f ca="1">IFERROR(__xludf.UNSUPPORTED("""COMPUTED_VALUE"""),"NA")</f>
        <v>NA</v>
      </c>
      <c r="L107" s="385" t="str">
        <f ca="1">IFERROR(__xludf.UNSUPPORTED("""COMPUTED_VALUE"""),"NA")</f>
        <v>NA</v>
      </c>
    </row>
    <row r="108" spans="2:12">
      <c r="B108" s="385" t="str">
        <f ca="1">IFERROR(__xludf.UNSUPPORTED("""COMPUTED_VALUE"""),"SERVIDOR")</f>
        <v>SERVIDOR</v>
      </c>
      <c r="C108" s="386" t="str">
        <f ca="1">IFERROR(__xludf.UNSUPPORTED("""COMPUTED_VALUE"""),"HJXXIII")</f>
        <v>HJXXIII</v>
      </c>
      <c r="D108" s="386" t="str">
        <f ca="1">IFERROR(__xludf.UNSUPPORTED("""COMPUTED_VALUE"""),"FHEMIG")</f>
        <v>FHEMIG</v>
      </c>
      <c r="E108" s="386" t="str">
        <f ca="1">IFERROR(__xludf.UNSUPPORTED("""COMPUTED_VALUE"""),"CONGRESSO/DIVULGAÇÃO/PUBLICAÇÃO")</f>
        <v>CONGRESSO/DIVULGAÇÃO/PUBLICAÇÃO</v>
      </c>
      <c r="F108" s="386" t="str">
        <f ca="1">IFERROR(__xludf.UNSUPPORTED("""COMPUTED_VALUE"""),"Relato de caso")</f>
        <v>Relato de caso</v>
      </c>
      <c r="G108" s="386" t="str">
        <f ca="1">IFERROR(__xludf.UNSUPPORTED("""COMPUTED_VALUE"""),"Ledna Bettcher/ JULIANA")</f>
        <v>Ledna Bettcher/ JULIANA</v>
      </c>
      <c r="H108" s="385">
        <f ca="1">IFERROR(__xludf.UNSUPPORTED("""COMPUTED_VALUE"""),1)</f>
        <v>1</v>
      </c>
      <c r="I108" s="385" t="str">
        <f ca="1">IFERROR(__xludf.UNSUPPORTED("""COMPUTED_VALUE"""),"Aprovado no 1 PT")</f>
        <v>Aprovado no 1 PT</v>
      </c>
      <c r="J108" s="385" t="str">
        <f ca="1">IFERROR(__xludf.UNSUPPORTED("""COMPUTED_VALUE"""),"?")</f>
        <v>?</v>
      </c>
      <c r="K108" s="385"/>
      <c r="L108" s="385"/>
    </row>
    <row r="109" spans="2:12">
      <c r="B109" s="385" t="str">
        <f ca="1">IFERROR(__xludf.UNSUPPORTED("""COMPUTED_VALUE"""),"SERVIDOR")</f>
        <v>SERVIDOR</v>
      </c>
      <c r="C109" s="386" t="str">
        <f ca="1">IFERROR(__xludf.UNSUPPORTED("""COMPUTED_VALUE"""),"HJXXIII")</f>
        <v>HJXXIII</v>
      </c>
      <c r="D109" s="386" t="str">
        <f ca="1">IFERROR(__xludf.UNSUPPORTED("""COMPUTED_VALUE"""),"FHEMIG")</f>
        <v>FHEMIG</v>
      </c>
      <c r="E109" s="386" t="str">
        <f ca="1">IFERROR(__xludf.UNSUPPORTED("""COMPUTED_VALUE"""),"CONGRESSO/DIVULGAÇÃO/PUBLICAÇÃO")</f>
        <v>CONGRESSO/DIVULGAÇÃO/PUBLICAÇÃO</v>
      </c>
      <c r="F109" s="386" t="str">
        <f ca="1">IFERROR(__xludf.UNSUPPORTED("""COMPUTED_VALUE"""),"Observacional retrospectivo")</f>
        <v>Observacional retrospectivo</v>
      </c>
      <c r="G109" s="386" t="str">
        <f ca="1">IFERROR(__xludf.UNSUPPORTED("""COMPUTED_VALUE"""),"Izabela Figueiredo de Sousa Honorato")</f>
        <v>Izabela Figueiredo de Sousa Honorato</v>
      </c>
      <c r="H109" s="385">
        <f ca="1">IFERROR(__xludf.UNSUPPORTED("""COMPUTED_VALUE"""),24)</f>
        <v>24</v>
      </c>
      <c r="I109" s="385" t="str">
        <f ca="1">IFERROR(__xludf.UNSUPPORTED("""COMPUTED_VALUE"""),"Aprovado no 2 PT")</f>
        <v>Aprovado no 2 PT</v>
      </c>
      <c r="J109" s="387">
        <f ca="1">IFERROR(__xludf.UNSUPPORTED("""COMPUTED_VALUE"""),46059)</f>
        <v>46059</v>
      </c>
      <c r="K109" s="385" t="str">
        <f ca="1">IFERROR(__xludf.UNSUPPORTED("""COMPUTED_VALUE"""),"NA")</f>
        <v>NA</v>
      </c>
      <c r="L109" s="385" t="str">
        <f ca="1">IFERROR(__xludf.UNSUPPORTED("""COMPUTED_VALUE"""),"NA")</f>
        <v>NA</v>
      </c>
    </row>
    <row r="110" spans="2:12">
      <c r="B110" s="385" t="str">
        <f ca="1">IFERROR(__xludf.UNSUPPORTED("""COMPUTED_VALUE"""),"RESIDENTE MÉDIC")</f>
        <v>RESIDENTE MÉDIC</v>
      </c>
      <c r="C110" s="386" t="str">
        <f ca="1">IFERROR(__xludf.UNSUPPORTED("""COMPUTED_VALUE"""),"HJXXIII")</f>
        <v>HJXXIII</v>
      </c>
      <c r="D110" s="386" t="str">
        <f ca="1">IFERROR(__xludf.UNSUPPORTED("""COMPUTED_VALUE"""),"FHEMIG")</f>
        <v>FHEMIG</v>
      </c>
      <c r="E110" s="386" t="str">
        <f ca="1">IFERROR(__xludf.UNSUPPORTED("""COMPUTED_VALUE"""),"TCR")</f>
        <v>TCR</v>
      </c>
      <c r="F110" s="386" t="str">
        <f ca="1">IFERROR(__xludf.UNSUPPORTED("""COMPUTED_VALUE"""),"Observacional retrospectivo")</f>
        <v>Observacional retrospectivo</v>
      </c>
      <c r="G110" s="386" t="str">
        <f ca="1">IFERROR(__xludf.UNSUPPORTED("""COMPUTED_VALUE"""),"Ghilherme Donini")</f>
        <v>Ghilherme Donini</v>
      </c>
      <c r="H110" s="385">
        <f ca="1">IFERROR(__xludf.UNSUPPORTED("""COMPUTED_VALUE"""),2)</f>
        <v>2</v>
      </c>
      <c r="I110" s="385" t="str">
        <f ca="1">IFERROR(__xludf.UNSUPPORTED("""COMPUTED_VALUE"""),"Aprovado no 1 PT")</f>
        <v>Aprovado no 1 PT</v>
      </c>
      <c r="J110" s="388">
        <f ca="1">IFERROR(__xludf.UNSUPPORTED("""COMPUTED_VALUE"""),45960)</f>
        <v>45960</v>
      </c>
      <c r="K110" s="385" t="str">
        <f ca="1">IFERROR(__xludf.UNSUPPORTED("""COMPUTED_VALUE"""),"NA")</f>
        <v>NA</v>
      </c>
      <c r="L110" s="385" t="str">
        <f ca="1">IFERROR(__xludf.UNSUPPORTED("""COMPUTED_VALUE"""),"NA")</f>
        <v>NA</v>
      </c>
    </row>
    <row r="111" spans="2:12">
      <c r="B111" s="385" t="str">
        <f ca="1">IFERROR(__xludf.UNSUPPORTED("""COMPUTED_VALUE"""),"RESIDENTE MÉDIC")</f>
        <v>RESIDENTE MÉDIC</v>
      </c>
      <c r="C111" s="386" t="str">
        <f ca="1">IFERROR(__xludf.UNSUPPORTED("""COMPUTED_VALUE"""),"HJXXIII")</f>
        <v>HJXXIII</v>
      </c>
      <c r="D111" s="386" t="str">
        <f ca="1">IFERROR(__xludf.UNSUPPORTED("""COMPUTED_VALUE"""),"FHEMIG")</f>
        <v>FHEMIG</v>
      </c>
      <c r="E111" s="386" t="str">
        <f ca="1">IFERROR(__xludf.UNSUPPORTED("""COMPUTED_VALUE"""),"TCR")</f>
        <v>TCR</v>
      </c>
      <c r="F111" s="386" t="str">
        <f ca="1">IFERROR(__xludf.UNSUPPORTED("""COMPUTED_VALUE"""),"Transversal retrospectivo")</f>
        <v>Transversal retrospectivo</v>
      </c>
      <c r="G111" s="386" t="str">
        <f ca="1">IFERROR(__xludf.UNSUPPORTED("""COMPUTED_VALUE"""),"Dr. Lucas Muller /Dra Roberta Paschoalin")</f>
        <v>Dr. Lucas Muller /Dra Roberta Paschoalin</v>
      </c>
      <c r="H111" s="385">
        <f ca="1">IFERROR(__xludf.UNSUPPORTED("""COMPUTED_VALUE"""),2)</f>
        <v>2</v>
      </c>
      <c r="I111" s="385" t="str">
        <f ca="1">IFERROR(__xludf.UNSUPPORTED("""COMPUTED_VALUE"""),"Aprovado no 2 PT")</f>
        <v>Aprovado no 2 PT</v>
      </c>
      <c r="J111" s="385" t="str">
        <f ca="1">IFERROR(__xludf.UNSUPPORTED("""COMPUTED_VALUE"""),"NA")</f>
        <v>NA</v>
      </c>
      <c r="K111" s="385" t="str">
        <f ca="1">IFERROR(__xludf.UNSUPPORTED("""COMPUTED_VALUE"""),"NA")</f>
        <v>NA</v>
      </c>
      <c r="L111" s="385" t="str">
        <f ca="1">IFERROR(__xludf.UNSUPPORTED("""COMPUTED_VALUE"""),"NA")</f>
        <v>NA</v>
      </c>
    </row>
    <row r="112" spans="2:12">
      <c r="B112" s="385" t="str">
        <f ca="1">IFERROR(__xludf.UNSUPPORTED("""COMPUTED_VALUE"""),"SERVIDOR")</f>
        <v>SERVIDOR</v>
      </c>
      <c r="C112" s="386" t="str">
        <f ca="1">IFERROR(__xludf.UNSUPPORTED("""COMPUTED_VALUE"""),"HJXXIII")</f>
        <v>HJXXIII</v>
      </c>
      <c r="D112" s="386" t="str">
        <f ca="1">IFERROR(__xludf.UNSUPPORTED("""COMPUTED_VALUE"""),"FHEMIG")</f>
        <v>FHEMIG</v>
      </c>
      <c r="E112" s="386" t="str">
        <f ca="1">IFERROR(__xludf.UNSUPPORTED("""COMPUTED_VALUE"""),"CONGRESSO/DIVULGAÇÃO/PUBLICAÇÃO")</f>
        <v>CONGRESSO/DIVULGAÇÃO/PUBLICAÇÃO</v>
      </c>
      <c r="F112" s="386" t="str">
        <f ca="1">IFERROR(__xludf.UNSUPPORTED("""COMPUTED_VALUE"""),"Observacional prospectivo")</f>
        <v>Observacional prospectivo</v>
      </c>
      <c r="G112" s="386" t="str">
        <f ca="1">IFERROR(__xludf.UNSUPPORTED("""COMPUTED_VALUE"""),"Marcos Paulo Ferreira Corrêa Alves Reis")</f>
        <v>Marcos Paulo Ferreira Corrêa Alves Reis</v>
      </c>
      <c r="H112" s="385">
        <f ca="1">IFERROR(__xludf.UNSUPPORTED("""COMPUTED_VALUE"""),1)</f>
        <v>1</v>
      </c>
      <c r="I112" s="385" t="str">
        <f ca="1">IFERROR(__xludf.UNSUPPORTED("""COMPUTED_VALUE"""),"Pendência")</f>
        <v>Pendência</v>
      </c>
      <c r="J112" s="385" t="str">
        <f ca="1">IFERROR(__xludf.UNSUPPORTED("""COMPUTED_VALUE"""),"N/A")</f>
        <v>N/A</v>
      </c>
      <c r="K112" s="385" t="str">
        <f ca="1">IFERROR(__xludf.UNSUPPORTED("""COMPUTED_VALUE"""),"NA")</f>
        <v>NA</v>
      </c>
      <c r="L112" s="385" t="str">
        <f ca="1">IFERROR(__xludf.UNSUPPORTED("""COMPUTED_VALUE"""),"NA")</f>
        <v>NA</v>
      </c>
    </row>
    <row r="113" spans="2:12">
      <c r="B113" s="385" t="str">
        <f ca="1">IFERROR(__xludf.UNSUPPORTED("""COMPUTED_VALUE"""),"SERVIDOR")</f>
        <v>SERVIDOR</v>
      </c>
      <c r="C113" s="386" t="str">
        <f ca="1">IFERROR(__xludf.UNSUPPORTED("""COMPUTED_VALUE"""),"HIJPII")</f>
        <v>HIJPII</v>
      </c>
      <c r="D113" s="386" t="str">
        <f ca="1">IFERROR(__xludf.UNSUPPORTED("""COMPUTED_VALUE"""),"FHEMIG")</f>
        <v>FHEMIG</v>
      </c>
      <c r="E113" s="386" t="str">
        <f ca="1">IFERROR(__xludf.UNSUPPORTED("""COMPUTED_VALUE"""),"TCR")</f>
        <v>TCR</v>
      </c>
      <c r="F113" s="386" t="str">
        <f ca="1">IFERROR(__xludf.UNSUPPORTED("""COMPUTED_VALUE"""),"Série de casos ")</f>
        <v xml:space="preserve">Série de casos </v>
      </c>
      <c r="G113" s="386" t="str">
        <f ca="1">IFERROR(__xludf.UNSUPPORTED("""COMPUTED_VALUE"""),"NA")</f>
        <v>NA</v>
      </c>
      <c r="H113" s="385">
        <f ca="1">IFERROR(__xludf.UNSUPPORTED("""COMPUTED_VALUE"""),1)</f>
        <v>1</v>
      </c>
      <c r="I113" s="385" t="str">
        <f ca="1">IFERROR(__xludf.UNSUPPORTED("""COMPUTED_VALUE"""),"Aprovado no 1 PT")</f>
        <v>Aprovado no 1 PT</v>
      </c>
      <c r="J113" s="388">
        <f ca="1">IFERROR(__xludf.UNSUPPORTED("""COMPUTED_VALUE"""),45978)</f>
        <v>45978</v>
      </c>
      <c r="K113" s="385" t="str">
        <f ca="1">IFERROR(__xludf.UNSUPPORTED("""COMPUTED_VALUE"""),"NA")</f>
        <v>NA</v>
      </c>
      <c r="L113" s="387">
        <f ca="1">IFERROR(__xludf.UNSUPPORTED("""COMPUTED_VALUE"""),45995)</f>
        <v>45995</v>
      </c>
    </row>
    <row r="114" spans="2:12">
      <c r="B114" s="385" t="str">
        <f ca="1">IFERROR(__xludf.UNSUPPORTED("""COMPUTED_VALUE"""),"RESIDENTE MÉDIC")</f>
        <v>RESIDENTE MÉDIC</v>
      </c>
      <c r="C114" s="386" t="str">
        <f ca="1">IFERROR(__xludf.UNSUPPORTED("""COMPUTED_VALUE"""),"HJXXIII")</f>
        <v>HJXXIII</v>
      </c>
      <c r="D114" s="386" t="str">
        <f ca="1">IFERROR(__xludf.UNSUPPORTED("""COMPUTED_VALUE"""),"FHEMIG")</f>
        <v>FHEMIG</v>
      </c>
      <c r="E114" s="386" t="str">
        <f ca="1">IFERROR(__xludf.UNSUPPORTED("""COMPUTED_VALUE"""),"TCR")</f>
        <v>TCR</v>
      </c>
      <c r="F114" s="386" t="str">
        <f ca="1">IFERROR(__xludf.UNSUPPORTED("""COMPUTED_VALUE"""),"Transversal retrospectivo")</f>
        <v>Transversal retrospectivo</v>
      </c>
      <c r="G114" s="386" t="str">
        <f ca="1">IFERROR(__xludf.UNSUPPORTED("""COMPUTED_VALUE"""),"Roberta Campos Paschoalin")</f>
        <v>Roberta Campos Paschoalin</v>
      </c>
      <c r="H114" s="385">
        <f ca="1">IFERROR(__xludf.UNSUPPORTED("""COMPUTED_VALUE"""),3)</f>
        <v>3</v>
      </c>
      <c r="I114" s="385" t="str">
        <f ca="1">IFERROR(__xludf.UNSUPPORTED("""COMPUTED_VALUE"""),"Aprovado no 1 PT")</f>
        <v>Aprovado no 1 PT</v>
      </c>
      <c r="J114" s="388">
        <f ca="1">IFERROR(__xludf.UNSUPPORTED("""COMPUTED_VALUE"""),45986)</f>
        <v>45986</v>
      </c>
      <c r="K114" s="385" t="str">
        <f ca="1">IFERROR(__xludf.UNSUPPORTED("""COMPUTED_VALUE"""),"NA")</f>
        <v>NA</v>
      </c>
      <c r="L114" s="385" t="str">
        <f ca="1">IFERROR(__xludf.UNSUPPORTED("""COMPUTED_VALUE"""),"NA")</f>
        <v>NA</v>
      </c>
    </row>
    <row r="115" spans="2:12">
      <c r="B115" s="385" t="str">
        <f ca="1">IFERROR(__xludf.UNSUPPORTED("""COMPUTED_VALUE"""),"RESIDENTE MÉDIC")</f>
        <v>RESIDENTE MÉDIC</v>
      </c>
      <c r="C115" s="386" t="str">
        <f ca="1">IFERROR(__xludf.UNSUPPORTED("""COMPUTED_VALUE"""),"HJXXIII")</f>
        <v>HJXXIII</v>
      </c>
      <c r="D115" s="386" t="str">
        <f ca="1">IFERROR(__xludf.UNSUPPORTED("""COMPUTED_VALUE"""),"FHEMIG")</f>
        <v>FHEMIG</v>
      </c>
      <c r="E115" s="386" t="str">
        <f ca="1">IFERROR(__xludf.UNSUPPORTED("""COMPUTED_VALUE"""),"TCR")</f>
        <v>TCR</v>
      </c>
      <c r="F115" s="386" t="str">
        <f ca="1">IFERROR(__xludf.UNSUPPORTED("""COMPUTED_VALUE"""),"Observacional prospectivo")</f>
        <v>Observacional prospectivo</v>
      </c>
      <c r="G115" s="386" t="str">
        <f ca="1">IFERROR(__xludf.UNSUPPORTED("""COMPUTED_VALUE"""),"Juliana Sartorelo Almeida e Adebal de Andrade Filho")</f>
        <v>Juliana Sartorelo Almeida e Adebal de Andrade Filho</v>
      </c>
      <c r="H115" s="385">
        <f ca="1">IFERROR(__xludf.UNSUPPORTED("""COMPUTED_VALUE"""),2)</f>
        <v>2</v>
      </c>
      <c r="I115" s="385" t="str">
        <f ca="1">IFERROR(__xludf.UNSUPPORTED("""COMPUTED_VALUE"""),"Aprovado no 2 PT")</f>
        <v>Aprovado no 2 PT</v>
      </c>
      <c r="J115" s="388">
        <f ca="1">IFERROR(__xludf.UNSUPPORTED("""COMPUTED_VALUE"""),46020)</f>
        <v>46020</v>
      </c>
      <c r="K115" s="385" t="str">
        <f ca="1">IFERROR(__xludf.UNSUPPORTED("""COMPUTED_VALUE"""),"NA")</f>
        <v>NA</v>
      </c>
      <c r="L115" s="385" t="str">
        <f ca="1">IFERROR(__xludf.UNSUPPORTED("""COMPUTED_VALUE"""),"NA")</f>
        <v>NA</v>
      </c>
    </row>
    <row r="116" spans="2:12">
      <c r="B116" s="385" t="str">
        <f ca="1">IFERROR(__xludf.UNSUPPORTED("""COMPUTED_VALUE"""),"RESIDENTE MÉDIC")</f>
        <v>RESIDENTE MÉDIC</v>
      </c>
      <c r="C116" s="386" t="str">
        <f ca="1">IFERROR(__xludf.UNSUPPORTED("""COMPUTED_VALUE"""),"HIJPII")</f>
        <v>HIJPII</v>
      </c>
      <c r="D116" s="386" t="str">
        <f ca="1">IFERROR(__xludf.UNSUPPORTED("""COMPUTED_VALUE"""),"FHEMIG")</f>
        <v>FHEMIG</v>
      </c>
      <c r="E116" s="386" t="str">
        <f ca="1">IFERROR(__xludf.UNSUPPORTED("""COMPUTED_VALUE"""),"TCR")</f>
        <v>TCR</v>
      </c>
      <c r="F116" s="386" t="str">
        <f ca="1">IFERROR(__xludf.UNSUPPORTED("""COMPUTED_VALUE"""),"Observacional retrospectivo")</f>
        <v>Observacional retrospectivo</v>
      </c>
      <c r="G116" s="386" t="str">
        <f ca="1">IFERROR(__xludf.UNSUPPORTED("""COMPUTED_VALUE"""),"Heraldo Rocha Valladão
e Juliana Goulart Dias da
Costa")</f>
        <v>Heraldo Rocha Valladão
e Juliana Goulart Dias da
Costa</v>
      </c>
      <c r="H116" s="385">
        <f ca="1">IFERROR(__xludf.UNSUPPORTED("""COMPUTED_VALUE"""),3)</f>
        <v>3</v>
      </c>
      <c r="I116" s="385" t="str">
        <f ca="1">IFERROR(__xludf.UNSUPPORTED("""COMPUTED_VALUE"""),"Aprovado no 2 PT")</f>
        <v>Aprovado no 2 PT</v>
      </c>
      <c r="J116" s="388">
        <f ca="1">IFERROR(__xludf.UNSUPPORTED("""COMPUTED_VALUE"""),46007)</f>
        <v>46007</v>
      </c>
      <c r="K116" s="385" t="str">
        <f ca="1">IFERROR(__xludf.UNSUPPORTED("""COMPUTED_VALUE"""),"NA")</f>
        <v>NA</v>
      </c>
      <c r="L116" s="385" t="str">
        <f ca="1">IFERROR(__xludf.UNSUPPORTED("""COMPUTED_VALUE"""),"NA")</f>
        <v>NA</v>
      </c>
    </row>
    <row r="117" spans="2:12">
      <c r="B117" s="385" t="str">
        <f ca="1">IFERROR(__xludf.UNSUPPORTED("""COMPUTED_VALUE"""),"RESIDENTE MULTI")</f>
        <v>RESIDENTE MULTI</v>
      </c>
      <c r="C117" s="386" t="str">
        <f ca="1">IFERROR(__xludf.UNSUPPORTED("""COMPUTED_VALUE"""),"HJXXIII")</f>
        <v>HJXXIII</v>
      </c>
      <c r="D117" s="386" t="str">
        <f ca="1">IFERROR(__xludf.UNSUPPORTED("""COMPUTED_VALUE"""),"FHEMIG")</f>
        <v>FHEMIG</v>
      </c>
      <c r="E117" s="386" t="str">
        <f ca="1">IFERROR(__xludf.UNSUPPORTED("""COMPUTED_VALUE"""),"TCR")</f>
        <v>TCR</v>
      </c>
      <c r="F117" s="386" t="str">
        <f ca="1">IFERROR(__xludf.UNSUPPORTED("""COMPUTED_VALUE"""),"Observacional retrospectivo")</f>
        <v>Observacional retrospectivo</v>
      </c>
      <c r="G117" s="386" t="str">
        <f ca="1">IFERROR(__xludf.UNSUPPORTED("""COMPUTED_VALUE"""),"Natasha Preis")</f>
        <v>Natasha Preis</v>
      </c>
      <c r="H117" s="385" t="str">
        <f ca="1">IFERROR(__xludf.UNSUPPORTED("""COMPUTED_VALUE"""),"ABC")</f>
        <v>ABC</v>
      </c>
      <c r="I117" s="385" t="str">
        <f ca="1">IFERROR(__xludf.UNSUPPORTED("""COMPUTED_VALUE"""),"NA")</f>
        <v>NA</v>
      </c>
      <c r="J117" s="385" t="str">
        <f ca="1">IFERROR(__xludf.UNSUPPORTED("""COMPUTED_VALUE"""),"NA")</f>
        <v>NA</v>
      </c>
      <c r="K117" s="385" t="str">
        <f ca="1">IFERROR(__xludf.UNSUPPORTED("""COMPUTED_VALUE"""),"NA")</f>
        <v>NA</v>
      </c>
      <c r="L117" s="385" t="str">
        <f ca="1">IFERROR(__xludf.UNSUPPORTED("""COMPUTED_VALUE"""),"NA")</f>
        <v>NA</v>
      </c>
    </row>
    <row r="118" spans="2:12">
      <c r="B118" s="385" t="str">
        <f ca="1">IFERROR(__xludf.UNSUPPORTED("""COMPUTED_VALUE"""),"RESIDENTE MÉDIC")</f>
        <v>RESIDENTE MÉDIC</v>
      </c>
      <c r="C118" s="386" t="str">
        <f ca="1">IFERROR(__xludf.UNSUPPORTED("""COMPUTED_VALUE"""),"HJXXIII")</f>
        <v>HJXXIII</v>
      </c>
      <c r="D118" s="386" t="str">
        <f ca="1">IFERROR(__xludf.UNSUPPORTED("""COMPUTED_VALUE"""),"FHEMIG")</f>
        <v>FHEMIG</v>
      </c>
      <c r="E118" s="386" t="str">
        <f ca="1">IFERROR(__xludf.UNSUPPORTED("""COMPUTED_VALUE"""),"TCR")</f>
        <v>TCR</v>
      </c>
      <c r="F118" s="386" t="str">
        <f ca="1">IFERROR(__xludf.UNSUPPORTED("""COMPUTED_VALUE"""),"Relato de caso")</f>
        <v>Relato de caso</v>
      </c>
      <c r="G118" s="386" t="str">
        <f ca="1">IFERROR(__xludf.UNSUPPORTED("""COMPUTED_VALUE"""),"Paulo Sérgio de Oliveira Cavalcanti e Artur de Paula Santos
")</f>
        <v xml:space="preserve">Paulo Sérgio de Oliveira Cavalcanti e Artur de Paula Santos
</v>
      </c>
      <c r="H118" s="385">
        <f ca="1">IFERROR(__xludf.UNSUPPORTED("""COMPUTED_VALUE"""),1)</f>
        <v>1</v>
      </c>
      <c r="I118" s="385" t="str">
        <f ca="1">IFERROR(__xludf.UNSUPPORTED("""COMPUTED_VALUE"""),"Aprovado no 2 PT")</f>
        <v>Aprovado no 2 PT</v>
      </c>
      <c r="J118" s="387">
        <f ca="1">IFERROR(__xludf.UNSUPPORTED("""COMPUTED_VALUE"""),45995)</f>
        <v>45995</v>
      </c>
      <c r="K118" s="385" t="str">
        <f ca="1">IFERROR(__xludf.UNSUPPORTED("""COMPUTED_VALUE"""),"NA")</f>
        <v>NA</v>
      </c>
      <c r="L118" s="388">
        <f ca="1">IFERROR(__xludf.UNSUPPORTED("""COMPUTED_VALUE"""),46008)</f>
        <v>46008</v>
      </c>
    </row>
    <row r="119" spans="2:12">
      <c r="B119" s="385" t="str">
        <f ca="1">IFERROR(__xludf.UNSUPPORTED("""COMPUTED_VALUE"""),"SERVIDOR")</f>
        <v>SERVIDOR</v>
      </c>
      <c r="C119" s="386" t="str">
        <f ca="1">IFERROR(__xludf.UNSUPPORTED("""COMPUTED_VALUE"""),"HJXXIII")</f>
        <v>HJXXIII</v>
      </c>
      <c r="D119" s="386" t="str">
        <f ca="1">IFERROR(__xludf.UNSUPPORTED("""COMPUTED_VALUE"""),"FHEMIG")</f>
        <v>FHEMIG</v>
      </c>
      <c r="E119" s="386" t="str">
        <f ca="1">IFERROR(__xludf.UNSUPPORTED("""COMPUTED_VALUE"""),"CONGRESSO/DIVULGAÇÃO/PUBLICAÇÃO")</f>
        <v>CONGRESSO/DIVULGAÇÃO/PUBLICAÇÃO</v>
      </c>
      <c r="F119" s="386" t="str">
        <f ca="1">IFERROR(__xludf.UNSUPPORTED("""COMPUTED_VALUE"""),"Série de casos ")</f>
        <v xml:space="preserve">Série de casos </v>
      </c>
      <c r="G119" s="386" t="str">
        <f ca="1">IFERROR(__xludf.UNSUPPORTED("""COMPUTED_VALUE"""),"Natália Santiago Cerqueira Lima")</f>
        <v>Natália Santiago Cerqueira Lima</v>
      </c>
      <c r="H119" s="385">
        <f ca="1">IFERROR(__xludf.UNSUPPORTED("""COMPUTED_VALUE"""),1)</f>
        <v>1</v>
      </c>
      <c r="I119" s="385" t="str">
        <f ca="1">IFERROR(__xludf.UNSUPPORTED("""COMPUTED_VALUE"""),"Aprovado no 1 PT")</f>
        <v>Aprovado no 1 PT</v>
      </c>
      <c r="J119" s="387">
        <f ca="1">IFERROR(__xludf.UNSUPPORTED("""COMPUTED_VALUE"""),46030)</f>
        <v>46030</v>
      </c>
      <c r="K119" s="385" t="str">
        <f ca="1">IFERROR(__xludf.UNSUPPORTED("""COMPUTED_VALUE"""),"NA")</f>
        <v>NA</v>
      </c>
      <c r="L119" s="385"/>
    </row>
    <row r="120" spans="2:12">
      <c r="B120" s="385" t="str">
        <f ca="1">IFERROR(__xludf.UNSUPPORTED("""COMPUTED_VALUE"""),"SERVIDOR")</f>
        <v>SERVIDOR</v>
      </c>
      <c r="C120" s="386" t="str">
        <f ca="1">IFERROR(__xludf.UNSUPPORTED("""COMPUTED_VALUE"""),"HJXXIII")</f>
        <v>HJXXIII</v>
      </c>
      <c r="D120" s="386" t="str">
        <f ca="1">IFERROR(__xludf.UNSUPPORTED("""COMPUTED_VALUE"""),"FHEMIG")</f>
        <v>FHEMIG</v>
      </c>
      <c r="E120" s="386" t="str">
        <f ca="1">IFERROR(__xludf.UNSUPPORTED("""COMPUTED_VALUE"""),"TCR")</f>
        <v>TCR</v>
      </c>
      <c r="F120" s="386" t="str">
        <f ca="1">IFERROR(__xludf.UNSUPPORTED("""COMPUTED_VALUE"""),"Observacional retrospectivo")</f>
        <v>Observacional retrospectivo</v>
      </c>
      <c r="G120" s="386" t="str">
        <f ca="1">IFERROR(__xludf.UNSUPPORTED("""COMPUTED_VALUE"""),"Frederico Bruzzi")</f>
        <v>Frederico Bruzzi</v>
      </c>
      <c r="H120" s="385">
        <f ca="1">IFERROR(__xludf.UNSUPPORTED("""COMPUTED_VALUE"""),1)</f>
        <v>1</v>
      </c>
      <c r="I120" s="385" t="str">
        <f ca="1">IFERROR(__xludf.UNSUPPORTED("""COMPUTED_VALUE"""),"Aprovado no 2 PT")</f>
        <v>Aprovado no 2 PT</v>
      </c>
      <c r="J120" s="387">
        <f ca="1">IFERROR(__xludf.UNSUPPORTED("""COMPUTED_VALUE"""),46028)</f>
        <v>46028</v>
      </c>
      <c r="K120" s="385" t="str">
        <f ca="1">IFERROR(__xludf.UNSUPPORTED("""COMPUTED_VALUE"""),"NA")</f>
        <v>NA</v>
      </c>
      <c r="L120" s="387">
        <f ca="1">IFERROR(__xludf.UNSUPPORTED("""COMPUTED_VALUE"""),46051)</f>
        <v>46051</v>
      </c>
    </row>
    <row r="121" spans="2:12">
      <c r="B121" s="385" t="str">
        <f ca="1">IFERROR(__xludf.UNSUPPORTED("""COMPUTED_VALUE"""),"SERVIDOR")</f>
        <v>SERVIDOR</v>
      </c>
      <c r="C121" s="386" t="str">
        <f ca="1">IFERROR(__xludf.UNSUPPORTED("""COMPUTED_VALUE"""),"HIJPII")</f>
        <v>HIJPII</v>
      </c>
      <c r="D121" s="386" t="str">
        <f ca="1">IFERROR(__xludf.UNSUPPORTED("""COMPUTED_VALUE"""),"UFMG")</f>
        <v>UFMG</v>
      </c>
      <c r="E121" s="386" t="str">
        <f ca="1">IFERROR(__xludf.UNSUPPORTED("""COMPUTED_VALUE"""),"MESTRADO")</f>
        <v>MESTRADO</v>
      </c>
      <c r="F121" s="386" t="str">
        <f ca="1">IFERROR(__xludf.UNSUPPORTED("""COMPUTED_VALUE"""),"Qualitativa ")</f>
        <v xml:space="preserve">Qualitativa </v>
      </c>
      <c r="G121" s="386" t="str">
        <f ca="1">IFERROR(__xludf.UNSUPPORTED("""COMPUTED_VALUE""")," Cristiane de Freitas Cunha Grillo")</f>
        <v xml:space="preserve"> Cristiane de Freitas Cunha Grillo</v>
      </c>
      <c r="H121" s="385">
        <f ca="1">IFERROR(__xludf.UNSUPPORTED("""COMPUTED_VALUE"""),4)</f>
        <v>4</v>
      </c>
      <c r="I121" s="385" t="str">
        <f ca="1">IFERROR(__xludf.UNSUPPORTED("""COMPUTED_VALUE"""),"NA")</f>
        <v>NA</v>
      </c>
      <c r="J121" s="385" t="str">
        <f ca="1">IFERROR(__xludf.UNSUPPORTED("""COMPUTED_VALUE"""),"NA")</f>
        <v>NA</v>
      </c>
      <c r="K121" s="385" t="str">
        <f ca="1">IFERROR(__xludf.UNSUPPORTED("""COMPUTED_VALUE"""),"NA")</f>
        <v>NA</v>
      </c>
      <c r="L121" s="385" t="str">
        <f ca="1">IFERROR(__xludf.UNSUPPORTED("""COMPUTED_VALUE"""),"NA")</f>
        <v>NA</v>
      </c>
    </row>
    <row r="122" spans="2:12">
      <c r="B122" s="385" t="str">
        <f ca="1">IFERROR(__xludf.UNSUPPORTED("""COMPUTED_VALUE"""),"SERVIDOR")</f>
        <v>SERVIDOR</v>
      </c>
      <c r="C122" s="386" t="str">
        <f ca="1">IFERROR(__xludf.UNSUPPORTED("""COMPUTED_VALUE"""),"HJXXIII")</f>
        <v>HJXXIII</v>
      </c>
      <c r="D122" s="386" t="str">
        <f ca="1">IFERROR(__xludf.UNSUPPORTED("""COMPUTED_VALUE"""),"FHEMIG")</f>
        <v>FHEMIG</v>
      </c>
      <c r="E122" s="386" t="str">
        <f ca="1">IFERROR(__xludf.UNSUPPORTED("""COMPUTED_VALUE"""),"TCR")</f>
        <v>TCR</v>
      </c>
      <c r="F122" s="386" t="str">
        <f ca="1">IFERROR(__xludf.UNSUPPORTED("""COMPUTED_VALUE"""),"Qualitativa ")</f>
        <v xml:space="preserve">Qualitativa </v>
      </c>
      <c r="G122" s="386" t="str">
        <f ca="1">IFERROR(__xludf.UNSUPPORTED("""COMPUTED_VALUE"""),"Sandra das Dores de
Souza")</f>
        <v>Sandra das Dores de
Souza</v>
      </c>
      <c r="H122" s="385">
        <f ca="1">IFERROR(__xludf.UNSUPPORTED("""COMPUTED_VALUE"""),7)</f>
        <v>7</v>
      </c>
      <c r="I122" s="385" t="str">
        <f ca="1">IFERROR(__xludf.UNSUPPORTED("""COMPUTED_VALUE"""),"Aprovado no 1 PT")</f>
        <v>Aprovado no 1 PT</v>
      </c>
      <c r="J122" s="387">
        <f ca="1">IFERROR(__xludf.UNSUPPORTED("""COMPUTED_VALUE"""),46044)</f>
        <v>46044</v>
      </c>
      <c r="K122" s="385" t="str">
        <f ca="1">IFERROR(__xludf.UNSUPPORTED("""COMPUTED_VALUE"""),"NA")</f>
        <v>NA</v>
      </c>
      <c r="L122" s="385" t="str">
        <f ca="1">IFERROR(__xludf.UNSUPPORTED("""COMPUTED_VALUE"""),"NA")</f>
        <v>NA</v>
      </c>
    </row>
    <row r="123" spans="2:12">
      <c r="B123" s="385" t="str">
        <f ca="1">IFERROR(__xludf.UNSUPPORTED("""COMPUTED_VALUE"""),"SERVIDOR")</f>
        <v>SERVIDOR</v>
      </c>
      <c r="C123" s="386" t="str">
        <f ca="1">IFERROR(__xludf.UNSUPPORTED("""COMPUTED_VALUE"""),"HJXXIII")</f>
        <v>HJXXIII</v>
      </c>
      <c r="D123" s="386" t="str">
        <f ca="1">IFERROR(__xludf.UNSUPPORTED("""COMPUTED_VALUE"""),"FHEMIG")</f>
        <v>FHEMIG</v>
      </c>
      <c r="E123" s="386" t="str">
        <f ca="1">IFERROR(__xludf.UNSUPPORTED("""COMPUTED_VALUE"""),"TCR")</f>
        <v>TCR</v>
      </c>
      <c r="F123" s="386" t="str">
        <f ca="1">IFERROR(__xludf.UNSUPPORTED("""COMPUTED_VALUE"""),"Qualitativa ")</f>
        <v xml:space="preserve">Qualitativa </v>
      </c>
      <c r="G123" s="386" t="str">
        <f ca="1">IFERROR(__xludf.UNSUPPORTED("""COMPUTED_VALUE"""),"Sandra das Dores de
Souza")</f>
        <v>Sandra das Dores de
Souza</v>
      </c>
      <c r="H123" s="385" t="str">
        <f ca="1">IFERROR(__xludf.UNSUPPORTED("""COMPUTED_VALUE"""),"ABC")</f>
        <v>ABC</v>
      </c>
      <c r="I123" s="385" t="str">
        <f ca="1">IFERROR(__xludf.UNSUPPORTED("""COMPUTED_VALUE"""),"NA")</f>
        <v>NA</v>
      </c>
      <c r="J123" s="385" t="str">
        <f ca="1">IFERROR(__xludf.UNSUPPORTED("""COMPUTED_VALUE"""),"NA")</f>
        <v>NA</v>
      </c>
      <c r="K123" s="385" t="str">
        <f ca="1">IFERROR(__xludf.UNSUPPORTED("""COMPUTED_VALUE"""),"NA")</f>
        <v>NA</v>
      </c>
      <c r="L123" s="385" t="str">
        <f ca="1">IFERROR(__xludf.UNSUPPORTED("""COMPUTED_VALUE"""),"NA")</f>
        <v>NA</v>
      </c>
    </row>
    <row r="124" spans="2:12">
      <c r="B124" s="389" t="str">
        <f ca="1">IFERROR(__xludf.UNSUPPORTED("""COMPUTED_VALUE"""),"SERVIDOR")</f>
        <v>SERVIDOR</v>
      </c>
      <c r="C124" s="390" t="str">
        <f ca="1">IFERROR(__xludf.UNSUPPORTED("""COMPUTED_VALUE"""),"HJXXIII")</f>
        <v>HJXXIII</v>
      </c>
      <c r="D124" s="390" t="str">
        <f ca="1">IFERROR(__xludf.UNSUPPORTED("""COMPUTED_VALUE"""),"FHEMIG")</f>
        <v>FHEMIG</v>
      </c>
      <c r="E124" s="390" t="str">
        <f ca="1">IFERROR(__xludf.UNSUPPORTED("""COMPUTED_VALUE"""),"TCR")</f>
        <v>TCR</v>
      </c>
      <c r="F124" s="390" t="str">
        <f ca="1">IFERROR(__xludf.UNSUPPORTED("""COMPUTED_VALUE"""),"Qualitativa ")</f>
        <v xml:space="preserve">Qualitativa </v>
      </c>
      <c r="G124" s="390" t="str">
        <f ca="1">IFERROR(__xludf.UNSUPPORTED("""COMPUTED_VALUE""")," LUCIANA ALMEIDA")</f>
        <v xml:space="preserve"> LUCIANA ALMEIDA</v>
      </c>
      <c r="H124" s="389" t="str">
        <f ca="1">IFERROR(__xludf.UNSUPPORTED("""COMPUTED_VALUE"""),"ABC")</f>
        <v>ABC</v>
      </c>
      <c r="I124" s="389" t="str">
        <f ca="1">IFERROR(__xludf.UNSUPPORTED("""COMPUTED_VALUE"""),"NA")</f>
        <v>NA</v>
      </c>
      <c r="J124" s="389" t="str">
        <f ca="1">IFERROR(__xludf.UNSUPPORTED("""COMPUTED_VALUE"""),"NA")</f>
        <v>NA</v>
      </c>
      <c r="K124" s="389" t="str">
        <f ca="1">IFERROR(__xludf.UNSUPPORTED("""COMPUTED_VALUE"""),"NA")</f>
        <v>NA</v>
      </c>
      <c r="L124" s="389" t="str">
        <f ca="1">IFERROR(__xludf.UNSUPPORTED("""COMPUTED_VALUE"""),"NA")</f>
        <v>NA</v>
      </c>
    </row>
    <row r="125" spans="2:12">
      <c r="B125" s="389" t="str">
        <f ca="1">IFERROR(__xludf.UNSUPPORTED("""COMPUTED_VALUE"""),"RESIDENTE MULTI")</f>
        <v>RESIDENTE MULTI</v>
      </c>
      <c r="C125" s="390" t="str">
        <f ca="1">IFERROR(__xludf.UNSUPPORTED("""COMPUTED_VALUE"""),"HJXXIII")</f>
        <v>HJXXIII</v>
      </c>
      <c r="D125" s="390" t="str">
        <f ca="1">IFERROR(__xludf.UNSUPPORTED("""COMPUTED_VALUE"""),"FHEMIG")</f>
        <v>FHEMIG</v>
      </c>
      <c r="E125" s="390" t="str">
        <f ca="1">IFERROR(__xludf.UNSUPPORTED("""COMPUTED_VALUE"""),"TCR")</f>
        <v>TCR</v>
      </c>
      <c r="F125" s="390" t="str">
        <f ca="1">IFERROR(__xludf.UNSUPPORTED("""COMPUTED_VALUE"""),"Observacional retrospectivo")</f>
        <v>Observacional retrospectivo</v>
      </c>
      <c r="G125" s="390" t="str">
        <f ca="1">IFERROR(__xludf.UNSUPPORTED("""COMPUTED_VALUE"""),"Grazyelle / Natasha")</f>
        <v>Grazyelle / Natasha</v>
      </c>
      <c r="H125" s="389" t="str">
        <f ca="1">IFERROR(__xludf.UNSUPPORTED("""COMPUTED_VALUE"""),"ABC")</f>
        <v>ABC</v>
      </c>
      <c r="I125" s="389" t="str">
        <f ca="1">IFERROR(__xludf.UNSUPPORTED("""COMPUTED_VALUE"""),"NA")</f>
        <v>NA</v>
      </c>
      <c r="J125" s="389" t="str">
        <f ca="1">IFERROR(__xludf.UNSUPPORTED("""COMPUTED_VALUE"""),"NA")</f>
        <v>NA</v>
      </c>
      <c r="K125" s="389" t="str">
        <f ca="1">IFERROR(__xludf.UNSUPPORTED("""COMPUTED_VALUE"""),"NA")</f>
        <v>NA</v>
      </c>
      <c r="L125" s="389" t="str">
        <f ca="1">IFERROR(__xludf.UNSUPPORTED("""COMPUTED_VALUE"""),"NA")</f>
        <v>NA</v>
      </c>
    </row>
    <row r="126" spans="2:12">
      <c r="B126" s="389" t="str">
        <f ca="1">IFERROR(__xludf.UNSUPPORTED("""COMPUTED_VALUE"""),"RESIDENTE MULTI")</f>
        <v>RESIDENTE MULTI</v>
      </c>
      <c r="C126" s="390"/>
      <c r="D126" s="390"/>
      <c r="E126" s="390"/>
      <c r="F126" s="390"/>
      <c r="G126" s="390"/>
    </row>
    <row r="127" spans="2:12">
      <c r="C127" s="390"/>
      <c r="D127" s="390"/>
      <c r="E127" s="390"/>
      <c r="F127" s="390"/>
      <c r="G127" s="390"/>
    </row>
    <row r="128" spans="2:12">
      <c r="C128" s="390"/>
      <c r="D128" s="390"/>
      <c r="E128" s="390"/>
      <c r="F128" s="390"/>
      <c r="G128" s="390"/>
    </row>
    <row r="129" spans="3:7">
      <c r="C129" s="390"/>
      <c r="D129" s="390"/>
      <c r="E129" s="390"/>
      <c r="F129" s="390"/>
      <c r="G129" s="390"/>
    </row>
    <row r="130" spans="3:7">
      <c r="C130" s="390"/>
      <c r="D130" s="390"/>
      <c r="E130" s="390"/>
      <c r="F130" s="390"/>
      <c r="G130" s="390"/>
    </row>
    <row r="131" spans="3:7">
      <c r="C131" s="390"/>
      <c r="D131" s="390"/>
      <c r="E131" s="390"/>
      <c r="F131" s="390"/>
      <c r="G131" s="390"/>
    </row>
    <row r="132" spans="3:7">
      <c r="C132" s="390"/>
      <c r="D132" s="390"/>
      <c r="E132" s="390"/>
      <c r="F132" s="390"/>
      <c r="G132" s="390"/>
    </row>
    <row r="133" spans="3:7">
      <c r="C133" s="390"/>
      <c r="D133" s="390"/>
      <c r="E133" s="390"/>
      <c r="F133" s="390"/>
      <c r="G133" s="390"/>
    </row>
    <row r="134" spans="3:7">
      <c r="C134" s="390"/>
      <c r="D134" s="390"/>
      <c r="E134" s="390"/>
      <c r="F134" s="390"/>
      <c r="G134" s="390"/>
    </row>
    <row r="135" spans="3:7">
      <c r="C135" s="390"/>
      <c r="D135" s="390"/>
      <c r="E135" s="390"/>
      <c r="F135" s="390"/>
      <c r="G135" s="390"/>
    </row>
    <row r="136" spans="3:7">
      <c r="C136" s="390"/>
      <c r="D136" s="390"/>
      <c r="E136" s="390"/>
      <c r="F136" s="390"/>
      <c r="G136" s="390"/>
    </row>
    <row r="137" spans="3:7">
      <c r="C137" s="390"/>
      <c r="D137" s="390"/>
      <c r="E137" s="390"/>
      <c r="F137" s="390"/>
      <c r="G137" s="390"/>
    </row>
    <row r="138" spans="3:7">
      <c r="C138" s="390"/>
      <c r="D138" s="390"/>
      <c r="E138" s="390"/>
      <c r="F138" s="390"/>
      <c r="G138" s="390"/>
    </row>
    <row r="139" spans="3:7">
      <c r="C139" s="390"/>
      <c r="D139" s="390"/>
      <c r="E139" s="390"/>
      <c r="F139" s="390"/>
      <c r="G139" s="390"/>
    </row>
    <row r="140" spans="3:7">
      <c r="C140" s="390"/>
      <c r="D140" s="390"/>
      <c r="E140" s="390"/>
      <c r="F140" s="390"/>
      <c r="G140" s="390"/>
    </row>
    <row r="141" spans="3:7">
      <c r="C141" s="390"/>
      <c r="D141" s="390"/>
      <c r="E141" s="390"/>
      <c r="F141" s="390"/>
      <c r="G141" s="390"/>
    </row>
    <row r="142" spans="3:7">
      <c r="C142" s="390"/>
      <c r="D142" s="390"/>
      <c r="E142" s="390"/>
      <c r="F142" s="390"/>
      <c r="G142" s="390"/>
    </row>
    <row r="143" spans="3:7">
      <c r="C143" s="390"/>
      <c r="D143" s="390"/>
      <c r="E143" s="390"/>
      <c r="F143" s="390"/>
      <c r="G143" s="390"/>
    </row>
    <row r="144" spans="3:7">
      <c r="C144" s="390"/>
      <c r="D144" s="390"/>
      <c r="E144" s="390"/>
      <c r="F144" s="390"/>
      <c r="G144" s="390"/>
    </row>
    <row r="145" spans="3:7">
      <c r="C145" s="390"/>
      <c r="D145" s="390"/>
      <c r="E145" s="390"/>
      <c r="F145" s="390"/>
      <c r="G145" s="390"/>
    </row>
    <row r="146" spans="3:7">
      <c r="C146" s="390"/>
      <c r="D146" s="390"/>
      <c r="E146" s="390"/>
      <c r="F146" s="390"/>
      <c r="G146" s="390"/>
    </row>
    <row r="147" spans="3:7">
      <c r="C147" s="390"/>
      <c r="D147" s="390"/>
      <c r="E147" s="390"/>
      <c r="F147" s="390"/>
      <c r="G147" s="390"/>
    </row>
    <row r="148" spans="3:7">
      <c r="C148" s="390"/>
      <c r="D148" s="390"/>
      <c r="E148" s="390"/>
      <c r="F148" s="390"/>
      <c r="G148" s="390"/>
    </row>
    <row r="149" spans="3:7">
      <c r="C149" s="390"/>
      <c r="D149" s="390"/>
      <c r="E149" s="390"/>
      <c r="F149" s="390"/>
      <c r="G149" s="390"/>
    </row>
    <row r="150" spans="3:7">
      <c r="C150" s="390"/>
      <c r="D150" s="390"/>
      <c r="E150" s="390"/>
      <c r="F150" s="390"/>
      <c r="G150" s="390"/>
    </row>
    <row r="151" spans="3:7">
      <c r="C151" s="390"/>
      <c r="D151" s="390"/>
      <c r="E151" s="390"/>
      <c r="F151" s="390"/>
      <c r="G151" s="390"/>
    </row>
    <row r="152" spans="3:7">
      <c r="C152" s="390"/>
      <c r="D152" s="390"/>
      <c r="E152" s="390"/>
      <c r="F152" s="390"/>
      <c r="G152" s="390"/>
    </row>
    <row r="153" spans="3:7">
      <c r="C153" s="390"/>
      <c r="D153" s="390"/>
      <c r="E153" s="390"/>
      <c r="F153" s="390"/>
      <c r="G153" s="390"/>
    </row>
    <row r="154" spans="3:7">
      <c r="C154" s="390"/>
      <c r="D154" s="390"/>
      <c r="E154" s="390"/>
      <c r="F154" s="390"/>
      <c r="G154" s="390"/>
    </row>
    <row r="155" spans="3:7">
      <c r="C155" s="390"/>
      <c r="D155" s="390"/>
      <c r="E155" s="390"/>
      <c r="F155" s="390"/>
      <c r="G155" s="390"/>
    </row>
    <row r="156" spans="3:7">
      <c r="C156" s="390"/>
      <c r="D156" s="390"/>
      <c r="E156" s="390"/>
      <c r="F156" s="390"/>
      <c r="G156" s="390"/>
    </row>
    <row r="157" spans="3:7">
      <c r="C157" s="390"/>
      <c r="D157" s="390"/>
      <c r="E157" s="390"/>
      <c r="F157" s="390"/>
      <c r="G157" s="390"/>
    </row>
    <row r="158" spans="3:7">
      <c r="C158" s="390"/>
      <c r="D158" s="390"/>
      <c r="E158" s="390"/>
      <c r="F158" s="390"/>
      <c r="G158" s="390"/>
    </row>
    <row r="159" spans="3:7">
      <c r="C159" s="390"/>
      <c r="D159" s="390"/>
      <c r="E159" s="390"/>
      <c r="F159" s="390"/>
      <c r="G159" s="390"/>
    </row>
    <row r="160" spans="3:7">
      <c r="C160" s="390"/>
      <c r="D160" s="390"/>
      <c r="E160" s="390"/>
      <c r="F160" s="390"/>
      <c r="G160" s="390"/>
    </row>
    <row r="161" spans="3:7">
      <c r="C161" s="390"/>
      <c r="D161" s="390"/>
      <c r="E161" s="390"/>
      <c r="F161" s="390"/>
      <c r="G161" s="390"/>
    </row>
    <row r="162" spans="3:7">
      <c r="C162" s="390"/>
      <c r="D162" s="390"/>
      <c r="E162" s="390"/>
      <c r="F162" s="390"/>
      <c r="G162" s="390"/>
    </row>
    <row r="163" spans="3:7">
      <c r="C163" s="390"/>
      <c r="D163" s="390"/>
      <c r="E163" s="390"/>
      <c r="F163" s="390"/>
      <c r="G163" s="390"/>
    </row>
    <row r="164" spans="3:7">
      <c r="C164" s="390"/>
      <c r="D164" s="390"/>
      <c r="E164" s="390"/>
      <c r="F164" s="390"/>
      <c r="G164" s="390"/>
    </row>
    <row r="165" spans="3:7">
      <c r="C165" s="390"/>
      <c r="D165" s="390"/>
      <c r="E165" s="390"/>
      <c r="F165" s="390"/>
      <c r="G165" s="390"/>
    </row>
    <row r="166" spans="3:7">
      <c r="C166" s="390"/>
      <c r="D166" s="390"/>
      <c r="E166" s="390"/>
      <c r="F166" s="390"/>
      <c r="G166" s="390"/>
    </row>
    <row r="167" spans="3:7">
      <c r="C167" s="390"/>
      <c r="D167" s="390"/>
      <c r="E167" s="390"/>
      <c r="F167" s="390"/>
      <c r="G167" s="390"/>
    </row>
    <row r="168" spans="3:7">
      <c r="C168" s="390"/>
      <c r="D168" s="390"/>
      <c r="E168" s="390"/>
      <c r="F168" s="390"/>
      <c r="G168" s="390"/>
    </row>
    <row r="169" spans="3:7">
      <c r="C169" s="390"/>
      <c r="D169" s="390"/>
      <c r="E169" s="390"/>
      <c r="F169" s="390"/>
      <c r="G169" s="390"/>
    </row>
    <row r="170" spans="3:7">
      <c r="C170" s="390"/>
      <c r="D170" s="390"/>
      <c r="E170" s="390"/>
      <c r="F170" s="390"/>
      <c r="G170" s="390"/>
    </row>
    <row r="171" spans="3:7">
      <c r="C171" s="390"/>
      <c r="D171" s="390"/>
      <c r="E171" s="390"/>
      <c r="F171" s="390"/>
      <c r="G171" s="390"/>
    </row>
    <row r="172" spans="3:7">
      <c r="C172" s="390"/>
      <c r="D172" s="390"/>
      <c r="E172" s="390"/>
      <c r="F172" s="390"/>
      <c r="G172" s="390"/>
    </row>
    <row r="173" spans="3:7">
      <c r="C173" s="390"/>
      <c r="D173" s="390"/>
      <c r="E173" s="390"/>
      <c r="F173" s="390"/>
      <c r="G173" s="390"/>
    </row>
    <row r="174" spans="3:7">
      <c r="C174" s="390"/>
      <c r="D174" s="390"/>
      <c r="E174" s="390"/>
      <c r="F174" s="390"/>
      <c r="G174" s="390"/>
    </row>
    <row r="175" spans="3:7">
      <c r="C175" s="390"/>
      <c r="D175" s="390"/>
      <c r="E175" s="390"/>
      <c r="F175" s="390"/>
      <c r="G175" s="390"/>
    </row>
    <row r="176" spans="3:7">
      <c r="C176" s="390"/>
      <c r="D176" s="390"/>
      <c r="E176" s="390"/>
      <c r="F176" s="390"/>
      <c r="G176" s="390"/>
    </row>
    <row r="177" spans="3:7">
      <c r="C177" s="390"/>
      <c r="D177" s="390"/>
      <c r="E177" s="390"/>
      <c r="F177" s="390"/>
      <c r="G177" s="390"/>
    </row>
    <row r="178" spans="3:7">
      <c r="C178" s="390"/>
      <c r="D178" s="390"/>
      <c r="E178" s="390"/>
      <c r="F178" s="390"/>
      <c r="G178" s="390"/>
    </row>
    <row r="179" spans="3:7">
      <c r="C179" s="390"/>
      <c r="D179" s="390"/>
      <c r="E179" s="390"/>
      <c r="F179" s="390"/>
      <c r="G179" s="390"/>
    </row>
    <row r="180" spans="3:7">
      <c r="C180" s="390"/>
      <c r="D180" s="390"/>
      <c r="E180" s="390"/>
      <c r="F180" s="390"/>
      <c r="G180" s="390"/>
    </row>
    <row r="181" spans="3:7">
      <c r="C181" s="390"/>
      <c r="D181" s="390"/>
      <c r="E181" s="390"/>
      <c r="F181" s="390"/>
      <c r="G181" s="390"/>
    </row>
    <row r="182" spans="3:7">
      <c r="C182" s="390"/>
      <c r="D182" s="390"/>
      <c r="E182" s="390"/>
      <c r="F182" s="390"/>
      <c r="G182" s="390"/>
    </row>
    <row r="183" spans="3:7">
      <c r="C183" s="390"/>
      <c r="D183" s="390"/>
      <c r="E183" s="390"/>
      <c r="F183" s="390"/>
      <c r="G183" s="390"/>
    </row>
    <row r="184" spans="3:7">
      <c r="C184" s="390"/>
      <c r="D184" s="390"/>
      <c r="E184" s="390"/>
      <c r="F184" s="390"/>
      <c r="G184" s="390"/>
    </row>
    <row r="185" spans="3:7">
      <c r="C185" s="390"/>
      <c r="D185" s="390"/>
      <c r="E185" s="390"/>
      <c r="F185" s="390"/>
      <c r="G185" s="390"/>
    </row>
    <row r="186" spans="3:7">
      <c r="C186" s="390"/>
      <c r="D186" s="390"/>
      <c r="E186" s="390"/>
      <c r="F186" s="390"/>
      <c r="G186" s="390"/>
    </row>
    <row r="187" spans="3:7">
      <c r="C187" s="390"/>
      <c r="D187" s="390"/>
      <c r="E187" s="390"/>
      <c r="F187" s="390"/>
      <c r="G187" s="390"/>
    </row>
    <row r="188" spans="3:7">
      <c r="C188" s="390"/>
      <c r="D188" s="390"/>
      <c r="E188" s="390"/>
      <c r="F188" s="390"/>
      <c r="G188" s="390"/>
    </row>
    <row r="189" spans="3:7">
      <c r="C189" s="390"/>
      <c r="D189" s="390"/>
      <c r="E189" s="390"/>
      <c r="F189" s="390"/>
      <c r="G189" s="390"/>
    </row>
    <row r="190" spans="3:7">
      <c r="C190" s="390"/>
      <c r="D190" s="390"/>
      <c r="E190" s="390"/>
      <c r="F190" s="390"/>
      <c r="G190" s="390"/>
    </row>
    <row r="191" spans="3:7">
      <c r="C191" s="390"/>
      <c r="D191" s="390"/>
      <c r="E191" s="390"/>
      <c r="F191" s="390"/>
      <c r="G191" s="390"/>
    </row>
    <row r="192" spans="3:7">
      <c r="C192" s="390"/>
      <c r="D192" s="390"/>
      <c r="E192" s="390"/>
      <c r="F192" s="390"/>
      <c r="G192" s="390"/>
    </row>
    <row r="193" spans="3:7">
      <c r="C193" s="390"/>
      <c r="D193" s="390"/>
      <c r="E193" s="390"/>
      <c r="F193" s="390"/>
      <c r="G193" s="390"/>
    </row>
    <row r="194" spans="3:7">
      <c r="C194" s="390"/>
      <c r="D194" s="390"/>
      <c r="E194" s="390"/>
      <c r="F194" s="390"/>
      <c r="G194" s="390"/>
    </row>
    <row r="195" spans="3:7">
      <c r="C195" s="390"/>
      <c r="D195" s="390"/>
      <c r="E195" s="390"/>
      <c r="F195" s="390"/>
      <c r="G195" s="390"/>
    </row>
    <row r="196" spans="3:7">
      <c r="C196" s="390"/>
      <c r="D196" s="390"/>
      <c r="E196" s="390"/>
      <c r="F196" s="390"/>
      <c r="G196" s="390"/>
    </row>
    <row r="197" spans="3:7">
      <c r="C197" s="390"/>
      <c r="D197" s="390"/>
      <c r="E197" s="390"/>
      <c r="F197" s="390"/>
      <c r="G197" s="390"/>
    </row>
    <row r="198" spans="3:7">
      <c r="C198" s="390"/>
      <c r="D198" s="390"/>
      <c r="E198" s="390"/>
      <c r="F198" s="390"/>
      <c r="G198" s="390"/>
    </row>
    <row r="199" spans="3:7">
      <c r="C199" s="390"/>
      <c r="D199" s="390"/>
      <c r="E199" s="390"/>
      <c r="F199" s="390"/>
      <c r="G199" s="390"/>
    </row>
    <row r="200" spans="3:7">
      <c r="C200" s="390"/>
      <c r="D200" s="390"/>
      <c r="E200" s="390"/>
      <c r="F200" s="390"/>
      <c r="G200" s="390"/>
    </row>
    <row r="201" spans="3:7">
      <c r="C201" s="390"/>
      <c r="D201" s="390"/>
      <c r="E201" s="390"/>
      <c r="F201" s="390"/>
      <c r="G201" s="390"/>
    </row>
    <row r="202" spans="3:7">
      <c r="C202" s="390"/>
      <c r="D202" s="390"/>
      <c r="E202" s="390"/>
      <c r="F202" s="390"/>
      <c r="G202" s="390"/>
    </row>
    <row r="203" spans="3:7">
      <c r="C203" s="390"/>
      <c r="D203" s="390"/>
      <c r="E203" s="390"/>
      <c r="F203" s="390"/>
      <c r="G203" s="390"/>
    </row>
    <row r="204" spans="3:7">
      <c r="C204" s="390"/>
      <c r="D204" s="390"/>
      <c r="E204" s="390"/>
      <c r="F204" s="390"/>
      <c r="G204" s="390"/>
    </row>
    <row r="205" spans="3:7">
      <c r="C205" s="390"/>
      <c r="D205" s="390"/>
      <c r="E205" s="390"/>
      <c r="F205" s="390"/>
      <c r="G205" s="390"/>
    </row>
    <row r="206" spans="3:7">
      <c r="C206" s="390"/>
      <c r="D206" s="390"/>
      <c r="E206" s="390"/>
      <c r="F206" s="390"/>
      <c r="G206" s="390"/>
    </row>
    <row r="207" spans="3:7">
      <c r="C207" s="390"/>
      <c r="D207" s="390"/>
      <c r="E207" s="390"/>
      <c r="F207" s="390"/>
      <c r="G207" s="390"/>
    </row>
    <row r="208" spans="3:7">
      <c r="C208" s="390"/>
      <c r="D208" s="390"/>
      <c r="E208" s="390"/>
      <c r="F208" s="390"/>
      <c r="G208" s="390"/>
    </row>
    <row r="209" spans="3:7">
      <c r="C209" s="390"/>
      <c r="D209" s="390"/>
      <c r="E209" s="390"/>
      <c r="F209" s="390"/>
      <c r="G209" s="390"/>
    </row>
    <row r="210" spans="3:7">
      <c r="C210" s="390"/>
      <c r="D210" s="390"/>
      <c r="E210" s="390"/>
      <c r="F210" s="390"/>
      <c r="G210" s="390"/>
    </row>
    <row r="211" spans="3:7">
      <c r="C211" s="390"/>
      <c r="D211" s="390"/>
      <c r="E211" s="390"/>
      <c r="F211" s="390"/>
      <c r="G211" s="390"/>
    </row>
    <row r="212" spans="3:7">
      <c r="C212" s="390"/>
      <c r="D212" s="390"/>
      <c r="E212" s="390"/>
      <c r="F212" s="390"/>
      <c r="G212" s="390"/>
    </row>
    <row r="213" spans="3:7">
      <c r="C213" s="390"/>
      <c r="D213" s="390"/>
      <c r="E213" s="390"/>
      <c r="F213" s="390"/>
      <c r="G213" s="390"/>
    </row>
    <row r="214" spans="3:7">
      <c r="C214" s="390"/>
      <c r="D214" s="390"/>
      <c r="E214" s="390"/>
      <c r="F214" s="390"/>
      <c r="G214" s="390"/>
    </row>
    <row r="215" spans="3:7">
      <c r="C215" s="390"/>
      <c r="D215" s="390"/>
      <c r="E215" s="390"/>
      <c r="F215" s="390"/>
      <c r="G215" s="390"/>
    </row>
    <row r="216" spans="3:7">
      <c r="C216" s="390"/>
      <c r="D216" s="390"/>
      <c r="E216" s="390"/>
      <c r="F216" s="390"/>
      <c r="G216" s="390"/>
    </row>
    <row r="217" spans="3:7">
      <c r="C217" s="390"/>
      <c r="D217" s="390"/>
      <c r="E217" s="390"/>
      <c r="F217" s="390"/>
      <c r="G217" s="390"/>
    </row>
    <row r="218" spans="3:7">
      <c r="C218" s="390"/>
      <c r="D218" s="390"/>
      <c r="E218" s="390"/>
      <c r="F218" s="390"/>
      <c r="G218" s="390"/>
    </row>
    <row r="219" spans="3:7">
      <c r="C219" s="390"/>
      <c r="D219" s="390"/>
      <c r="E219" s="390"/>
      <c r="F219" s="390"/>
      <c r="G219" s="390"/>
    </row>
    <row r="220" spans="3:7">
      <c r="C220" s="390"/>
      <c r="D220" s="390"/>
      <c r="E220" s="390"/>
      <c r="F220" s="390"/>
      <c r="G220" s="390"/>
    </row>
    <row r="221" spans="3:7">
      <c r="C221" s="390"/>
      <c r="D221" s="390"/>
      <c r="E221" s="390"/>
      <c r="F221" s="390"/>
      <c r="G221" s="390"/>
    </row>
    <row r="222" spans="3:7">
      <c r="C222" s="390"/>
      <c r="D222" s="390"/>
      <c r="E222" s="390"/>
      <c r="F222" s="390"/>
      <c r="G222" s="390"/>
    </row>
    <row r="223" spans="3:7">
      <c r="C223" s="390"/>
      <c r="D223" s="390"/>
      <c r="E223" s="390"/>
      <c r="F223" s="390"/>
      <c r="G223" s="390"/>
    </row>
    <row r="224" spans="3:7">
      <c r="C224" s="390"/>
      <c r="D224" s="390"/>
      <c r="E224" s="390"/>
      <c r="F224" s="390"/>
      <c r="G224" s="390"/>
    </row>
    <row r="225" spans="3:7">
      <c r="C225" s="390"/>
      <c r="D225" s="390"/>
      <c r="E225" s="390"/>
      <c r="F225" s="390"/>
      <c r="G225" s="390"/>
    </row>
    <row r="226" spans="3:7">
      <c r="C226" s="390"/>
      <c r="D226" s="390"/>
      <c r="E226" s="390"/>
      <c r="F226" s="390"/>
      <c r="G226" s="390"/>
    </row>
    <row r="227" spans="3:7">
      <c r="C227" s="390"/>
      <c r="D227" s="390"/>
      <c r="E227" s="390"/>
      <c r="F227" s="390"/>
      <c r="G227" s="390"/>
    </row>
    <row r="228" spans="3:7">
      <c r="C228" s="390"/>
      <c r="D228" s="390"/>
      <c r="E228" s="390"/>
      <c r="F228" s="390"/>
      <c r="G228" s="390"/>
    </row>
    <row r="229" spans="3:7">
      <c r="C229" s="390"/>
      <c r="D229" s="390"/>
      <c r="E229" s="390"/>
      <c r="F229" s="390"/>
      <c r="G229" s="390"/>
    </row>
    <row r="230" spans="3:7">
      <c r="C230" s="390"/>
      <c r="D230" s="390"/>
      <c r="E230" s="390"/>
      <c r="F230" s="390"/>
      <c r="G230" s="390"/>
    </row>
    <row r="231" spans="3:7">
      <c r="C231" s="390"/>
      <c r="D231" s="390"/>
      <c r="E231" s="390"/>
      <c r="F231" s="390"/>
      <c r="G231" s="390"/>
    </row>
    <row r="232" spans="3:7">
      <c r="C232" s="390"/>
      <c r="D232" s="390"/>
      <c r="E232" s="390"/>
      <c r="F232" s="390"/>
      <c r="G232" s="390"/>
    </row>
    <row r="233" spans="3:7">
      <c r="C233" s="390"/>
      <c r="D233" s="390"/>
      <c r="E233" s="390"/>
      <c r="F233" s="390"/>
      <c r="G233" s="390"/>
    </row>
    <row r="234" spans="3:7">
      <c r="C234" s="390"/>
      <c r="D234" s="390"/>
      <c r="E234" s="390"/>
      <c r="F234" s="390"/>
      <c r="G234" s="390"/>
    </row>
    <row r="235" spans="3:7">
      <c r="C235" s="390"/>
      <c r="D235" s="390"/>
      <c r="E235" s="390"/>
      <c r="F235" s="390"/>
      <c r="G235" s="390"/>
    </row>
    <row r="236" spans="3:7">
      <c r="C236" s="390"/>
      <c r="D236" s="390"/>
      <c r="E236" s="390"/>
      <c r="F236" s="390"/>
      <c r="G236" s="390"/>
    </row>
    <row r="237" spans="3:7">
      <c r="C237" s="390"/>
      <c r="D237" s="390"/>
      <c r="E237" s="390"/>
      <c r="F237" s="390"/>
      <c r="G237" s="390"/>
    </row>
    <row r="238" spans="3:7">
      <c r="C238" s="390"/>
      <c r="D238" s="390"/>
      <c r="E238" s="390"/>
      <c r="F238" s="390"/>
      <c r="G238" s="390"/>
    </row>
    <row r="239" spans="3:7">
      <c r="C239" s="390"/>
      <c r="D239" s="390"/>
      <c r="E239" s="390"/>
      <c r="F239" s="390"/>
      <c r="G239" s="390"/>
    </row>
    <row r="240" spans="3:7">
      <c r="C240" s="390"/>
      <c r="D240" s="390"/>
      <c r="E240" s="390"/>
      <c r="F240" s="390"/>
      <c r="G240" s="390"/>
    </row>
    <row r="241" spans="3:7">
      <c r="C241" s="390"/>
      <c r="D241" s="390"/>
      <c r="E241" s="390"/>
      <c r="F241" s="390"/>
      <c r="G241" s="390"/>
    </row>
    <row r="242" spans="3:7">
      <c r="C242" s="390"/>
      <c r="D242" s="390"/>
      <c r="E242" s="390"/>
      <c r="F242" s="390"/>
      <c r="G242" s="390"/>
    </row>
    <row r="243" spans="3:7">
      <c r="C243" s="390"/>
      <c r="D243" s="390"/>
      <c r="E243" s="390"/>
      <c r="F243" s="390"/>
      <c r="G243" s="390"/>
    </row>
    <row r="244" spans="3:7">
      <c r="C244" s="390"/>
      <c r="D244" s="390"/>
      <c r="E244" s="390"/>
      <c r="F244" s="390"/>
      <c r="G244" s="390"/>
    </row>
    <row r="245" spans="3:7">
      <c r="C245" s="390"/>
      <c r="D245" s="390"/>
      <c r="E245" s="390"/>
      <c r="F245" s="390"/>
      <c r="G245" s="390"/>
    </row>
    <row r="246" spans="3:7">
      <c r="C246" s="390"/>
      <c r="D246" s="390"/>
      <c r="E246" s="390"/>
      <c r="F246" s="390"/>
      <c r="G246" s="390"/>
    </row>
    <row r="247" spans="3:7">
      <c r="C247" s="390"/>
      <c r="D247" s="390"/>
      <c r="E247" s="390"/>
      <c r="F247" s="390"/>
      <c r="G247" s="390"/>
    </row>
    <row r="248" spans="3:7">
      <c r="C248" s="390"/>
      <c r="D248" s="390"/>
      <c r="E248" s="390"/>
      <c r="F248" s="390"/>
      <c r="G248" s="390"/>
    </row>
    <row r="249" spans="3:7">
      <c r="C249" s="390"/>
      <c r="D249" s="390"/>
      <c r="E249" s="390"/>
      <c r="F249" s="390"/>
      <c r="G249" s="390"/>
    </row>
    <row r="250" spans="3:7">
      <c r="C250" s="390"/>
      <c r="D250" s="390"/>
      <c r="E250" s="390"/>
      <c r="F250" s="390"/>
      <c r="G250" s="390"/>
    </row>
    <row r="251" spans="3:7">
      <c r="C251" s="390"/>
      <c r="D251" s="390"/>
      <c r="E251" s="390"/>
      <c r="F251" s="390"/>
      <c r="G251" s="390"/>
    </row>
    <row r="252" spans="3:7">
      <c r="C252" s="390"/>
      <c r="D252" s="390"/>
      <c r="E252" s="390"/>
      <c r="F252" s="390"/>
      <c r="G252" s="390"/>
    </row>
    <row r="253" spans="3:7">
      <c r="C253" s="390"/>
      <c r="D253" s="390"/>
      <c r="E253" s="390"/>
      <c r="F253" s="390"/>
      <c r="G253" s="390"/>
    </row>
    <row r="254" spans="3:7">
      <c r="C254" s="390"/>
      <c r="D254" s="390"/>
      <c r="E254" s="390"/>
      <c r="F254" s="390"/>
      <c r="G254" s="390"/>
    </row>
    <row r="255" spans="3:7">
      <c r="C255" s="390"/>
      <c r="D255" s="390"/>
      <c r="E255" s="390"/>
      <c r="F255" s="390"/>
      <c r="G255" s="390"/>
    </row>
    <row r="256" spans="3:7">
      <c r="C256" s="390"/>
      <c r="D256" s="390"/>
      <c r="E256" s="390"/>
      <c r="F256" s="390"/>
      <c r="G256" s="390"/>
    </row>
    <row r="257" spans="3:7">
      <c r="C257" s="390"/>
      <c r="D257" s="390"/>
      <c r="E257" s="390"/>
      <c r="F257" s="390"/>
      <c r="G257" s="390"/>
    </row>
    <row r="258" spans="3:7">
      <c r="C258" s="390"/>
      <c r="D258" s="390"/>
      <c r="E258" s="390"/>
      <c r="F258" s="390"/>
      <c r="G258" s="390"/>
    </row>
    <row r="259" spans="3:7">
      <c r="C259" s="390"/>
      <c r="D259" s="390"/>
      <c r="E259" s="390"/>
      <c r="F259" s="390"/>
      <c r="G259" s="390"/>
    </row>
    <row r="260" spans="3:7">
      <c r="C260" s="390"/>
      <c r="D260" s="390"/>
      <c r="E260" s="390"/>
      <c r="F260" s="390"/>
      <c r="G260" s="390"/>
    </row>
    <row r="261" spans="3:7">
      <c r="C261" s="390"/>
      <c r="D261" s="390"/>
      <c r="E261" s="390"/>
      <c r="F261" s="390"/>
      <c r="G261" s="390"/>
    </row>
    <row r="262" spans="3:7">
      <c r="C262" s="390"/>
      <c r="D262" s="390"/>
      <c r="E262" s="390"/>
      <c r="F262" s="390"/>
      <c r="G262" s="390"/>
    </row>
    <row r="263" spans="3:7">
      <c r="C263" s="390"/>
      <c r="D263" s="390"/>
      <c r="E263" s="390"/>
      <c r="F263" s="390"/>
      <c r="G263" s="390"/>
    </row>
    <row r="264" spans="3:7">
      <c r="C264" s="390"/>
      <c r="D264" s="390"/>
      <c r="E264" s="390"/>
      <c r="F264" s="390"/>
      <c r="G264" s="390"/>
    </row>
    <row r="265" spans="3:7">
      <c r="C265" s="390"/>
      <c r="D265" s="390"/>
      <c r="E265" s="390"/>
      <c r="F265" s="390"/>
      <c r="G265" s="390"/>
    </row>
    <row r="266" spans="3:7">
      <c r="C266" s="390"/>
      <c r="D266" s="390"/>
      <c r="E266" s="390"/>
      <c r="F266" s="390"/>
      <c r="G266" s="390"/>
    </row>
    <row r="267" spans="3:7">
      <c r="C267" s="390"/>
      <c r="D267" s="390"/>
      <c r="E267" s="390"/>
      <c r="F267" s="390"/>
      <c r="G267" s="390"/>
    </row>
    <row r="268" spans="3:7">
      <c r="C268" s="390"/>
      <c r="D268" s="390"/>
      <c r="E268" s="390"/>
      <c r="F268" s="390"/>
      <c r="G268" s="390"/>
    </row>
    <row r="269" spans="3:7">
      <c r="C269" s="390"/>
      <c r="D269" s="390"/>
      <c r="E269" s="390"/>
      <c r="F269" s="390"/>
      <c r="G269" s="390"/>
    </row>
    <row r="270" spans="3:7">
      <c r="C270" s="390"/>
      <c r="D270" s="390"/>
      <c r="E270" s="390"/>
      <c r="F270" s="390"/>
      <c r="G270" s="390"/>
    </row>
    <row r="271" spans="3:7">
      <c r="C271" s="390"/>
      <c r="D271" s="390"/>
      <c r="E271" s="390"/>
      <c r="F271" s="390"/>
      <c r="G271" s="390"/>
    </row>
    <row r="272" spans="3:7">
      <c r="C272" s="390"/>
      <c r="D272" s="390"/>
      <c r="E272" s="390"/>
      <c r="F272" s="390"/>
      <c r="G272" s="390"/>
    </row>
    <row r="273" spans="3:7">
      <c r="C273" s="390"/>
      <c r="D273" s="390"/>
      <c r="E273" s="390"/>
      <c r="F273" s="390"/>
      <c r="G273" s="390"/>
    </row>
    <row r="274" spans="3:7">
      <c r="C274" s="390"/>
      <c r="D274" s="390"/>
      <c r="E274" s="390"/>
      <c r="F274" s="390"/>
      <c r="G274" s="390"/>
    </row>
    <row r="275" spans="3:7">
      <c r="C275" s="390"/>
      <c r="D275" s="390"/>
      <c r="E275" s="390"/>
      <c r="F275" s="390"/>
      <c r="G275" s="390"/>
    </row>
    <row r="276" spans="3:7">
      <c r="C276" s="390"/>
      <c r="D276" s="390"/>
      <c r="E276" s="390"/>
      <c r="F276" s="390"/>
      <c r="G276" s="390"/>
    </row>
    <row r="277" spans="3:7">
      <c r="C277" s="390"/>
      <c r="D277" s="390"/>
      <c r="E277" s="390"/>
      <c r="F277" s="390"/>
      <c r="G277" s="390"/>
    </row>
    <row r="278" spans="3:7">
      <c r="C278" s="390"/>
      <c r="D278" s="390"/>
      <c r="E278" s="390"/>
      <c r="F278" s="390"/>
      <c r="G278" s="390"/>
    </row>
    <row r="279" spans="3:7">
      <c r="C279" s="390"/>
      <c r="D279" s="390"/>
      <c r="E279" s="390"/>
      <c r="F279" s="390"/>
      <c r="G279" s="390"/>
    </row>
    <row r="280" spans="3:7">
      <c r="C280" s="390"/>
      <c r="D280" s="390"/>
      <c r="E280" s="390"/>
      <c r="F280" s="390"/>
      <c r="G280" s="390"/>
    </row>
    <row r="281" spans="3:7">
      <c r="C281" s="390"/>
      <c r="D281" s="390"/>
      <c r="E281" s="390"/>
      <c r="F281" s="390"/>
      <c r="G281" s="390"/>
    </row>
    <row r="282" spans="3:7">
      <c r="C282" s="390"/>
      <c r="D282" s="390"/>
      <c r="E282" s="390"/>
      <c r="F282" s="390"/>
      <c r="G282" s="390"/>
    </row>
    <row r="283" spans="3:7">
      <c r="C283" s="390"/>
      <c r="D283" s="390"/>
      <c r="E283" s="390"/>
      <c r="F283" s="390"/>
      <c r="G283" s="390"/>
    </row>
    <row r="284" spans="3:7">
      <c r="C284" s="390"/>
      <c r="D284" s="390"/>
      <c r="E284" s="390"/>
      <c r="F284" s="390"/>
      <c r="G284" s="390"/>
    </row>
    <row r="285" spans="3:7">
      <c r="C285" s="390"/>
      <c r="D285" s="390"/>
      <c r="E285" s="390"/>
      <c r="F285" s="390"/>
      <c r="G285" s="390"/>
    </row>
    <row r="286" spans="3:7">
      <c r="C286" s="390"/>
      <c r="D286" s="390"/>
      <c r="E286" s="390"/>
      <c r="F286" s="390"/>
      <c r="G286" s="390"/>
    </row>
    <row r="287" spans="3:7">
      <c r="C287" s="390"/>
      <c r="D287" s="390"/>
      <c r="E287" s="390"/>
      <c r="F287" s="390"/>
      <c r="G287" s="390"/>
    </row>
    <row r="288" spans="3:7">
      <c r="C288" s="390"/>
      <c r="D288" s="390"/>
      <c r="E288" s="390"/>
      <c r="F288" s="390"/>
      <c r="G288" s="390"/>
    </row>
    <row r="289" spans="3:7">
      <c r="C289" s="390"/>
      <c r="D289" s="390"/>
      <c r="E289" s="390"/>
      <c r="F289" s="390"/>
      <c r="G289" s="390"/>
    </row>
    <row r="290" spans="3:7">
      <c r="C290" s="390"/>
      <c r="D290" s="390"/>
      <c r="E290" s="390"/>
      <c r="F290" s="390"/>
      <c r="G290" s="390"/>
    </row>
    <row r="291" spans="3:7">
      <c r="C291" s="390"/>
      <c r="D291" s="390"/>
      <c r="E291" s="390"/>
      <c r="F291" s="390"/>
      <c r="G291" s="390"/>
    </row>
    <row r="292" spans="3:7">
      <c r="C292" s="390"/>
      <c r="D292" s="390"/>
      <c r="E292" s="390"/>
      <c r="F292" s="390"/>
      <c r="G292" s="390"/>
    </row>
    <row r="293" spans="3:7">
      <c r="C293" s="390"/>
      <c r="D293" s="390"/>
      <c r="E293" s="390"/>
      <c r="F293" s="390"/>
      <c r="G293" s="390"/>
    </row>
    <row r="294" spans="3:7">
      <c r="C294" s="390"/>
      <c r="D294" s="390"/>
      <c r="E294" s="390"/>
      <c r="F294" s="390"/>
      <c r="G294" s="390"/>
    </row>
    <row r="295" spans="3:7">
      <c r="C295" s="390"/>
      <c r="D295" s="390"/>
      <c r="E295" s="390"/>
      <c r="F295" s="390"/>
      <c r="G295" s="390"/>
    </row>
    <row r="296" spans="3:7">
      <c r="C296" s="390"/>
      <c r="D296" s="390"/>
      <c r="E296" s="390"/>
      <c r="F296" s="390"/>
      <c r="G296" s="390"/>
    </row>
    <row r="297" spans="3:7">
      <c r="C297" s="390"/>
      <c r="D297" s="390"/>
      <c r="E297" s="390"/>
      <c r="F297" s="390"/>
      <c r="G297" s="390"/>
    </row>
    <row r="298" spans="3:7">
      <c r="C298" s="390"/>
      <c r="D298" s="390"/>
      <c r="E298" s="390"/>
      <c r="F298" s="390"/>
      <c r="G298" s="390"/>
    </row>
    <row r="299" spans="3:7">
      <c r="C299" s="390"/>
      <c r="D299" s="390"/>
      <c r="E299" s="390"/>
      <c r="F299" s="390"/>
      <c r="G299" s="390"/>
    </row>
    <row r="300" spans="3:7">
      <c r="C300" s="390"/>
      <c r="D300" s="390"/>
      <c r="E300" s="390"/>
      <c r="F300" s="390"/>
      <c r="G300" s="390"/>
    </row>
    <row r="301" spans="3:7">
      <c r="C301" s="390"/>
      <c r="D301" s="390"/>
      <c r="E301" s="390"/>
      <c r="F301" s="390"/>
      <c r="G301" s="390"/>
    </row>
    <row r="302" spans="3:7">
      <c r="C302" s="390"/>
      <c r="D302" s="390"/>
      <c r="E302" s="390"/>
      <c r="F302" s="390"/>
      <c r="G302" s="390"/>
    </row>
    <row r="303" spans="3:7">
      <c r="C303" s="390"/>
      <c r="D303" s="390"/>
      <c r="E303" s="390"/>
      <c r="F303" s="390"/>
      <c r="G303" s="390"/>
    </row>
    <row r="304" spans="3:7">
      <c r="C304" s="390"/>
      <c r="D304" s="390"/>
      <c r="E304" s="390"/>
      <c r="F304" s="390"/>
      <c r="G304" s="390"/>
    </row>
    <row r="305" spans="3:7">
      <c r="C305" s="390"/>
      <c r="D305" s="390"/>
      <c r="E305" s="390"/>
      <c r="F305" s="390"/>
      <c r="G305" s="390"/>
    </row>
    <row r="306" spans="3:7">
      <c r="C306" s="390"/>
      <c r="D306" s="390"/>
      <c r="E306" s="390"/>
      <c r="F306" s="390"/>
      <c r="G306" s="390"/>
    </row>
    <row r="307" spans="3:7">
      <c r="C307" s="390"/>
      <c r="D307" s="390"/>
      <c r="E307" s="390"/>
      <c r="F307" s="390"/>
      <c r="G307" s="390"/>
    </row>
    <row r="308" spans="3:7">
      <c r="C308" s="390"/>
      <c r="D308" s="390"/>
      <c r="E308" s="390"/>
      <c r="F308" s="390"/>
      <c r="G308" s="390"/>
    </row>
    <row r="309" spans="3:7">
      <c r="C309" s="390"/>
      <c r="D309" s="390"/>
      <c r="E309" s="390"/>
      <c r="F309" s="390"/>
      <c r="G309" s="390"/>
    </row>
    <row r="310" spans="3:7">
      <c r="C310" s="390"/>
      <c r="D310" s="390"/>
      <c r="E310" s="390"/>
      <c r="F310" s="390"/>
      <c r="G310" s="390"/>
    </row>
    <row r="311" spans="3:7">
      <c r="C311" s="390"/>
      <c r="D311" s="390"/>
      <c r="E311" s="390"/>
      <c r="F311" s="390"/>
      <c r="G311" s="390"/>
    </row>
    <row r="312" spans="3:7">
      <c r="C312" s="390"/>
      <c r="D312" s="390"/>
      <c r="E312" s="390"/>
      <c r="F312" s="390"/>
      <c r="G312" s="390"/>
    </row>
    <row r="313" spans="3:7">
      <c r="C313" s="390"/>
      <c r="D313" s="390"/>
      <c r="E313" s="390"/>
      <c r="F313" s="390"/>
      <c r="G313" s="390"/>
    </row>
    <row r="314" spans="3:7">
      <c r="C314" s="390"/>
      <c r="D314" s="390"/>
      <c r="E314" s="390"/>
      <c r="F314" s="390"/>
      <c r="G314" s="390"/>
    </row>
    <row r="315" spans="3:7">
      <c r="C315" s="390"/>
      <c r="D315" s="390"/>
      <c r="E315" s="390"/>
      <c r="F315" s="390"/>
      <c r="G315" s="390"/>
    </row>
    <row r="316" spans="3:7">
      <c r="C316" s="390"/>
      <c r="D316" s="390"/>
      <c r="E316" s="390"/>
      <c r="F316" s="390"/>
      <c r="G316" s="390"/>
    </row>
    <row r="317" spans="3:7">
      <c r="C317" s="390"/>
      <c r="D317" s="390"/>
      <c r="E317" s="390"/>
      <c r="F317" s="390"/>
      <c r="G317" s="390"/>
    </row>
    <row r="318" spans="3:7">
      <c r="C318" s="390"/>
      <c r="D318" s="390"/>
      <c r="E318" s="390"/>
      <c r="F318" s="390"/>
      <c r="G318" s="390"/>
    </row>
    <row r="319" spans="3:7">
      <c r="C319" s="390"/>
      <c r="D319" s="390"/>
      <c r="E319" s="390"/>
      <c r="F319" s="390"/>
      <c r="G319" s="390"/>
    </row>
    <row r="320" spans="3:7">
      <c r="C320" s="390"/>
      <c r="D320" s="390"/>
      <c r="E320" s="390"/>
      <c r="F320" s="390"/>
      <c r="G320" s="390"/>
    </row>
    <row r="321" spans="3:7">
      <c r="C321" s="390"/>
      <c r="D321" s="390"/>
      <c r="E321" s="390"/>
      <c r="F321" s="390"/>
      <c r="G321" s="390"/>
    </row>
    <row r="322" spans="3:7">
      <c r="C322" s="390"/>
      <c r="D322" s="390"/>
      <c r="E322" s="390"/>
      <c r="F322" s="390"/>
      <c r="G322" s="390"/>
    </row>
    <row r="323" spans="3:7">
      <c r="C323" s="390"/>
      <c r="D323" s="390"/>
      <c r="E323" s="390"/>
      <c r="F323" s="390"/>
      <c r="G323" s="390"/>
    </row>
    <row r="324" spans="3:7">
      <c r="C324" s="390"/>
      <c r="D324" s="390"/>
      <c r="E324" s="390"/>
      <c r="F324" s="390"/>
      <c r="G324" s="390"/>
    </row>
    <row r="325" spans="3:7">
      <c r="C325" s="390"/>
      <c r="D325" s="390"/>
      <c r="E325" s="390"/>
      <c r="F325" s="390"/>
      <c r="G325" s="390"/>
    </row>
    <row r="326" spans="3:7">
      <c r="C326" s="390"/>
      <c r="D326" s="390"/>
      <c r="E326" s="390"/>
      <c r="F326" s="390"/>
      <c r="G326" s="390"/>
    </row>
    <row r="327" spans="3:7">
      <c r="C327" s="390"/>
      <c r="D327" s="390"/>
      <c r="E327" s="390"/>
      <c r="F327" s="390"/>
      <c r="G327" s="390"/>
    </row>
    <row r="328" spans="3:7">
      <c r="C328" s="390"/>
      <c r="D328" s="390"/>
      <c r="E328" s="390"/>
      <c r="F328" s="390"/>
      <c r="G328" s="390"/>
    </row>
    <row r="329" spans="3:7">
      <c r="C329" s="390"/>
      <c r="D329" s="390"/>
      <c r="E329" s="390"/>
      <c r="F329" s="390"/>
      <c r="G329" s="390"/>
    </row>
    <row r="330" spans="3:7">
      <c r="C330" s="390"/>
      <c r="D330" s="390"/>
      <c r="E330" s="390"/>
      <c r="F330" s="390"/>
      <c r="G330" s="390"/>
    </row>
    <row r="331" spans="3:7">
      <c r="C331" s="390"/>
      <c r="D331" s="390"/>
      <c r="E331" s="390"/>
      <c r="F331" s="390"/>
      <c r="G331" s="390"/>
    </row>
    <row r="332" spans="3:7">
      <c r="C332" s="390"/>
      <c r="D332" s="390"/>
      <c r="E332" s="390"/>
      <c r="F332" s="390"/>
      <c r="G332" s="390"/>
    </row>
    <row r="333" spans="3:7">
      <c r="C333" s="390"/>
      <c r="D333" s="390"/>
      <c r="E333" s="390"/>
      <c r="F333" s="390"/>
      <c r="G333" s="390"/>
    </row>
    <row r="334" spans="3:7">
      <c r="C334" s="390"/>
      <c r="D334" s="390"/>
      <c r="E334" s="390"/>
      <c r="F334" s="390"/>
      <c r="G334" s="390"/>
    </row>
    <row r="335" spans="3:7">
      <c r="C335" s="390"/>
      <c r="D335" s="390"/>
      <c r="E335" s="390"/>
      <c r="F335" s="390"/>
      <c r="G335" s="390"/>
    </row>
    <row r="336" spans="3:7">
      <c r="C336" s="390"/>
      <c r="D336" s="390"/>
      <c r="E336" s="390"/>
      <c r="F336" s="390"/>
      <c r="G336" s="390"/>
    </row>
    <row r="337" spans="3:7">
      <c r="C337" s="390"/>
      <c r="D337" s="390"/>
      <c r="E337" s="390"/>
      <c r="F337" s="390"/>
      <c r="G337" s="390"/>
    </row>
    <row r="338" spans="3:7">
      <c r="C338" s="390"/>
      <c r="D338" s="390"/>
      <c r="E338" s="390"/>
      <c r="F338" s="390"/>
      <c r="G338" s="390"/>
    </row>
    <row r="339" spans="3:7">
      <c r="C339" s="390"/>
      <c r="D339" s="390"/>
      <c r="E339" s="390"/>
      <c r="F339" s="390"/>
      <c r="G339" s="390"/>
    </row>
    <row r="340" spans="3:7">
      <c r="C340" s="390"/>
      <c r="D340" s="390"/>
      <c r="E340" s="390"/>
      <c r="F340" s="390"/>
      <c r="G340" s="390"/>
    </row>
    <row r="341" spans="3:7">
      <c r="C341" s="390"/>
      <c r="D341" s="390"/>
      <c r="E341" s="390"/>
      <c r="F341" s="390"/>
      <c r="G341" s="390"/>
    </row>
    <row r="342" spans="3:7">
      <c r="C342" s="390"/>
      <c r="D342" s="390"/>
      <c r="E342" s="390"/>
      <c r="F342" s="390"/>
      <c r="G342" s="390"/>
    </row>
    <row r="343" spans="3:7">
      <c r="C343" s="390"/>
      <c r="D343" s="390"/>
      <c r="E343" s="390"/>
      <c r="F343" s="390"/>
      <c r="G343" s="390"/>
    </row>
    <row r="344" spans="3:7">
      <c r="C344" s="390"/>
      <c r="D344" s="390"/>
      <c r="E344" s="390"/>
      <c r="F344" s="390"/>
      <c r="G344" s="390"/>
    </row>
    <row r="345" spans="3:7">
      <c r="C345" s="390"/>
      <c r="D345" s="390"/>
      <c r="E345" s="390"/>
      <c r="F345" s="390"/>
      <c r="G345" s="390"/>
    </row>
    <row r="346" spans="3:7">
      <c r="C346" s="390"/>
      <c r="D346" s="390"/>
      <c r="E346" s="390"/>
      <c r="F346" s="390"/>
      <c r="G346" s="390"/>
    </row>
    <row r="347" spans="3:7">
      <c r="C347" s="390"/>
      <c r="D347" s="390"/>
      <c r="E347" s="390"/>
      <c r="F347" s="390"/>
      <c r="G347" s="390"/>
    </row>
    <row r="348" spans="3:7">
      <c r="C348" s="390"/>
      <c r="D348" s="390"/>
      <c r="E348" s="390"/>
      <c r="F348" s="390"/>
      <c r="G348" s="390"/>
    </row>
    <row r="349" spans="3:7">
      <c r="C349" s="390"/>
      <c r="D349" s="390"/>
      <c r="E349" s="390"/>
      <c r="F349" s="390"/>
      <c r="G349" s="390"/>
    </row>
    <row r="350" spans="3:7">
      <c r="C350" s="390"/>
      <c r="D350" s="390"/>
      <c r="E350" s="390"/>
      <c r="F350" s="390"/>
      <c r="G350" s="390"/>
    </row>
    <row r="351" spans="3:7">
      <c r="C351" s="390"/>
      <c r="D351" s="390"/>
      <c r="E351" s="390"/>
      <c r="F351" s="390"/>
      <c r="G351" s="390"/>
    </row>
    <row r="352" spans="3:7">
      <c r="C352" s="390"/>
      <c r="D352" s="390"/>
      <c r="E352" s="390"/>
      <c r="F352" s="390"/>
      <c r="G352" s="390"/>
    </row>
    <row r="353" spans="3:7">
      <c r="C353" s="390"/>
      <c r="D353" s="390"/>
      <c r="E353" s="390"/>
      <c r="F353" s="390"/>
      <c r="G353" s="390"/>
    </row>
    <row r="354" spans="3:7">
      <c r="C354" s="390"/>
      <c r="D354" s="390"/>
      <c r="E354" s="390"/>
      <c r="F354" s="390"/>
      <c r="G354" s="390"/>
    </row>
    <row r="355" spans="3:7">
      <c r="C355" s="390"/>
      <c r="D355" s="390"/>
      <c r="E355" s="390"/>
      <c r="F355" s="390"/>
      <c r="G355" s="390"/>
    </row>
    <row r="356" spans="3:7">
      <c r="C356" s="390"/>
      <c r="D356" s="390"/>
      <c r="E356" s="390"/>
      <c r="F356" s="390"/>
      <c r="G356" s="390"/>
    </row>
    <row r="357" spans="3:7">
      <c r="C357" s="390"/>
      <c r="D357" s="390"/>
      <c r="E357" s="390"/>
      <c r="F357" s="390"/>
      <c r="G357" s="390"/>
    </row>
    <row r="358" spans="3:7">
      <c r="C358" s="390"/>
      <c r="D358" s="390"/>
      <c r="E358" s="390"/>
      <c r="F358" s="390"/>
      <c r="G358" s="390"/>
    </row>
    <row r="359" spans="3:7">
      <c r="C359" s="390"/>
      <c r="D359" s="390"/>
      <c r="E359" s="390"/>
      <c r="F359" s="390"/>
      <c r="G359" s="390"/>
    </row>
    <row r="360" spans="3:7">
      <c r="C360" s="390"/>
      <c r="D360" s="390"/>
      <c r="E360" s="390"/>
      <c r="F360" s="390"/>
      <c r="G360" s="390"/>
    </row>
    <row r="361" spans="3:7">
      <c r="C361" s="390"/>
      <c r="D361" s="390"/>
      <c r="E361" s="390"/>
      <c r="F361" s="390"/>
      <c r="G361" s="390"/>
    </row>
    <row r="362" spans="3:7">
      <c r="C362" s="390"/>
      <c r="D362" s="390"/>
      <c r="E362" s="390"/>
      <c r="F362" s="390"/>
      <c r="G362" s="390"/>
    </row>
    <row r="363" spans="3:7">
      <c r="C363" s="390"/>
      <c r="D363" s="390"/>
      <c r="E363" s="390"/>
      <c r="F363" s="390"/>
      <c r="G363" s="390"/>
    </row>
    <row r="364" spans="3:7">
      <c r="C364" s="390"/>
      <c r="D364" s="390"/>
      <c r="E364" s="390"/>
      <c r="F364" s="390"/>
      <c r="G364" s="390"/>
    </row>
    <row r="365" spans="3:7">
      <c r="C365" s="390"/>
      <c r="D365" s="390"/>
      <c r="E365" s="390"/>
      <c r="F365" s="390"/>
      <c r="G365" s="390"/>
    </row>
    <row r="366" spans="3:7">
      <c r="C366" s="390"/>
      <c r="D366" s="390"/>
      <c r="E366" s="390"/>
      <c r="F366" s="390"/>
      <c r="G366" s="390"/>
    </row>
    <row r="367" spans="3:7">
      <c r="C367" s="390"/>
      <c r="D367" s="390"/>
      <c r="E367" s="390"/>
      <c r="F367" s="390"/>
      <c r="G367" s="390"/>
    </row>
    <row r="368" spans="3:7">
      <c r="C368" s="390"/>
      <c r="D368" s="390"/>
      <c r="E368" s="390"/>
      <c r="F368" s="390"/>
      <c r="G368" s="390"/>
    </row>
    <row r="369" spans="3:7">
      <c r="C369" s="390"/>
      <c r="D369" s="390"/>
      <c r="E369" s="390"/>
      <c r="F369" s="390"/>
      <c r="G369" s="390"/>
    </row>
    <row r="370" spans="3:7">
      <c r="C370" s="390"/>
      <c r="D370" s="390"/>
      <c r="E370" s="390"/>
      <c r="F370" s="390"/>
      <c r="G370" s="390"/>
    </row>
    <row r="371" spans="3:7">
      <c r="C371" s="390"/>
      <c r="D371" s="390"/>
      <c r="E371" s="390"/>
      <c r="F371" s="390"/>
      <c r="G371" s="390"/>
    </row>
    <row r="372" spans="3:7">
      <c r="C372" s="390"/>
      <c r="D372" s="390"/>
      <c r="E372" s="390"/>
      <c r="F372" s="390"/>
      <c r="G372" s="390"/>
    </row>
    <row r="373" spans="3:7">
      <c r="C373" s="390"/>
      <c r="D373" s="390"/>
      <c r="E373" s="390"/>
      <c r="F373" s="390"/>
      <c r="G373" s="390"/>
    </row>
    <row r="374" spans="3:7">
      <c r="C374" s="390"/>
      <c r="D374" s="390"/>
      <c r="E374" s="390"/>
      <c r="F374" s="390"/>
      <c r="G374" s="390"/>
    </row>
    <row r="375" spans="3:7">
      <c r="C375" s="390"/>
      <c r="D375" s="390"/>
      <c r="E375" s="390"/>
      <c r="F375" s="390"/>
      <c r="G375" s="390"/>
    </row>
    <row r="376" spans="3:7">
      <c r="C376" s="390"/>
      <c r="D376" s="390"/>
      <c r="E376" s="390"/>
      <c r="F376" s="390"/>
      <c r="G376" s="390"/>
    </row>
    <row r="377" spans="3:7">
      <c r="C377" s="390"/>
      <c r="D377" s="390"/>
      <c r="E377" s="390"/>
      <c r="F377" s="390"/>
      <c r="G377" s="390"/>
    </row>
    <row r="378" spans="3:7">
      <c r="C378" s="390"/>
      <c r="D378" s="390"/>
      <c r="E378" s="390"/>
      <c r="F378" s="390"/>
      <c r="G378" s="390"/>
    </row>
    <row r="379" spans="3:7">
      <c r="C379" s="390"/>
      <c r="D379" s="390"/>
      <c r="E379" s="390"/>
      <c r="F379" s="390"/>
      <c r="G379" s="390"/>
    </row>
    <row r="380" spans="3:7">
      <c r="C380" s="390"/>
      <c r="D380" s="390"/>
      <c r="E380" s="390"/>
      <c r="F380" s="390"/>
      <c r="G380" s="390"/>
    </row>
    <row r="381" spans="3:7">
      <c r="C381" s="390"/>
      <c r="D381" s="390"/>
      <c r="E381" s="390"/>
      <c r="F381" s="390"/>
      <c r="G381" s="390"/>
    </row>
    <row r="382" spans="3:7">
      <c r="C382" s="390"/>
      <c r="D382" s="390"/>
      <c r="E382" s="390"/>
      <c r="F382" s="390"/>
      <c r="G382" s="390"/>
    </row>
    <row r="383" spans="3:7">
      <c r="C383" s="390"/>
      <c r="D383" s="390"/>
      <c r="E383" s="390"/>
      <c r="F383" s="390"/>
      <c r="G383" s="390"/>
    </row>
    <row r="384" spans="3:7">
      <c r="C384" s="390"/>
      <c r="D384" s="390"/>
      <c r="E384" s="390"/>
      <c r="F384" s="390"/>
      <c r="G384" s="390"/>
    </row>
    <row r="385" spans="3:7">
      <c r="C385" s="390"/>
      <c r="D385" s="390"/>
      <c r="E385" s="390"/>
      <c r="F385" s="390"/>
      <c r="G385" s="390"/>
    </row>
    <row r="386" spans="3:7">
      <c r="C386" s="390"/>
      <c r="D386" s="390"/>
      <c r="E386" s="390"/>
      <c r="F386" s="390"/>
      <c r="G386" s="390"/>
    </row>
    <row r="387" spans="3:7">
      <c r="C387" s="390"/>
      <c r="D387" s="390"/>
      <c r="E387" s="390"/>
      <c r="F387" s="390"/>
      <c r="G387" s="390"/>
    </row>
    <row r="388" spans="3:7">
      <c r="C388" s="390"/>
      <c r="D388" s="390"/>
      <c r="E388" s="390"/>
      <c r="F388" s="390"/>
      <c r="G388" s="390"/>
    </row>
    <row r="389" spans="3:7">
      <c r="C389" s="390"/>
      <c r="D389" s="390"/>
      <c r="E389" s="390"/>
      <c r="F389" s="390"/>
      <c r="G389" s="390"/>
    </row>
    <row r="390" spans="3:7">
      <c r="C390" s="390"/>
      <c r="D390" s="390"/>
      <c r="E390" s="390"/>
      <c r="F390" s="390"/>
      <c r="G390" s="390"/>
    </row>
    <row r="391" spans="3:7">
      <c r="C391" s="390"/>
      <c r="D391" s="390"/>
      <c r="E391" s="390"/>
      <c r="F391" s="390"/>
      <c r="G391" s="390"/>
    </row>
    <row r="392" spans="3:7">
      <c r="C392" s="390"/>
      <c r="D392" s="390"/>
      <c r="E392" s="390"/>
      <c r="F392" s="390"/>
      <c r="G392" s="390"/>
    </row>
    <row r="393" spans="3:7">
      <c r="C393" s="390"/>
      <c r="D393" s="390"/>
      <c r="E393" s="390"/>
      <c r="F393" s="390"/>
      <c r="G393" s="390"/>
    </row>
    <row r="394" spans="3:7">
      <c r="C394" s="390"/>
      <c r="D394" s="390"/>
      <c r="E394" s="390"/>
      <c r="F394" s="390"/>
      <c r="G394" s="390"/>
    </row>
    <row r="395" spans="3:7">
      <c r="C395" s="390"/>
      <c r="D395" s="390"/>
      <c r="E395" s="390"/>
      <c r="F395" s="390"/>
      <c r="G395" s="390"/>
    </row>
    <row r="396" spans="3:7">
      <c r="C396" s="390"/>
      <c r="D396" s="390"/>
      <c r="E396" s="390"/>
      <c r="F396" s="390"/>
      <c r="G396" s="390"/>
    </row>
    <row r="397" spans="3:7">
      <c r="C397" s="390"/>
      <c r="D397" s="390"/>
      <c r="E397" s="390"/>
      <c r="F397" s="390"/>
      <c r="G397" s="390"/>
    </row>
    <row r="398" spans="3:7">
      <c r="C398" s="390"/>
      <c r="D398" s="390"/>
      <c r="E398" s="390"/>
      <c r="F398" s="390"/>
      <c r="G398" s="390"/>
    </row>
    <row r="399" spans="3:7">
      <c r="C399" s="390"/>
      <c r="D399" s="390"/>
      <c r="E399" s="390"/>
      <c r="F399" s="390"/>
      <c r="G399" s="390"/>
    </row>
    <row r="400" spans="3:7">
      <c r="C400" s="390"/>
      <c r="D400" s="390"/>
      <c r="E400" s="390"/>
      <c r="F400" s="390"/>
      <c r="G400" s="390"/>
    </row>
    <row r="401" spans="3:7">
      <c r="C401" s="390"/>
      <c r="D401" s="390"/>
      <c r="E401" s="390"/>
      <c r="F401" s="390"/>
      <c r="G401" s="390"/>
    </row>
    <row r="402" spans="3:7">
      <c r="C402" s="390"/>
      <c r="D402" s="390"/>
      <c r="E402" s="390"/>
      <c r="F402" s="390"/>
      <c r="G402" s="390"/>
    </row>
    <row r="403" spans="3:7">
      <c r="C403" s="390"/>
      <c r="D403" s="390"/>
      <c r="E403" s="390"/>
      <c r="F403" s="390"/>
      <c r="G403" s="390"/>
    </row>
    <row r="404" spans="3:7">
      <c r="C404" s="390"/>
      <c r="D404" s="390"/>
      <c r="E404" s="390"/>
      <c r="F404" s="390"/>
      <c r="G404" s="390"/>
    </row>
    <row r="405" spans="3:7">
      <c r="C405" s="390"/>
      <c r="D405" s="390"/>
      <c r="E405" s="390"/>
      <c r="F405" s="390"/>
      <c r="G405" s="390"/>
    </row>
    <row r="406" spans="3:7">
      <c r="C406" s="390"/>
      <c r="D406" s="390"/>
      <c r="E406" s="390"/>
      <c r="F406" s="390"/>
      <c r="G406" s="390"/>
    </row>
    <row r="407" spans="3:7">
      <c r="C407" s="390"/>
      <c r="D407" s="390"/>
      <c r="E407" s="390"/>
      <c r="F407" s="390"/>
      <c r="G407" s="390"/>
    </row>
    <row r="408" spans="3:7">
      <c r="C408" s="390"/>
      <c r="D408" s="390"/>
      <c r="E408" s="390"/>
      <c r="F408" s="390"/>
      <c r="G408" s="390"/>
    </row>
    <row r="409" spans="3:7">
      <c r="C409" s="390"/>
      <c r="D409" s="390"/>
      <c r="E409" s="390"/>
      <c r="F409" s="390"/>
      <c r="G409" s="390"/>
    </row>
    <row r="410" spans="3:7">
      <c r="C410" s="390"/>
      <c r="D410" s="390"/>
      <c r="E410" s="390"/>
      <c r="F410" s="390"/>
      <c r="G410" s="390"/>
    </row>
    <row r="411" spans="3:7">
      <c r="C411" s="390"/>
      <c r="D411" s="390"/>
      <c r="E411" s="390"/>
      <c r="F411" s="390"/>
      <c r="G411" s="390"/>
    </row>
    <row r="412" spans="3:7">
      <c r="C412" s="390"/>
      <c r="D412" s="390"/>
      <c r="E412" s="390"/>
      <c r="F412" s="390"/>
      <c r="G412" s="390"/>
    </row>
    <row r="413" spans="3:7">
      <c r="C413" s="390"/>
      <c r="D413" s="390"/>
      <c r="E413" s="390"/>
      <c r="F413" s="390"/>
      <c r="G413" s="390"/>
    </row>
    <row r="414" spans="3:7">
      <c r="C414" s="390"/>
      <c r="D414" s="390"/>
      <c r="E414" s="390"/>
      <c r="F414" s="390"/>
      <c r="G414" s="390"/>
    </row>
    <row r="415" spans="3:7">
      <c r="C415" s="390"/>
      <c r="D415" s="390"/>
      <c r="E415" s="390"/>
      <c r="F415" s="390"/>
      <c r="G415" s="390"/>
    </row>
    <row r="416" spans="3:7">
      <c r="C416" s="390"/>
      <c r="D416" s="390"/>
      <c r="E416" s="390"/>
      <c r="F416" s="390"/>
      <c r="G416" s="390"/>
    </row>
    <row r="417" spans="3:7">
      <c r="C417" s="390"/>
      <c r="D417" s="390"/>
      <c r="E417" s="390"/>
      <c r="F417" s="390"/>
      <c r="G417" s="390"/>
    </row>
    <row r="418" spans="3:7">
      <c r="C418" s="390"/>
      <c r="D418" s="390"/>
      <c r="E418" s="390"/>
      <c r="F418" s="390"/>
      <c r="G418" s="390"/>
    </row>
    <row r="419" spans="3:7">
      <c r="C419" s="390"/>
      <c r="D419" s="390"/>
      <c r="E419" s="390"/>
      <c r="F419" s="390"/>
      <c r="G419" s="390"/>
    </row>
    <row r="420" spans="3:7">
      <c r="C420" s="390"/>
      <c r="D420" s="390"/>
      <c r="E420" s="390"/>
      <c r="F420" s="390"/>
      <c r="G420" s="390"/>
    </row>
    <row r="421" spans="3:7">
      <c r="C421" s="390"/>
      <c r="D421" s="390"/>
      <c r="E421" s="390"/>
      <c r="F421" s="390"/>
      <c r="G421" s="390"/>
    </row>
    <row r="422" spans="3:7">
      <c r="C422" s="390"/>
      <c r="D422" s="390"/>
      <c r="E422" s="390"/>
      <c r="F422" s="390"/>
      <c r="G422" s="390"/>
    </row>
    <row r="423" spans="3:7">
      <c r="C423" s="390"/>
      <c r="D423" s="390"/>
      <c r="E423" s="390"/>
      <c r="F423" s="390"/>
      <c r="G423" s="390"/>
    </row>
    <row r="424" spans="3:7">
      <c r="C424" s="390"/>
      <c r="D424" s="390"/>
      <c r="E424" s="390"/>
      <c r="F424" s="390"/>
      <c r="G424" s="390"/>
    </row>
    <row r="425" spans="3:7">
      <c r="C425" s="390"/>
      <c r="D425" s="390"/>
      <c r="E425" s="390"/>
      <c r="F425" s="390"/>
      <c r="G425" s="390"/>
    </row>
    <row r="426" spans="3:7">
      <c r="C426" s="390"/>
      <c r="D426" s="390"/>
      <c r="E426" s="390"/>
      <c r="F426" s="390"/>
      <c r="G426" s="390"/>
    </row>
    <row r="427" spans="3:7">
      <c r="C427" s="390"/>
      <c r="D427" s="390"/>
      <c r="E427" s="390"/>
      <c r="F427" s="390"/>
      <c r="G427" s="390"/>
    </row>
    <row r="428" spans="3:7">
      <c r="C428" s="390"/>
      <c r="D428" s="390"/>
      <c r="E428" s="390"/>
      <c r="F428" s="390"/>
      <c r="G428" s="390"/>
    </row>
    <row r="429" spans="3:7">
      <c r="C429" s="390"/>
      <c r="D429" s="390"/>
      <c r="E429" s="390"/>
      <c r="F429" s="390"/>
      <c r="G429" s="390"/>
    </row>
    <row r="430" spans="3:7">
      <c r="C430" s="390"/>
      <c r="D430" s="390"/>
      <c r="E430" s="390"/>
      <c r="F430" s="390"/>
      <c r="G430" s="390"/>
    </row>
    <row r="431" spans="3:7">
      <c r="C431" s="390"/>
      <c r="D431" s="390"/>
      <c r="E431" s="390"/>
      <c r="F431" s="390"/>
      <c r="G431" s="390"/>
    </row>
    <row r="432" spans="3:7">
      <c r="C432" s="390"/>
      <c r="D432" s="390"/>
      <c r="E432" s="390"/>
      <c r="F432" s="390"/>
      <c r="G432" s="390"/>
    </row>
    <row r="433" spans="3:7">
      <c r="C433" s="390"/>
      <c r="D433" s="390"/>
      <c r="E433" s="390"/>
      <c r="F433" s="390"/>
      <c r="G433" s="390"/>
    </row>
    <row r="434" spans="3:7">
      <c r="C434" s="390"/>
      <c r="D434" s="390"/>
      <c r="E434" s="390"/>
      <c r="F434" s="390"/>
      <c r="G434" s="390"/>
    </row>
    <row r="435" spans="3:7">
      <c r="C435" s="390"/>
      <c r="D435" s="390"/>
      <c r="E435" s="390"/>
      <c r="F435" s="390"/>
      <c r="G435" s="390"/>
    </row>
    <row r="436" spans="3:7">
      <c r="C436" s="390"/>
      <c r="D436" s="390"/>
      <c r="E436" s="390"/>
      <c r="F436" s="390"/>
      <c r="G436" s="390"/>
    </row>
    <row r="437" spans="3:7">
      <c r="C437" s="390"/>
      <c r="D437" s="390"/>
      <c r="E437" s="390"/>
      <c r="F437" s="390"/>
      <c r="G437" s="390"/>
    </row>
    <row r="438" spans="3:7">
      <c r="C438" s="390"/>
      <c r="D438" s="390"/>
      <c r="E438" s="390"/>
      <c r="F438" s="390"/>
      <c r="G438" s="390"/>
    </row>
    <row r="439" spans="3:7">
      <c r="C439" s="390"/>
      <c r="D439" s="390"/>
      <c r="E439" s="390"/>
      <c r="F439" s="390"/>
      <c r="G439" s="390"/>
    </row>
    <row r="440" spans="3:7">
      <c r="C440" s="390"/>
      <c r="D440" s="390"/>
      <c r="E440" s="390"/>
      <c r="F440" s="390"/>
      <c r="G440" s="390"/>
    </row>
    <row r="441" spans="3:7">
      <c r="C441" s="390"/>
      <c r="D441" s="390"/>
      <c r="E441" s="390"/>
      <c r="F441" s="390"/>
      <c r="G441" s="390"/>
    </row>
    <row r="442" spans="3:7">
      <c r="C442" s="390"/>
      <c r="D442" s="390"/>
      <c r="E442" s="390"/>
      <c r="F442" s="390"/>
      <c r="G442" s="390"/>
    </row>
    <row r="443" spans="3:7">
      <c r="C443" s="390"/>
      <c r="D443" s="390"/>
      <c r="E443" s="390"/>
      <c r="F443" s="390"/>
      <c r="G443" s="390"/>
    </row>
    <row r="444" spans="3:7">
      <c r="C444" s="390"/>
      <c r="D444" s="390"/>
      <c r="E444" s="390"/>
      <c r="F444" s="390"/>
      <c r="G444" s="390"/>
    </row>
    <row r="445" spans="3:7">
      <c r="C445" s="390"/>
      <c r="D445" s="390"/>
      <c r="E445" s="390"/>
      <c r="F445" s="390"/>
      <c r="G445" s="390"/>
    </row>
    <row r="446" spans="3:7">
      <c r="C446" s="390"/>
      <c r="D446" s="390"/>
      <c r="E446" s="390"/>
      <c r="F446" s="390"/>
      <c r="G446" s="390"/>
    </row>
    <row r="447" spans="3:7">
      <c r="C447" s="390"/>
      <c r="D447" s="390"/>
      <c r="E447" s="390"/>
      <c r="F447" s="390"/>
      <c r="G447" s="390"/>
    </row>
    <row r="448" spans="3:7">
      <c r="C448" s="390"/>
      <c r="D448" s="390"/>
      <c r="E448" s="390"/>
      <c r="F448" s="390"/>
      <c r="G448" s="390"/>
    </row>
    <row r="449" spans="3:7">
      <c r="C449" s="390"/>
      <c r="D449" s="390"/>
      <c r="E449" s="390"/>
      <c r="F449" s="390"/>
      <c r="G449" s="390"/>
    </row>
    <row r="450" spans="3:7">
      <c r="C450" s="390"/>
      <c r="D450" s="390"/>
      <c r="E450" s="390"/>
      <c r="F450" s="390"/>
      <c r="G450" s="390"/>
    </row>
    <row r="451" spans="3:7">
      <c r="C451" s="390"/>
      <c r="D451" s="390"/>
      <c r="E451" s="390"/>
      <c r="F451" s="390"/>
      <c r="G451" s="390"/>
    </row>
    <row r="452" spans="3:7">
      <c r="C452" s="390"/>
      <c r="D452" s="390"/>
      <c r="E452" s="390"/>
      <c r="F452" s="390"/>
      <c r="G452" s="390"/>
    </row>
    <row r="453" spans="3:7">
      <c r="C453" s="390"/>
      <c r="D453" s="390"/>
      <c r="E453" s="390"/>
      <c r="F453" s="390"/>
      <c r="G453" s="390"/>
    </row>
    <row r="454" spans="3:7">
      <c r="C454" s="390"/>
      <c r="D454" s="390"/>
      <c r="E454" s="390"/>
      <c r="F454" s="390"/>
      <c r="G454" s="390"/>
    </row>
    <row r="455" spans="3:7">
      <c r="C455" s="390"/>
      <c r="D455" s="390"/>
      <c r="E455" s="390"/>
      <c r="F455" s="390"/>
      <c r="G455" s="390"/>
    </row>
    <row r="456" spans="3:7">
      <c r="C456" s="390"/>
      <c r="D456" s="390"/>
      <c r="E456" s="390"/>
      <c r="F456" s="390"/>
      <c r="G456" s="390"/>
    </row>
    <row r="457" spans="3:7">
      <c r="C457" s="390"/>
      <c r="D457" s="390"/>
      <c r="E457" s="390"/>
      <c r="F457" s="390"/>
      <c r="G457" s="390"/>
    </row>
    <row r="458" spans="3:7">
      <c r="C458" s="390"/>
      <c r="D458" s="390"/>
      <c r="E458" s="390"/>
      <c r="F458" s="390"/>
      <c r="G458" s="390"/>
    </row>
    <row r="459" spans="3:7">
      <c r="C459" s="390"/>
      <c r="D459" s="390"/>
      <c r="E459" s="390"/>
      <c r="F459" s="390"/>
      <c r="G459" s="390"/>
    </row>
    <row r="460" spans="3:7">
      <c r="C460" s="390"/>
      <c r="D460" s="390"/>
      <c r="E460" s="390"/>
      <c r="F460" s="390"/>
      <c r="G460" s="390"/>
    </row>
    <row r="461" spans="3:7">
      <c r="C461" s="390"/>
      <c r="D461" s="390"/>
      <c r="E461" s="390"/>
      <c r="F461" s="390"/>
      <c r="G461" s="390"/>
    </row>
    <row r="462" spans="3:7">
      <c r="C462" s="390"/>
      <c r="D462" s="390"/>
      <c r="E462" s="390"/>
      <c r="F462" s="390"/>
      <c r="G462" s="390"/>
    </row>
    <row r="463" spans="3:7">
      <c r="C463" s="390"/>
      <c r="D463" s="390"/>
      <c r="E463" s="390"/>
      <c r="F463" s="390"/>
      <c r="G463" s="390"/>
    </row>
    <row r="464" spans="3:7">
      <c r="C464" s="390"/>
      <c r="D464" s="390"/>
      <c r="E464" s="390"/>
      <c r="F464" s="390"/>
      <c r="G464" s="390"/>
    </row>
    <row r="465" spans="3:7">
      <c r="C465" s="390"/>
      <c r="D465" s="390"/>
      <c r="E465" s="390"/>
      <c r="F465" s="390"/>
      <c r="G465" s="390"/>
    </row>
    <row r="466" spans="3:7">
      <c r="C466" s="390"/>
      <c r="D466" s="390"/>
      <c r="E466" s="390"/>
      <c r="F466" s="390"/>
      <c r="G466" s="390"/>
    </row>
    <row r="467" spans="3:7">
      <c r="C467" s="390"/>
      <c r="D467" s="390"/>
      <c r="E467" s="390"/>
      <c r="F467" s="390"/>
      <c r="G467" s="390"/>
    </row>
    <row r="468" spans="3:7">
      <c r="C468" s="390"/>
      <c r="D468" s="390"/>
      <c r="E468" s="390"/>
      <c r="F468" s="390"/>
      <c r="G468" s="390"/>
    </row>
    <row r="469" spans="3:7">
      <c r="C469" s="390"/>
      <c r="D469" s="390"/>
      <c r="E469" s="390"/>
      <c r="F469" s="390"/>
      <c r="G469" s="390"/>
    </row>
    <row r="470" spans="3:7">
      <c r="C470" s="390"/>
      <c r="D470" s="390"/>
      <c r="E470" s="390"/>
      <c r="F470" s="390"/>
      <c r="G470" s="390"/>
    </row>
    <row r="471" spans="3:7">
      <c r="C471" s="390"/>
      <c r="D471" s="390"/>
      <c r="E471" s="390"/>
      <c r="F471" s="390"/>
      <c r="G471" s="390"/>
    </row>
    <row r="472" spans="3:7">
      <c r="C472" s="390"/>
      <c r="D472" s="390"/>
      <c r="E472" s="390"/>
      <c r="F472" s="390"/>
      <c r="G472" s="390"/>
    </row>
    <row r="473" spans="3:7">
      <c r="C473" s="390"/>
      <c r="D473" s="390"/>
      <c r="E473" s="390"/>
      <c r="F473" s="390"/>
      <c r="G473" s="390"/>
    </row>
    <row r="474" spans="3:7">
      <c r="C474" s="390"/>
      <c r="D474" s="390"/>
      <c r="E474" s="390"/>
      <c r="F474" s="390"/>
      <c r="G474" s="390"/>
    </row>
    <row r="475" spans="3:7">
      <c r="C475" s="390"/>
      <c r="D475" s="390"/>
      <c r="E475" s="390"/>
      <c r="F475" s="390"/>
      <c r="G475" s="390"/>
    </row>
    <row r="476" spans="3:7">
      <c r="C476" s="390"/>
      <c r="D476" s="390"/>
      <c r="E476" s="390"/>
      <c r="F476" s="390"/>
      <c r="G476" s="390"/>
    </row>
    <row r="477" spans="3:7">
      <c r="C477" s="390"/>
      <c r="D477" s="390"/>
      <c r="E477" s="390"/>
      <c r="F477" s="390"/>
      <c r="G477" s="390"/>
    </row>
    <row r="478" spans="3:7">
      <c r="C478" s="390"/>
      <c r="D478" s="390"/>
      <c r="E478" s="390"/>
      <c r="F478" s="390"/>
      <c r="G478" s="390"/>
    </row>
    <row r="479" spans="3:7">
      <c r="C479" s="390"/>
      <c r="D479" s="390"/>
      <c r="E479" s="390"/>
      <c r="F479" s="390"/>
      <c r="G479" s="390"/>
    </row>
    <row r="480" spans="3:7">
      <c r="C480" s="390"/>
      <c r="D480" s="390"/>
      <c r="E480" s="390"/>
      <c r="F480" s="390"/>
      <c r="G480" s="390"/>
    </row>
    <row r="481" spans="3:7">
      <c r="C481" s="390"/>
      <c r="D481" s="390"/>
      <c r="E481" s="390"/>
      <c r="F481" s="390"/>
      <c r="G481" s="390"/>
    </row>
    <row r="482" spans="3:7">
      <c r="C482" s="390"/>
      <c r="D482" s="390"/>
      <c r="E482" s="390"/>
      <c r="F482" s="390"/>
      <c r="G482" s="390"/>
    </row>
    <row r="483" spans="3:7">
      <c r="C483" s="390"/>
      <c r="D483" s="390"/>
      <c r="E483" s="390"/>
      <c r="F483" s="390"/>
      <c r="G483" s="390"/>
    </row>
    <row r="484" spans="3:7">
      <c r="C484" s="390"/>
      <c r="D484" s="390"/>
      <c r="E484" s="390"/>
      <c r="F484" s="390"/>
      <c r="G484" s="390"/>
    </row>
    <row r="485" spans="3:7">
      <c r="C485" s="390"/>
      <c r="D485" s="390"/>
      <c r="E485" s="390"/>
      <c r="F485" s="390"/>
      <c r="G485" s="390"/>
    </row>
    <row r="486" spans="3:7">
      <c r="C486" s="390"/>
      <c r="D486" s="390"/>
      <c r="E486" s="390"/>
      <c r="F486" s="390"/>
      <c r="G486" s="390"/>
    </row>
    <row r="487" spans="3:7">
      <c r="C487" s="390"/>
      <c r="D487" s="390"/>
      <c r="E487" s="390"/>
      <c r="F487" s="390"/>
      <c r="G487" s="390"/>
    </row>
    <row r="488" spans="3:7">
      <c r="C488" s="390"/>
      <c r="D488" s="390"/>
      <c r="E488" s="390"/>
      <c r="F488" s="390"/>
      <c r="G488" s="390"/>
    </row>
    <row r="489" spans="3:7">
      <c r="C489" s="390"/>
      <c r="D489" s="390"/>
      <c r="E489" s="390"/>
      <c r="F489" s="390"/>
      <c r="G489" s="390"/>
    </row>
    <row r="490" spans="3:7">
      <c r="C490" s="390"/>
      <c r="D490" s="390"/>
      <c r="E490" s="390"/>
      <c r="F490" s="390"/>
      <c r="G490" s="390"/>
    </row>
    <row r="491" spans="3:7">
      <c r="C491" s="390"/>
      <c r="D491" s="390"/>
      <c r="E491" s="390"/>
      <c r="F491" s="390"/>
      <c r="G491" s="390"/>
    </row>
    <row r="492" spans="3:7">
      <c r="C492" s="390"/>
      <c r="D492" s="390"/>
      <c r="E492" s="390"/>
      <c r="F492" s="390"/>
      <c r="G492" s="390"/>
    </row>
    <row r="493" spans="3:7">
      <c r="C493" s="390"/>
      <c r="D493" s="390"/>
      <c r="E493" s="390"/>
      <c r="F493" s="390"/>
      <c r="G493" s="390"/>
    </row>
    <row r="494" spans="3:7">
      <c r="C494" s="390"/>
      <c r="D494" s="390"/>
      <c r="E494" s="390"/>
      <c r="F494" s="390"/>
      <c r="G494" s="390"/>
    </row>
    <row r="495" spans="3:7">
      <c r="C495" s="390"/>
      <c r="D495" s="390"/>
      <c r="E495" s="390"/>
      <c r="F495" s="390"/>
      <c r="G495" s="390"/>
    </row>
    <row r="496" spans="3:7">
      <c r="C496" s="390"/>
      <c r="D496" s="390"/>
      <c r="E496" s="390"/>
      <c r="F496" s="390"/>
      <c r="G496" s="390"/>
    </row>
    <row r="497" spans="3:7">
      <c r="C497" s="390"/>
      <c r="D497" s="390"/>
      <c r="E497" s="390"/>
      <c r="F497" s="390"/>
      <c r="G497" s="390"/>
    </row>
    <row r="498" spans="3:7">
      <c r="C498" s="390"/>
      <c r="D498" s="390"/>
      <c r="E498" s="390"/>
      <c r="F498" s="390"/>
      <c r="G498" s="390"/>
    </row>
    <row r="499" spans="3:7">
      <c r="C499" s="390"/>
      <c r="D499" s="390"/>
      <c r="E499" s="390"/>
      <c r="F499" s="390"/>
      <c r="G499" s="390"/>
    </row>
    <row r="500" spans="3:7">
      <c r="C500" s="390"/>
      <c r="D500" s="390"/>
      <c r="E500" s="390"/>
      <c r="F500" s="390"/>
      <c r="G500" s="390"/>
    </row>
    <row r="501" spans="3:7">
      <c r="C501" s="390"/>
      <c r="D501" s="390"/>
      <c r="E501" s="390"/>
      <c r="F501" s="390"/>
      <c r="G501" s="390"/>
    </row>
    <row r="502" spans="3:7">
      <c r="C502" s="390"/>
      <c r="D502" s="390"/>
      <c r="E502" s="390"/>
      <c r="F502" s="390"/>
      <c r="G502" s="390"/>
    </row>
    <row r="503" spans="3:7">
      <c r="C503" s="390"/>
      <c r="D503" s="390"/>
      <c r="E503" s="390"/>
      <c r="F503" s="390"/>
      <c r="G503" s="390"/>
    </row>
    <row r="504" spans="3:7">
      <c r="C504" s="390"/>
      <c r="D504" s="390"/>
      <c r="E504" s="390"/>
      <c r="F504" s="390"/>
      <c r="G504" s="390"/>
    </row>
    <row r="505" spans="3:7">
      <c r="C505" s="390"/>
      <c r="D505" s="390"/>
      <c r="E505" s="390"/>
      <c r="F505" s="390"/>
      <c r="G505" s="390"/>
    </row>
    <row r="506" spans="3:7">
      <c r="C506" s="390"/>
      <c r="D506" s="390"/>
      <c r="E506" s="390"/>
      <c r="F506" s="390"/>
      <c r="G506" s="390"/>
    </row>
    <row r="507" spans="3:7">
      <c r="C507" s="390"/>
      <c r="D507" s="390"/>
      <c r="E507" s="390"/>
      <c r="F507" s="390"/>
      <c r="G507" s="390"/>
    </row>
    <row r="508" spans="3:7">
      <c r="C508" s="390"/>
      <c r="D508" s="390"/>
      <c r="E508" s="390"/>
      <c r="F508" s="390"/>
      <c r="G508" s="390"/>
    </row>
    <row r="509" spans="3:7">
      <c r="C509" s="390"/>
      <c r="D509" s="390"/>
      <c r="E509" s="390"/>
      <c r="F509" s="390"/>
      <c r="G509" s="390"/>
    </row>
    <row r="510" spans="3:7">
      <c r="C510" s="390"/>
      <c r="D510" s="390"/>
      <c r="E510" s="390"/>
      <c r="F510" s="390"/>
      <c r="G510" s="390"/>
    </row>
    <row r="511" spans="3:7">
      <c r="C511" s="390"/>
      <c r="D511" s="390"/>
      <c r="E511" s="390"/>
      <c r="F511" s="390"/>
      <c r="G511" s="390"/>
    </row>
    <row r="512" spans="3:7">
      <c r="C512" s="390"/>
      <c r="D512" s="390"/>
      <c r="E512" s="390"/>
      <c r="F512" s="390"/>
      <c r="G512" s="390"/>
    </row>
    <row r="513" spans="3:7">
      <c r="C513" s="390"/>
      <c r="D513" s="390"/>
      <c r="E513" s="390"/>
      <c r="F513" s="390"/>
      <c r="G513" s="390"/>
    </row>
    <row r="514" spans="3:7">
      <c r="C514" s="390"/>
      <c r="D514" s="390"/>
      <c r="E514" s="390"/>
      <c r="F514" s="390"/>
      <c r="G514" s="390"/>
    </row>
    <row r="515" spans="3:7">
      <c r="C515" s="390"/>
      <c r="D515" s="390"/>
      <c r="E515" s="390"/>
      <c r="F515" s="390"/>
      <c r="G515" s="390"/>
    </row>
    <row r="516" spans="3:7">
      <c r="C516" s="390"/>
      <c r="D516" s="390"/>
      <c r="E516" s="390"/>
      <c r="F516" s="390"/>
      <c r="G516" s="390"/>
    </row>
    <row r="517" spans="3:7">
      <c r="C517" s="390"/>
      <c r="D517" s="390"/>
      <c r="E517" s="390"/>
      <c r="F517" s="390"/>
      <c r="G517" s="390"/>
    </row>
    <row r="518" spans="3:7">
      <c r="C518" s="390"/>
      <c r="D518" s="390"/>
      <c r="E518" s="390"/>
      <c r="F518" s="390"/>
      <c r="G518" s="390"/>
    </row>
    <row r="519" spans="3:7">
      <c r="C519" s="390"/>
      <c r="D519" s="390"/>
      <c r="E519" s="390"/>
      <c r="F519" s="390"/>
      <c r="G519" s="390"/>
    </row>
    <row r="520" spans="3:7">
      <c r="C520" s="390"/>
      <c r="D520" s="390"/>
      <c r="E520" s="390"/>
      <c r="F520" s="390"/>
      <c r="G520" s="390"/>
    </row>
    <row r="521" spans="3:7">
      <c r="C521" s="390"/>
      <c r="D521" s="390"/>
      <c r="E521" s="390"/>
      <c r="F521" s="390"/>
      <c r="G521" s="390"/>
    </row>
    <row r="522" spans="3:7">
      <c r="C522" s="390"/>
      <c r="D522" s="390"/>
      <c r="E522" s="390"/>
      <c r="F522" s="390"/>
      <c r="G522" s="390"/>
    </row>
    <row r="523" spans="3:7">
      <c r="C523" s="390"/>
      <c r="D523" s="390"/>
      <c r="E523" s="390"/>
      <c r="F523" s="390"/>
      <c r="G523" s="390"/>
    </row>
    <row r="524" spans="3:7">
      <c r="C524" s="390"/>
      <c r="D524" s="390"/>
      <c r="E524" s="390"/>
      <c r="F524" s="390"/>
      <c r="G524" s="390"/>
    </row>
    <row r="525" spans="3:7">
      <c r="C525" s="390"/>
      <c r="D525" s="390"/>
      <c r="E525" s="390"/>
      <c r="F525" s="390"/>
      <c r="G525" s="390"/>
    </row>
    <row r="526" spans="3:7">
      <c r="C526" s="390"/>
      <c r="D526" s="390"/>
      <c r="E526" s="390"/>
      <c r="F526" s="390"/>
      <c r="G526" s="390"/>
    </row>
    <row r="527" spans="3:7">
      <c r="C527" s="390"/>
      <c r="D527" s="390"/>
      <c r="E527" s="390"/>
      <c r="F527" s="390"/>
      <c r="G527" s="390"/>
    </row>
    <row r="528" spans="3:7">
      <c r="C528" s="390"/>
      <c r="D528" s="390"/>
      <c r="E528" s="390"/>
      <c r="F528" s="390"/>
      <c r="G528" s="390"/>
    </row>
    <row r="529" spans="3:7">
      <c r="C529" s="390"/>
      <c r="D529" s="390"/>
      <c r="E529" s="390"/>
      <c r="F529" s="390"/>
      <c r="G529" s="390"/>
    </row>
    <row r="530" spans="3:7">
      <c r="C530" s="390"/>
      <c r="D530" s="390"/>
      <c r="E530" s="390"/>
      <c r="F530" s="390"/>
      <c r="G530" s="390"/>
    </row>
    <row r="531" spans="3:7">
      <c r="C531" s="390"/>
      <c r="D531" s="390"/>
      <c r="E531" s="390"/>
      <c r="F531" s="390"/>
      <c r="G531" s="390"/>
    </row>
    <row r="532" spans="3:7">
      <c r="C532" s="390"/>
      <c r="D532" s="390"/>
      <c r="E532" s="390"/>
      <c r="F532" s="390"/>
      <c r="G532" s="390"/>
    </row>
    <row r="533" spans="3:7">
      <c r="C533" s="390"/>
      <c r="D533" s="390"/>
      <c r="E533" s="390"/>
      <c r="F533" s="390"/>
      <c r="G533" s="390"/>
    </row>
    <row r="534" spans="3:7">
      <c r="C534" s="390"/>
      <c r="D534" s="390"/>
      <c r="E534" s="390"/>
      <c r="F534" s="390"/>
      <c r="G534" s="390"/>
    </row>
    <row r="535" spans="3:7">
      <c r="C535" s="390"/>
      <c r="D535" s="390"/>
      <c r="E535" s="390"/>
      <c r="F535" s="390"/>
      <c r="G535" s="390"/>
    </row>
    <row r="536" spans="3:7">
      <c r="C536" s="390"/>
      <c r="D536" s="390"/>
      <c r="E536" s="390"/>
      <c r="F536" s="390"/>
      <c r="G536" s="390"/>
    </row>
    <row r="537" spans="3:7">
      <c r="C537" s="390"/>
      <c r="D537" s="390"/>
      <c r="E537" s="390"/>
      <c r="F537" s="390"/>
      <c r="G537" s="390"/>
    </row>
    <row r="538" spans="3:7">
      <c r="C538" s="390"/>
      <c r="D538" s="390"/>
      <c r="E538" s="390"/>
      <c r="F538" s="390"/>
      <c r="G538" s="390"/>
    </row>
    <row r="539" spans="3:7">
      <c r="C539" s="390"/>
      <c r="D539" s="390"/>
      <c r="E539" s="390"/>
      <c r="F539" s="390"/>
      <c r="G539" s="390"/>
    </row>
    <row r="540" spans="3:7">
      <c r="C540" s="390"/>
      <c r="D540" s="390"/>
      <c r="E540" s="390"/>
      <c r="F540" s="390"/>
      <c r="G540" s="390"/>
    </row>
    <row r="541" spans="3:7">
      <c r="C541" s="390"/>
      <c r="D541" s="390"/>
      <c r="E541" s="390"/>
      <c r="F541" s="390"/>
      <c r="G541" s="390"/>
    </row>
    <row r="542" spans="3:7">
      <c r="C542" s="390"/>
      <c r="D542" s="390"/>
      <c r="E542" s="390"/>
      <c r="F542" s="390"/>
      <c r="G542" s="390"/>
    </row>
    <row r="543" spans="3:7">
      <c r="C543" s="390"/>
      <c r="D543" s="390"/>
      <c r="E543" s="390"/>
      <c r="F543" s="390"/>
      <c r="G543" s="390"/>
    </row>
    <row r="544" spans="3:7">
      <c r="C544" s="390"/>
      <c r="D544" s="390"/>
      <c r="E544" s="390"/>
      <c r="F544" s="390"/>
      <c r="G544" s="390"/>
    </row>
    <row r="545" spans="3:7">
      <c r="C545" s="390"/>
      <c r="D545" s="390"/>
      <c r="E545" s="390"/>
      <c r="F545" s="390"/>
      <c r="G545" s="390"/>
    </row>
    <row r="546" spans="3:7">
      <c r="C546" s="390"/>
      <c r="D546" s="390"/>
      <c r="E546" s="390"/>
      <c r="F546" s="390"/>
      <c r="G546" s="390"/>
    </row>
    <row r="547" spans="3:7">
      <c r="C547" s="390"/>
      <c r="D547" s="390"/>
      <c r="E547" s="390"/>
      <c r="F547" s="390"/>
      <c r="G547" s="390"/>
    </row>
    <row r="548" spans="3:7">
      <c r="C548" s="390"/>
      <c r="D548" s="390"/>
      <c r="E548" s="390"/>
      <c r="F548" s="390"/>
      <c r="G548" s="390"/>
    </row>
    <row r="549" spans="3:7">
      <c r="C549" s="390"/>
      <c r="D549" s="390"/>
      <c r="E549" s="390"/>
      <c r="F549" s="390"/>
      <c r="G549" s="390"/>
    </row>
    <row r="550" spans="3:7">
      <c r="C550" s="390"/>
      <c r="D550" s="390"/>
      <c r="E550" s="390"/>
      <c r="F550" s="390"/>
      <c r="G550" s="390"/>
    </row>
    <row r="551" spans="3:7">
      <c r="C551" s="390"/>
      <c r="D551" s="390"/>
      <c r="E551" s="390"/>
      <c r="F551" s="390"/>
      <c r="G551" s="390"/>
    </row>
    <row r="552" spans="3:7">
      <c r="C552" s="390"/>
      <c r="D552" s="390"/>
      <c r="E552" s="390"/>
      <c r="F552" s="390"/>
      <c r="G552" s="390"/>
    </row>
    <row r="553" spans="3:7">
      <c r="C553" s="390"/>
      <c r="D553" s="390"/>
      <c r="E553" s="390"/>
      <c r="F553" s="390"/>
      <c r="G553" s="390"/>
    </row>
    <row r="554" spans="3:7">
      <c r="C554" s="390"/>
      <c r="D554" s="390"/>
      <c r="E554" s="390"/>
      <c r="F554" s="390"/>
      <c r="G554" s="390"/>
    </row>
    <row r="555" spans="3:7">
      <c r="C555" s="390"/>
      <c r="D555" s="390"/>
      <c r="E555" s="390"/>
      <c r="F555" s="390"/>
      <c r="G555" s="390"/>
    </row>
    <row r="556" spans="3:7">
      <c r="C556" s="390"/>
      <c r="D556" s="390"/>
      <c r="E556" s="390"/>
      <c r="F556" s="390"/>
      <c r="G556" s="390"/>
    </row>
    <row r="557" spans="3:7">
      <c r="C557" s="390"/>
      <c r="D557" s="390"/>
      <c r="E557" s="390"/>
      <c r="F557" s="390"/>
      <c r="G557" s="390"/>
    </row>
    <row r="558" spans="3:7">
      <c r="C558" s="390"/>
      <c r="D558" s="390"/>
      <c r="E558" s="390"/>
      <c r="F558" s="390"/>
      <c r="G558" s="390"/>
    </row>
    <row r="559" spans="3:7">
      <c r="C559" s="390"/>
      <c r="D559" s="390"/>
      <c r="E559" s="390"/>
      <c r="F559" s="390"/>
      <c r="G559" s="390"/>
    </row>
    <row r="560" spans="3:7">
      <c r="C560" s="390"/>
      <c r="D560" s="390"/>
      <c r="E560" s="390"/>
      <c r="F560" s="390"/>
      <c r="G560" s="390"/>
    </row>
    <row r="561" spans="3:7">
      <c r="C561" s="390"/>
      <c r="D561" s="390"/>
      <c r="E561" s="390"/>
      <c r="F561" s="390"/>
      <c r="G561" s="390"/>
    </row>
    <row r="562" spans="3:7">
      <c r="C562" s="390"/>
      <c r="D562" s="390"/>
      <c r="E562" s="390"/>
      <c r="F562" s="390"/>
      <c r="G562" s="390"/>
    </row>
    <row r="563" spans="3:7">
      <c r="C563" s="390"/>
      <c r="D563" s="390"/>
      <c r="E563" s="390"/>
      <c r="F563" s="390"/>
      <c r="G563" s="390"/>
    </row>
    <row r="564" spans="3:7">
      <c r="C564" s="390"/>
      <c r="D564" s="390"/>
      <c r="E564" s="390"/>
      <c r="F564" s="390"/>
      <c r="G564" s="390"/>
    </row>
    <row r="565" spans="3:7">
      <c r="C565" s="390"/>
      <c r="D565" s="390"/>
      <c r="E565" s="390"/>
      <c r="F565" s="390"/>
      <c r="G565" s="390"/>
    </row>
    <row r="566" spans="3:7">
      <c r="C566" s="390"/>
      <c r="D566" s="390"/>
      <c r="E566" s="390"/>
      <c r="F566" s="390"/>
      <c r="G566" s="390"/>
    </row>
    <row r="567" spans="3:7">
      <c r="C567" s="390"/>
      <c r="D567" s="390"/>
      <c r="E567" s="390"/>
      <c r="F567" s="390"/>
      <c r="G567" s="390"/>
    </row>
    <row r="568" spans="3:7">
      <c r="C568" s="390"/>
      <c r="D568" s="390"/>
      <c r="E568" s="390"/>
      <c r="F568" s="390"/>
      <c r="G568" s="390"/>
    </row>
    <row r="569" spans="3:7">
      <c r="C569" s="390"/>
      <c r="D569" s="390"/>
      <c r="E569" s="390"/>
      <c r="F569" s="390"/>
      <c r="G569" s="390"/>
    </row>
    <row r="570" spans="3:7">
      <c r="C570" s="390"/>
      <c r="D570" s="390"/>
      <c r="E570" s="390"/>
      <c r="F570" s="390"/>
      <c r="G570" s="390"/>
    </row>
    <row r="571" spans="3:7">
      <c r="C571" s="390"/>
      <c r="D571" s="390"/>
      <c r="E571" s="390"/>
      <c r="F571" s="390"/>
      <c r="G571" s="390"/>
    </row>
    <row r="572" spans="3:7">
      <c r="C572" s="390"/>
      <c r="D572" s="390"/>
      <c r="E572" s="390"/>
      <c r="F572" s="390"/>
      <c r="G572" s="390"/>
    </row>
    <row r="573" spans="3:7">
      <c r="C573" s="390"/>
      <c r="D573" s="390"/>
      <c r="E573" s="390"/>
      <c r="F573" s="390"/>
      <c r="G573" s="390"/>
    </row>
    <row r="574" spans="3:7">
      <c r="C574" s="390"/>
      <c r="D574" s="390"/>
      <c r="E574" s="390"/>
      <c r="F574" s="390"/>
      <c r="G574" s="390"/>
    </row>
    <row r="575" spans="3:7">
      <c r="C575" s="390"/>
      <c r="D575" s="390"/>
      <c r="E575" s="390"/>
      <c r="F575" s="390"/>
      <c r="G575" s="390"/>
    </row>
    <row r="576" spans="3:7">
      <c r="C576" s="390"/>
      <c r="D576" s="390"/>
      <c r="E576" s="390"/>
      <c r="F576" s="390"/>
      <c r="G576" s="390"/>
    </row>
    <row r="577" spans="3:7">
      <c r="C577" s="390"/>
      <c r="D577" s="390"/>
      <c r="E577" s="390"/>
      <c r="F577" s="390"/>
      <c r="G577" s="390"/>
    </row>
    <row r="578" spans="3:7">
      <c r="C578" s="390"/>
      <c r="D578" s="390"/>
      <c r="E578" s="390"/>
      <c r="F578" s="390"/>
      <c r="G578" s="390"/>
    </row>
    <row r="579" spans="3:7">
      <c r="C579" s="390"/>
      <c r="D579" s="390"/>
      <c r="E579" s="390"/>
      <c r="F579" s="390"/>
      <c r="G579" s="390"/>
    </row>
    <row r="580" spans="3:7">
      <c r="C580" s="390"/>
      <c r="D580" s="390"/>
      <c r="E580" s="390"/>
      <c r="F580" s="390"/>
      <c r="G580" s="390"/>
    </row>
    <row r="581" spans="3:7">
      <c r="C581" s="390"/>
      <c r="D581" s="390"/>
      <c r="E581" s="390"/>
      <c r="F581" s="390"/>
      <c r="G581" s="390"/>
    </row>
    <row r="582" spans="3:7">
      <c r="C582" s="390"/>
      <c r="D582" s="390"/>
      <c r="E582" s="390"/>
      <c r="F582" s="390"/>
      <c r="G582" s="390"/>
    </row>
    <row r="583" spans="3:7">
      <c r="C583" s="390"/>
      <c r="D583" s="390"/>
      <c r="E583" s="390"/>
      <c r="F583" s="390"/>
      <c r="G583" s="390"/>
    </row>
    <row r="584" spans="3:7">
      <c r="C584" s="390"/>
      <c r="D584" s="390"/>
      <c r="E584" s="390"/>
      <c r="F584" s="390"/>
      <c r="G584" s="390"/>
    </row>
    <row r="585" spans="3:7">
      <c r="C585" s="390"/>
      <c r="D585" s="390"/>
      <c r="E585" s="390"/>
      <c r="F585" s="390"/>
      <c r="G585" s="390"/>
    </row>
    <row r="586" spans="3:7">
      <c r="C586" s="390"/>
      <c r="D586" s="390"/>
      <c r="E586" s="390"/>
      <c r="F586" s="390"/>
      <c r="G586" s="390"/>
    </row>
    <row r="587" spans="3:7">
      <c r="C587" s="390"/>
      <c r="D587" s="390"/>
      <c r="E587" s="390"/>
      <c r="F587" s="390"/>
      <c r="G587" s="390"/>
    </row>
    <row r="588" spans="3:7">
      <c r="C588" s="390"/>
      <c r="D588" s="390"/>
      <c r="E588" s="390"/>
      <c r="F588" s="390"/>
      <c r="G588" s="390"/>
    </row>
    <row r="589" spans="3:7">
      <c r="C589" s="390"/>
      <c r="D589" s="390"/>
      <c r="E589" s="390"/>
      <c r="F589" s="390"/>
      <c r="G589" s="390"/>
    </row>
    <row r="590" spans="3:7">
      <c r="C590" s="390"/>
      <c r="D590" s="390"/>
      <c r="E590" s="390"/>
      <c r="F590" s="390"/>
      <c r="G590" s="390"/>
    </row>
    <row r="591" spans="3:7">
      <c r="C591" s="390"/>
      <c r="D591" s="390"/>
      <c r="E591" s="390"/>
      <c r="F591" s="390"/>
      <c r="G591" s="390"/>
    </row>
    <row r="592" spans="3:7">
      <c r="C592" s="390"/>
      <c r="D592" s="390"/>
      <c r="E592" s="390"/>
      <c r="F592" s="390"/>
      <c r="G592" s="390"/>
    </row>
    <row r="593" spans="3:7">
      <c r="C593" s="390"/>
      <c r="D593" s="390"/>
      <c r="E593" s="390"/>
      <c r="F593" s="390"/>
      <c r="G593" s="390"/>
    </row>
    <row r="594" spans="3:7">
      <c r="C594" s="390"/>
      <c r="D594" s="390"/>
      <c r="E594" s="390"/>
      <c r="F594" s="390"/>
      <c r="G594" s="390"/>
    </row>
    <row r="595" spans="3:7">
      <c r="C595" s="390"/>
      <c r="D595" s="390"/>
      <c r="E595" s="390"/>
      <c r="F595" s="390"/>
      <c r="G595" s="390"/>
    </row>
    <row r="596" spans="3:7">
      <c r="C596" s="390"/>
      <c r="D596" s="390"/>
      <c r="E596" s="390"/>
      <c r="F596" s="390"/>
      <c r="G596" s="390"/>
    </row>
    <row r="597" spans="3:7">
      <c r="C597" s="390"/>
      <c r="D597" s="390"/>
      <c r="E597" s="390"/>
      <c r="F597" s="390"/>
      <c r="G597" s="390"/>
    </row>
    <row r="598" spans="3:7">
      <c r="C598" s="390"/>
      <c r="D598" s="390"/>
      <c r="E598" s="390"/>
      <c r="F598" s="390"/>
      <c r="G598" s="390"/>
    </row>
    <row r="599" spans="3:7">
      <c r="C599" s="390"/>
      <c r="D599" s="390"/>
      <c r="E599" s="390"/>
      <c r="F599" s="390"/>
      <c r="G599" s="390"/>
    </row>
    <row r="600" spans="3:7">
      <c r="C600" s="390"/>
      <c r="D600" s="390"/>
      <c r="E600" s="390"/>
      <c r="F600" s="390"/>
      <c r="G600" s="390"/>
    </row>
    <row r="601" spans="3:7">
      <c r="C601" s="390"/>
      <c r="D601" s="390"/>
      <c r="E601" s="390"/>
      <c r="F601" s="390"/>
      <c r="G601" s="390"/>
    </row>
    <row r="602" spans="3:7">
      <c r="C602" s="390"/>
      <c r="D602" s="390"/>
      <c r="E602" s="390"/>
      <c r="F602" s="390"/>
      <c r="G602" s="390"/>
    </row>
    <row r="603" spans="3:7">
      <c r="C603" s="390"/>
      <c r="D603" s="390"/>
      <c r="E603" s="390"/>
      <c r="F603" s="390"/>
      <c r="G603" s="390"/>
    </row>
    <row r="604" spans="3:7">
      <c r="C604" s="390"/>
      <c r="D604" s="390"/>
      <c r="E604" s="390"/>
      <c r="F604" s="390"/>
      <c r="G604" s="390"/>
    </row>
    <row r="605" spans="3:7">
      <c r="C605" s="390"/>
      <c r="D605" s="390"/>
      <c r="E605" s="390"/>
      <c r="F605" s="390"/>
      <c r="G605" s="390"/>
    </row>
    <row r="606" spans="3:7">
      <c r="C606" s="390"/>
      <c r="D606" s="390"/>
      <c r="E606" s="390"/>
      <c r="F606" s="390"/>
      <c r="G606" s="390"/>
    </row>
    <row r="607" spans="3:7">
      <c r="C607" s="390"/>
      <c r="D607" s="390"/>
      <c r="E607" s="390"/>
      <c r="F607" s="390"/>
      <c r="G607" s="390"/>
    </row>
    <row r="608" spans="3:7">
      <c r="C608" s="390"/>
      <c r="D608" s="390"/>
      <c r="E608" s="390"/>
      <c r="F608" s="390"/>
      <c r="G608" s="390"/>
    </row>
    <row r="609" spans="3:7">
      <c r="C609" s="390"/>
      <c r="D609" s="390"/>
      <c r="E609" s="390"/>
      <c r="F609" s="390"/>
      <c r="G609" s="390"/>
    </row>
    <row r="610" spans="3:7">
      <c r="C610" s="390"/>
      <c r="D610" s="390"/>
      <c r="E610" s="390"/>
      <c r="F610" s="390"/>
      <c r="G610" s="390"/>
    </row>
    <row r="611" spans="3:7">
      <c r="C611" s="390"/>
      <c r="D611" s="390"/>
      <c r="E611" s="390"/>
      <c r="F611" s="390"/>
      <c r="G611" s="390"/>
    </row>
    <row r="612" spans="3:7">
      <c r="C612" s="390"/>
      <c r="D612" s="390"/>
      <c r="E612" s="390"/>
      <c r="F612" s="390"/>
      <c r="G612" s="390"/>
    </row>
    <row r="613" spans="3:7">
      <c r="C613" s="390"/>
      <c r="D613" s="390"/>
      <c r="E613" s="390"/>
      <c r="F613" s="390"/>
      <c r="G613" s="390"/>
    </row>
    <row r="614" spans="3:7">
      <c r="C614" s="390"/>
      <c r="D614" s="390"/>
      <c r="E614" s="390"/>
      <c r="F614" s="390"/>
      <c r="G614" s="390"/>
    </row>
    <row r="615" spans="3:7">
      <c r="C615" s="390"/>
      <c r="D615" s="390"/>
      <c r="E615" s="390"/>
      <c r="F615" s="390"/>
      <c r="G615" s="390"/>
    </row>
    <row r="616" spans="3:7">
      <c r="C616" s="390"/>
      <c r="D616" s="390"/>
      <c r="E616" s="390"/>
      <c r="F616" s="390"/>
      <c r="G616" s="390"/>
    </row>
    <row r="617" spans="3:7">
      <c r="C617" s="390"/>
      <c r="D617" s="390"/>
      <c r="E617" s="390"/>
      <c r="F617" s="390"/>
      <c r="G617" s="390"/>
    </row>
    <row r="618" spans="3:7">
      <c r="C618" s="390"/>
      <c r="D618" s="390"/>
      <c r="E618" s="390"/>
      <c r="F618" s="390"/>
      <c r="G618" s="390"/>
    </row>
    <row r="619" spans="3:7">
      <c r="C619" s="390"/>
      <c r="D619" s="390"/>
      <c r="E619" s="390"/>
      <c r="F619" s="390"/>
      <c r="G619" s="390"/>
    </row>
    <row r="620" spans="3:7">
      <c r="C620" s="390"/>
      <c r="D620" s="390"/>
      <c r="E620" s="390"/>
      <c r="F620" s="390"/>
      <c r="G620" s="390"/>
    </row>
    <row r="621" spans="3:7">
      <c r="C621" s="390"/>
      <c r="D621" s="390"/>
      <c r="E621" s="390"/>
      <c r="F621" s="390"/>
      <c r="G621" s="390"/>
    </row>
    <row r="622" spans="3:7">
      <c r="C622" s="390"/>
      <c r="D622" s="390"/>
      <c r="E622" s="390"/>
      <c r="F622" s="390"/>
      <c r="G622" s="390"/>
    </row>
    <row r="623" spans="3:7">
      <c r="C623" s="390"/>
      <c r="D623" s="390"/>
      <c r="E623" s="390"/>
      <c r="F623" s="390"/>
      <c r="G623" s="390"/>
    </row>
    <row r="624" spans="3:7">
      <c r="C624" s="390"/>
      <c r="D624" s="390"/>
      <c r="E624" s="390"/>
      <c r="F624" s="390"/>
      <c r="G624" s="390"/>
    </row>
    <row r="625" spans="3:7">
      <c r="C625" s="390"/>
      <c r="D625" s="390"/>
      <c r="E625" s="390"/>
      <c r="F625" s="390"/>
      <c r="G625" s="390"/>
    </row>
    <row r="626" spans="3:7">
      <c r="C626" s="390"/>
      <c r="D626" s="390"/>
      <c r="E626" s="390"/>
      <c r="F626" s="390"/>
      <c r="G626" s="390"/>
    </row>
    <row r="627" spans="3:7">
      <c r="C627" s="390"/>
      <c r="D627" s="390"/>
      <c r="E627" s="390"/>
      <c r="F627" s="390"/>
      <c r="G627" s="390"/>
    </row>
    <row r="628" spans="3:7">
      <c r="C628" s="390"/>
      <c r="D628" s="390"/>
      <c r="E628" s="390"/>
      <c r="F628" s="390"/>
      <c r="G628" s="390"/>
    </row>
    <row r="629" spans="3:7">
      <c r="C629" s="390"/>
      <c r="D629" s="390"/>
      <c r="E629" s="390"/>
      <c r="F629" s="390"/>
      <c r="G629" s="390"/>
    </row>
    <row r="630" spans="3:7">
      <c r="C630" s="390"/>
      <c r="D630" s="390"/>
      <c r="E630" s="390"/>
      <c r="F630" s="390"/>
      <c r="G630" s="390"/>
    </row>
    <row r="631" spans="3:7">
      <c r="C631" s="390"/>
      <c r="D631" s="390"/>
      <c r="E631" s="390"/>
      <c r="F631" s="390"/>
      <c r="G631" s="390"/>
    </row>
    <row r="632" spans="3:7">
      <c r="C632" s="390"/>
      <c r="D632" s="390"/>
      <c r="E632" s="390"/>
      <c r="F632" s="390"/>
      <c r="G632" s="390"/>
    </row>
    <row r="633" spans="3:7">
      <c r="C633" s="390"/>
      <c r="D633" s="390"/>
      <c r="E633" s="390"/>
      <c r="F633" s="390"/>
      <c r="G633" s="390"/>
    </row>
    <row r="634" spans="3:7">
      <c r="C634" s="390"/>
      <c r="D634" s="390"/>
      <c r="E634" s="390"/>
      <c r="F634" s="390"/>
      <c r="G634" s="390"/>
    </row>
    <row r="635" spans="3:7">
      <c r="C635" s="390"/>
      <c r="D635" s="390"/>
      <c r="E635" s="390"/>
      <c r="F635" s="390"/>
      <c r="G635" s="390"/>
    </row>
    <row r="636" spans="3:7">
      <c r="C636" s="390"/>
      <c r="D636" s="390"/>
      <c r="E636" s="390"/>
      <c r="F636" s="390"/>
      <c r="G636" s="390"/>
    </row>
    <row r="637" spans="3:7">
      <c r="C637" s="390"/>
      <c r="D637" s="390"/>
      <c r="E637" s="390"/>
      <c r="F637" s="390"/>
      <c r="G637" s="390"/>
    </row>
    <row r="638" spans="3:7">
      <c r="C638" s="390"/>
      <c r="D638" s="390"/>
      <c r="E638" s="390"/>
      <c r="F638" s="390"/>
      <c r="G638" s="390"/>
    </row>
    <row r="639" spans="3:7">
      <c r="C639" s="390"/>
      <c r="D639" s="390"/>
      <c r="E639" s="390"/>
      <c r="F639" s="390"/>
      <c r="G639" s="390"/>
    </row>
    <row r="640" spans="3:7">
      <c r="C640" s="390"/>
      <c r="D640" s="390"/>
      <c r="E640" s="390"/>
      <c r="F640" s="390"/>
      <c r="G640" s="390"/>
    </row>
    <row r="641" spans="3:7">
      <c r="C641" s="390"/>
      <c r="D641" s="390"/>
      <c r="E641" s="390"/>
      <c r="F641" s="390"/>
      <c r="G641" s="390"/>
    </row>
    <row r="642" spans="3:7">
      <c r="C642" s="390"/>
      <c r="D642" s="390"/>
      <c r="E642" s="390"/>
      <c r="F642" s="390"/>
      <c r="G642" s="390"/>
    </row>
    <row r="643" spans="3:7">
      <c r="C643" s="390"/>
      <c r="D643" s="390"/>
      <c r="E643" s="390"/>
      <c r="F643" s="390"/>
      <c r="G643" s="390"/>
    </row>
    <row r="644" spans="3:7">
      <c r="C644" s="390"/>
      <c r="D644" s="390"/>
      <c r="E644" s="390"/>
      <c r="F644" s="390"/>
      <c r="G644" s="390"/>
    </row>
    <row r="645" spans="3:7">
      <c r="C645" s="390"/>
      <c r="D645" s="390"/>
      <c r="E645" s="390"/>
      <c r="F645" s="390"/>
      <c r="G645" s="390"/>
    </row>
    <row r="646" spans="3:7">
      <c r="C646" s="390"/>
      <c r="D646" s="390"/>
      <c r="E646" s="390"/>
      <c r="F646" s="390"/>
      <c r="G646" s="390"/>
    </row>
    <row r="647" spans="3:7">
      <c r="C647" s="390"/>
      <c r="D647" s="390"/>
      <c r="E647" s="390"/>
      <c r="F647" s="390"/>
      <c r="G647" s="390"/>
    </row>
    <row r="648" spans="3:7">
      <c r="C648" s="390"/>
      <c r="D648" s="390"/>
      <c r="E648" s="390"/>
      <c r="F648" s="390"/>
      <c r="G648" s="390"/>
    </row>
    <row r="649" spans="3:7">
      <c r="C649" s="390"/>
      <c r="D649" s="390"/>
      <c r="E649" s="390"/>
      <c r="F649" s="390"/>
      <c r="G649" s="390"/>
    </row>
    <row r="650" spans="3:7">
      <c r="C650" s="390"/>
      <c r="D650" s="390"/>
      <c r="E650" s="390"/>
      <c r="F650" s="390"/>
      <c r="G650" s="390"/>
    </row>
    <row r="651" spans="3:7">
      <c r="C651" s="390"/>
      <c r="D651" s="390"/>
      <c r="E651" s="390"/>
      <c r="F651" s="390"/>
      <c r="G651" s="390"/>
    </row>
    <row r="652" spans="3:7">
      <c r="C652" s="390"/>
      <c r="D652" s="390"/>
      <c r="E652" s="390"/>
      <c r="F652" s="390"/>
      <c r="G652" s="390"/>
    </row>
    <row r="653" spans="3:7">
      <c r="C653" s="390"/>
      <c r="D653" s="390"/>
      <c r="E653" s="390"/>
      <c r="F653" s="390"/>
      <c r="G653" s="390"/>
    </row>
    <row r="654" spans="3:7">
      <c r="C654" s="390"/>
      <c r="D654" s="390"/>
      <c r="E654" s="390"/>
      <c r="F654" s="390"/>
      <c r="G654" s="390"/>
    </row>
    <row r="655" spans="3:7">
      <c r="C655" s="390"/>
      <c r="D655" s="390"/>
      <c r="E655" s="390"/>
      <c r="F655" s="390"/>
      <c r="G655" s="390"/>
    </row>
    <row r="656" spans="3:7">
      <c r="C656" s="390"/>
      <c r="D656" s="390"/>
      <c r="E656" s="390"/>
      <c r="F656" s="390"/>
      <c r="G656" s="390"/>
    </row>
    <row r="657" spans="3:7">
      <c r="C657" s="390"/>
      <c r="D657" s="390"/>
      <c r="E657" s="390"/>
      <c r="F657" s="390"/>
      <c r="G657" s="390"/>
    </row>
    <row r="658" spans="3:7">
      <c r="C658" s="390"/>
      <c r="D658" s="390"/>
      <c r="E658" s="390"/>
      <c r="F658" s="390"/>
      <c r="G658" s="390"/>
    </row>
    <row r="659" spans="3:7">
      <c r="C659" s="390"/>
      <c r="D659" s="390"/>
      <c r="E659" s="390"/>
      <c r="F659" s="390"/>
      <c r="G659" s="390"/>
    </row>
    <row r="660" spans="3:7">
      <c r="C660" s="390"/>
      <c r="D660" s="390"/>
      <c r="E660" s="390"/>
      <c r="F660" s="390"/>
      <c r="G660" s="390"/>
    </row>
    <row r="661" spans="3:7">
      <c r="C661" s="390"/>
      <c r="D661" s="390"/>
      <c r="E661" s="390"/>
      <c r="F661" s="390"/>
      <c r="G661" s="390"/>
    </row>
    <row r="662" spans="3:7">
      <c r="C662" s="390"/>
      <c r="D662" s="390"/>
      <c r="E662" s="390"/>
      <c r="F662" s="390"/>
      <c r="G662" s="390"/>
    </row>
    <row r="663" spans="3:7">
      <c r="C663" s="390"/>
      <c r="D663" s="390"/>
      <c r="E663" s="390"/>
      <c r="F663" s="390"/>
      <c r="G663" s="390"/>
    </row>
    <row r="664" spans="3:7">
      <c r="C664" s="390"/>
      <c r="D664" s="390"/>
      <c r="E664" s="390"/>
      <c r="F664" s="390"/>
      <c r="G664" s="390"/>
    </row>
    <row r="665" spans="3:7">
      <c r="C665" s="390"/>
      <c r="D665" s="390"/>
      <c r="E665" s="390"/>
      <c r="F665" s="390"/>
      <c r="G665" s="390"/>
    </row>
    <row r="666" spans="3:7">
      <c r="C666" s="390"/>
      <c r="D666" s="390"/>
      <c r="E666" s="390"/>
      <c r="F666" s="390"/>
      <c r="G666" s="390"/>
    </row>
    <row r="667" spans="3:7">
      <c r="C667" s="390"/>
      <c r="D667" s="390"/>
      <c r="E667" s="390"/>
      <c r="F667" s="390"/>
      <c r="G667" s="390"/>
    </row>
    <row r="668" spans="3:7">
      <c r="C668" s="390"/>
      <c r="D668" s="390"/>
      <c r="E668" s="390"/>
      <c r="F668" s="390"/>
      <c r="G668" s="390"/>
    </row>
    <row r="669" spans="3:7">
      <c r="C669" s="390"/>
      <c r="D669" s="390"/>
      <c r="E669" s="390"/>
      <c r="F669" s="390"/>
      <c r="G669" s="390"/>
    </row>
    <row r="670" spans="3:7">
      <c r="C670" s="390"/>
      <c r="D670" s="390"/>
      <c r="E670" s="390"/>
      <c r="F670" s="390"/>
      <c r="G670" s="390"/>
    </row>
    <row r="671" spans="3:7">
      <c r="C671" s="390"/>
      <c r="D671" s="390"/>
      <c r="E671" s="390"/>
      <c r="F671" s="390"/>
      <c r="G671" s="390"/>
    </row>
    <row r="672" spans="3:7">
      <c r="C672" s="390"/>
      <c r="D672" s="390"/>
      <c r="E672" s="390"/>
      <c r="F672" s="390"/>
      <c r="G672" s="390"/>
    </row>
    <row r="673" spans="3:7">
      <c r="C673" s="390"/>
      <c r="D673" s="390"/>
      <c r="E673" s="390"/>
      <c r="F673" s="390"/>
      <c r="G673" s="390"/>
    </row>
    <row r="674" spans="3:7">
      <c r="C674" s="390"/>
      <c r="D674" s="390"/>
      <c r="E674" s="390"/>
      <c r="F674" s="390"/>
      <c r="G674" s="390"/>
    </row>
    <row r="675" spans="3:7">
      <c r="C675" s="390"/>
      <c r="D675" s="390"/>
      <c r="E675" s="390"/>
      <c r="F675" s="390"/>
      <c r="G675" s="390"/>
    </row>
    <row r="676" spans="3:7">
      <c r="C676" s="390"/>
      <c r="D676" s="390"/>
      <c r="E676" s="390"/>
      <c r="F676" s="390"/>
      <c r="G676" s="390"/>
    </row>
    <row r="677" spans="3:7">
      <c r="C677" s="390"/>
      <c r="D677" s="390"/>
      <c r="E677" s="390"/>
      <c r="F677" s="390"/>
      <c r="G677" s="390"/>
    </row>
    <row r="678" spans="3:7">
      <c r="C678" s="390"/>
      <c r="D678" s="390"/>
      <c r="E678" s="390"/>
      <c r="F678" s="390"/>
      <c r="G678" s="390"/>
    </row>
    <row r="679" spans="3:7">
      <c r="C679" s="390"/>
      <c r="D679" s="390"/>
      <c r="E679" s="390"/>
      <c r="F679" s="390"/>
      <c r="G679" s="390"/>
    </row>
    <row r="680" spans="3:7">
      <c r="C680" s="390"/>
      <c r="D680" s="390"/>
      <c r="E680" s="390"/>
      <c r="F680" s="390"/>
      <c r="G680" s="390"/>
    </row>
    <row r="681" spans="3:7">
      <c r="C681" s="390"/>
      <c r="D681" s="390"/>
      <c r="E681" s="390"/>
      <c r="F681" s="390"/>
      <c r="G681" s="390"/>
    </row>
    <row r="682" spans="3:7">
      <c r="C682" s="390"/>
      <c r="D682" s="390"/>
      <c r="E682" s="390"/>
      <c r="F682" s="390"/>
      <c r="G682" s="390"/>
    </row>
    <row r="683" spans="3:7">
      <c r="C683" s="390"/>
      <c r="D683" s="390"/>
      <c r="E683" s="390"/>
      <c r="F683" s="390"/>
      <c r="G683" s="390"/>
    </row>
    <row r="684" spans="3:7">
      <c r="C684" s="390"/>
      <c r="D684" s="390"/>
      <c r="E684" s="390"/>
      <c r="F684" s="390"/>
      <c r="G684" s="390"/>
    </row>
    <row r="685" spans="3:7">
      <c r="C685" s="390"/>
      <c r="D685" s="390"/>
      <c r="E685" s="390"/>
      <c r="F685" s="390"/>
      <c r="G685" s="390"/>
    </row>
    <row r="686" spans="3:7">
      <c r="C686" s="390"/>
      <c r="D686" s="390"/>
      <c r="E686" s="390"/>
      <c r="F686" s="390"/>
      <c r="G686" s="390"/>
    </row>
    <row r="687" spans="3:7">
      <c r="C687" s="390"/>
      <c r="D687" s="390"/>
      <c r="E687" s="390"/>
      <c r="F687" s="390"/>
      <c r="G687" s="390"/>
    </row>
    <row r="688" spans="3:7">
      <c r="C688" s="390"/>
      <c r="D688" s="390"/>
      <c r="E688" s="390"/>
      <c r="F688" s="390"/>
      <c r="G688" s="390"/>
    </row>
    <row r="689" spans="3:7">
      <c r="C689" s="390"/>
      <c r="D689" s="390"/>
      <c r="E689" s="390"/>
      <c r="F689" s="390"/>
      <c r="G689" s="390"/>
    </row>
    <row r="690" spans="3:7">
      <c r="C690" s="390"/>
      <c r="D690" s="390"/>
      <c r="E690" s="390"/>
      <c r="F690" s="390"/>
      <c r="G690" s="390"/>
    </row>
    <row r="691" spans="3:7">
      <c r="C691" s="390"/>
      <c r="D691" s="390"/>
      <c r="E691" s="390"/>
      <c r="F691" s="390"/>
      <c r="G691" s="390"/>
    </row>
    <row r="692" spans="3:7">
      <c r="C692" s="390"/>
      <c r="D692" s="390"/>
      <c r="E692" s="390"/>
      <c r="F692" s="390"/>
      <c r="G692" s="390"/>
    </row>
    <row r="693" spans="3:7">
      <c r="C693" s="390"/>
      <c r="D693" s="390"/>
      <c r="E693" s="390"/>
      <c r="F693" s="390"/>
      <c r="G693" s="390"/>
    </row>
    <row r="694" spans="3:7">
      <c r="C694" s="390"/>
      <c r="D694" s="390"/>
      <c r="E694" s="390"/>
      <c r="F694" s="390"/>
      <c r="G694" s="390"/>
    </row>
    <row r="695" spans="3:7">
      <c r="C695" s="390"/>
      <c r="D695" s="390"/>
      <c r="E695" s="390"/>
      <c r="F695" s="390"/>
      <c r="G695" s="390"/>
    </row>
    <row r="696" spans="3:7">
      <c r="C696" s="390"/>
      <c r="D696" s="390"/>
      <c r="E696" s="390"/>
      <c r="F696" s="390"/>
      <c r="G696" s="390"/>
    </row>
    <row r="697" spans="3:7">
      <c r="C697" s="390"/>
      <c r="D697" s="390"/>
      <c r="E697" s="390"/>
      <c r="F697" s="390"/>
      <c r="G697" s="390"/>
    </row>
    <row r="698" spans="3:7">
      <c r="C698" s="390"/>
      <c r="D698" s="390"/>
      <c r="E698" s="390"/>
      <c r="F698" s="390"/>
      <c r="G698" s="390"/>
    </row>
    <row r="699" spans="3:7">
      <c r="C699" s="390"/>
      <c r="D699" s="390"/>
      <c r="E699" s="390"/>
      <c r="F699" s="390"/>
      <c r="G699" s="390"/>
    </row>
    <row r="700" spans="3:7">
      <c r="C700" s="390"/>
      <c r="D700" s="390"/>
      <c r="E700" s="390"/>
      <c r="F700" s="390"/>
      <c r="G700" s="390"/>
    </row>
    <row r="701" spans="3:7">
      <c r="C701" s="390"/>
      <c r="D701" s="390"/>
      <c r="E701" s="390"/>
      <c r="F701" s="390"/>
      <c r="G701" s="390"/>
    </row>
    <row r="702" spans="3:7">
      <c r="C702" s="390"/>
      <c r="D702" s="390"/>
      <c r="E702" s="390"/>
      <c r="F702" s="390"/>
      <c r="G702" s="390"/>
    </row>
    <row r="703" spans="3:7">
      <c r="C703" s="390"/>
      <c r="D703" s="390"/>
      <c r="E703" s="390"/>
      <c r="F703" s="390"/>
      <c r="G703" s="390"/>
    </row>
    <row r="704" spans="3:7">
      <c r="C704" s="390"/>
      <c r="D704" s="390"/>
      <c r="E704" s="390"/>
      <c r="F704" s="390"/>
      <c r="G704" s="390"/>
    </row>
    <row r="705" spans="3:7">
      <c r="C705" s="390"/>
      <c r="D705" s="390"/>
      <c r="E705" s="390"/>
      <c r="F705" s="390"/>
      <c r="G705" s="390"/>
    </row>
    <row r="706" spans="3:7">
      <c r="C706" s="390"/>
      <c r="D706" s="390"/>
      <c r="E706" s="390"/>
      <c r="F706" s="390"/>
      <c r="G706" s="390"/>
    </row>
    <row r="707" spans="3:7">
      <c r="C707" s="390"/>
      <c r="D707" s="390"/>
      <c r="E707" s="390"/>
      <c r="F707" s="390"/>
      <c r="G707" s="390"/>
    </row>
    <row r="708" spans="3:7">
      <c r="C708" s="390"/>
      <c r="D708" s="390"/>
      <c r="E708" s="390"/>
      <c r="F708" s="390"/>
      <c r="G708" s="390"/>
    </row>
    <row r="709" spans="3:7">
      <c r="C709" s="390"/>
      <c r="D709" s="390"/>
      <c r="E709" s="390"/>
      <c r="F709" s="390"/>
      <c r="G709" s="390"/>
    </row>
    <row r="710" spans="3:7">
      <c r="C710" s="390"/>
      <c r="D710" s="390"/>
      <c r="E710" s="390"/>
      <c r="F710" s="390"/>
      <c r="G710" s="390"/>
    </row>
    <row r="711" spans="3:7">
      <c r="C711" s="390"/>
      <c r="D711" s="390"/>
      <c r="E711" s="390"/>
      <c r="F711" s="390"/>
      <c r="G711" s="390"/>
    </row>
    <row r="712" spans="3:7">
      <c r="C712" s="390"/>
      <c r="D712" s="390"/>
      <c r="E712" s="390"/>
      <c r="F712" s="390"/>
      <c r="G712" s="390"/>
    </row>
    <row r="713" spans="3:7">
      <c r="C713" s="390"/>
      <c r="D713" s="390"/>
      <c r="E713" s="390"/>
      <c r="F713" s="390"/>
      <c r="G713" s="390"/>
    </row>
    <row r="714" spans="3:7">
      <c r="C714" s="390"/>
      <c r="D714" s="390"/>
      <c r="E714" s="390"/>
      <c r="F714" s="390"/>
      <c r="G714" s="390"/>
    </row>
    <row r="715" spans="3:7">
      <c r="C715" s="390"/>
      <c r="D715" s="390"/>
      <c r="E715" s="390"/>
      <c r="F715" s="390"/>
      <c r="G715" s="390"/>
    </row>
    <row r="716" spans="3:7">
      <c r="C716" s="390"/>
      <c r="D716" s="390"/>
      <c r="E716" s="390"/>
      <c r="F716" s="390"/>
      <c r="G716" s="390"/>
    </row>
    <row r="717" spans="3:7">
      <c r="C717" s="390"/>
      <c r="D717" s="390"/>
      <c r="E717" s="390"/>
      <c r="F717" s="390"/>
      <c r="G717" s="390"/>
    </row>
    <row r="718" spans="3:7">
      <c r="C718" s="390"/>
      <c r="D718" s="390"/>
      <c r="E718" s="390"/>
      <c r="F718" s="390"/>
      <c r="G718" s="390"/>
    </row>
    <row r="719" spans="3:7">
      <c r="C719" s="390"/>
      <c r="D719" s="390"/>
      <c r="E719" s="390"/>
      <c r="F719" s="390"/>
      <c r="G719" s="390"/>
    </row>
    <row r="720" spans="3:7">
      <c r="C720" s="390"/>
      <c r="D720" s="390"/>
      <c r="E720" s="390"/>
      <c r="F720" s="390"/>
      <c r="G720" s="390"/>
    </row>
    <row r="721" spans="3:7">
      <c r="C721" s="390"/>
      <c r="D721" s="390"/>
      <c r="E721" s="390"/>
      <c r="F721" s="390"/>
      <c r="G721" s="390"/>
    </row>
    <row r="722" spans="3:7">
      <c r="C722" s="390"/>
      <c r="D722" s="390"/>
      <c r="E722" s="390"/>
      <c r="F722" s="390"/>
      <c r="G722" s="390"/>
    </row>
    <row r="723" spans="3:7">
      <c r="C723" s="390"/>
      <c r="D723" s="390"/>
      <c r="E723" s="390"/>
      <c r="F723" s="390"/>
      <c r="G723" s="390"/>
    </row>
    <row r="724" spans="3:7">
      <c r="C724" s="390"/>
      <c r="D724" s="390"/>
      <c r="E724" s="390"/>
      <c r="F724" s="390"/>
      <c r="G724" s="390"/>
    </row>
    <row r="725" spans="3:7">
      <c r="C725" s="390"/>
      <c r="D725" s="390"/>
      <c r="E725" s="390"/>
      <c r="F725" s="390"/>
      <c r="G725" s="390"/>
    </row>
    <row r="726" spans="3:7">
      <c r="C726" s="390"/>
      <c r="D726" s="390"/>
      <c r="E726" s="390"/>
      <c r="F726" s="390"/>
      <c r="G726" s="390"/>
    </row>
    <row r="727" spans="3:7">
      <c r="C727" s="390"/>
      <c r="D727" s="390"/>
      <c r="E727" s="390"/>
      <c r="F727" s="390"/>
      <c r="G727" s="390"/>
    </row>
    <row r="728" spans="3:7">
      <c r="C728" s="390"/>
      <c r="D728" s="390"/>
      <c r="E728" s="390"/>
      <c r="F728" s="390"/>
      <c r="G728" s="390"/>
    </row>
    <row r="729" spans="3:7">
      <c r="C729" s="390"/>
      <c r="D729" s="390"/>
      <c r="E729" s="390"/>
      <c r="F729" s="390"/>
      <c r="G729" s="390"/>
    </row>
    <row r="730" spans="3:7">
      <c r="C730" s="390"/>
      <c r="D730" s="390"/>
      <c r="E730" s="390"/>
      <c r="F730" s="390"/>
      <c r="G730" s="390"/>
    </row>
    <row r="731" spans="3:7">
      <c r="C731" s="390"/>
      <c r="D731" s="390"/>
      <c r="E731" s="390"/>
      <c r="F731" s="390"/>
      <c r="G731" s="390"/>
    </row>
    <row r="732" spans="3:7">
      <c r="C732" s="390"/>
      <c r="D732" s="390"/>
      <c r="E732" s="390"/>
      <c r="F732" s="390"/>
      <c r="G732" s="390"/>
    </row>
    <row r="733" spans="3:7">
      <c r="C733" s="390"/>
      <c r="D733" s="390"/>
      <c r="E733" s="390"/>
      <c r="F733" s="390"/>
      <c r="G733" s="390"/>
    </row>
    <row r="734" spans="3:7">
      <c r="C734" s="390"/>
      <c r="D734" s="390"/>
      <c r="E734" s="390"/>
      <c r="F734" s="390"/>
      <c r="G734" s="390"/>
    </row>
    <row r="735" spans="3:7">
      <c r="C735" s="390"/>
      <c r="D735" s="390"/>
      <c r="E735" s="390"/>
      <c r="F735" s="390"/>
      <c r="G735" s="390"/>
    </row>
    <row r="736" spans="3:7">
      <c r="C736" s="390"/>
      <c r="D736" s="390"/>
      <c r="E736" s="390"/>
      <c r="F736" s="390"/>
      <c r="G736" s="390"/>
    </row>
    <row r="737" spans="3:7">
      <c r="C737" s="390"/>
      <c r="D737" s="390"/>
      <c r="E737" s="390"/>
      <c r="F737" s="390"/>
      <c r="G737" s="390"/>
    </row>
    <row r="738" spans="3:7">
      <c r="C738" s="390"/>
      <c r="D738" s="390"/>
      <c r="E738" s="390"/>
      <c r="F738" s="390"/>
      <c r="G738" s="390"/>
    </row>
    <row r="739" spans="3:7">
      <c r="C739" s="390"/>
      <c r="D739" s="390"/>
      <c r="E739" s="390"/>
      <c r="F739" s="390"/>
      <c r="G739" s="390"/>
    </row>
    <row r="740" spans="3:7">
      <c r="C740" s="390"/>
      <c r="D740" s="390"/>
      <c r="E740" s="390"/>
      <c r="F740" s="390"/>
      <c r="G740" s="390"/>
    </row>
    <row r="741" spans="3:7">
      <c r="C741" s="390"/>
      <c r="D741" s="390"/>
      <c r="E741" s="390"/>
      <c r="F741" s="390"/>
      <c r="G741" s="390"/>
    </row>
    <row r="742" spans="3:7">
      <c r="C742" s="390"/>
      <c r="D742" s="390"/>
      <c r="E742" s="390"/>
      <c r="F742" s="390"/>
      <c r="G742" s="390"/>
    </row>
    <row r="743" spans="3:7">
      <c r="C743" s="390"/>
      <c r="D743" s="390"/>
      <c r="E743" s="390"/>
      <c r="F743" s="390"/>
      <c r="G743" s="390"/>
    </row>
    <row r="744" spans="3:7">
      <c r="C744" s="390"/>
      <c r="D744" s="390"/>
      <c r="E744" s="390"/>
      <c r="F744" s="390"/>
      <c r="G744" s="390"/>
    </row>
    <row r="745" spans="3:7">
      <c r="C745" s="390"/>
      <c r="D745" s="390"/>
      <c r="E745" s="390"/>
      <c r="F745" s="390"/>
      <c r="G745" s="390"/>
    </row>
    <row r="746" spans="3:7">
      <c r="C746" s="390"/>
      <c r="D746" s="390"/>
      <c r="E746" s="390"/>
      <c r="F746" s="390"/>
      <c r="G746" s="390"/>
    </row>
    <row r="747" spans="3:7">
      <c r="C747" s="390"/>
      <c r="D747" s="390"/>
      <c r="E747" s="390"/>
      <c r="F747" s="390"/>
      <c r="G747" s="390"/>
    </row>
    <row r="748" spans="3:7">
      <c r="C748" s="390"/>
      <c r="D748" s="390"/>
      <c r="E748" s="390"/>
      <c r="F748" s="390"/>
      <c r="G748" s="390"/>
    </row>
    <row r="749" spans="3:7">
      <c r="C749" s="390"/>
      <c r="D749" s="390"/>
      <c r="E749" s="390"/>
      <c r="F749" s="390"/>
      <c r="G749" s="390"/>
    </row>
    <row r="750" spans="3:7">
      <c r="C750" s="390"/>
      <c r="D750" s="390"/>
      <c r="E750" s="390"/>
      <c r="F750" s="390"/>
      <c r="G750" s="390"/>
    </row>
    <row r="751" spans="3:7">
      <c r="C751" s="390"/>
      <c r="D751" s="390"/>
      <c r="E751" s="390"/>
      <c r="F751" s="390"/>
      <c r="G751" s="390"/>
    </row>
    <row r="752" spans="3:7">
      <c r="C752" s="390"/>
      <c r="D752" s="390"/>
      <c r="E752" s="390"/>
      <c r="F752" s="390"/>
      <c r="G752" s="390"/>
    </row>
    <row r="753" spans="3:7">
      <c r="C753" s="390"/>
      <c r="D753" s="390"/>
      <c r="E753" s="390"/>
      <c r="F753" s="390"/>
      <c r="G753" s="390"/>
    </row>
    <row r="754" spans="3:7">
      <c r="C754" s="390"/>
      <c r="D754" s="390"/>
      <c r="E754" s="390"/>
      <c r="F754" s="390"/>
      <c r="G754" s="390"/>
    </row>
    <row r="755" spans="3:7">
      <c r="C755" s="390"/>
      <c r="D755" s="390"/>
      <c r="E755" s="390"/>
      <c r="F755" s="390"/>
      <c r="G755" s="390"/>
    </row>
    <row r="756" spans="3:7">
      <c r="C756" s="390"/>
      <c r="D756" s="390"/>
      <c r="E756" s="390"/>
      <c r="F756" s="390"/>
      <c r="G756" s="390"/>
    </row>
    <row r="757" spans="3:7">
      <c r="C757" s="390"/>
      <c r="D757" s="390"/>
      <c r="E757" s="390"/>
      <c r="F757" s="390"/>
      <c r="G757" s="390"/>
    </row>
    <row r="758" spans="3:7">
      <c r="C758" s="390"/>
      <c r="D758" s="390"/>
      <c r="E758" s="390"/>
      <c r="F758" s="390"/>
      <c r="G758" s="390"/>
    </row>
    <row r="759" spans="3:7">
      <c r="C759" s="390"/>
      <c r="D759" s="390"/>
      <c r="E759" s="390"/>
      <c r="F759" s="390"/>
      <c r="G759" s="390"/>
    </row>
    <row r="760" spans="3:7">
      <c r="C760" s="390"/>
      <c r="D760" s="390"/>
      <c r="E760" s="390"/>
      <c r="F760" s="390"/>
      <c r="G760" s="390"/>
    </row>
    <row r="761" spans="3:7">
      <c r="C761" s="390"/>
      <c r="D761" s="390"/>
      <c r="E761" s="390"/>
      <c r="F761" s="390"/>
      <c r="G761" s="390"/>
    </row>
    <row r="762" spans="3:7">
      <c r="C762" s="390"/>
      <c r="D762" s="390"/>
      <c r="E762" s="390"/>
      <c r="F762" s="390"/>
      <c r="G762" s="390"/>
    </row>
    <row r="763" spans="3:7">
      <c r="C763" s="390"/>
      <c r="D763" s="390"/>
      <c r="E763" s="390"/>
      <c r="F763" s="390"/>
      <c r="G763" s="390"/>
    </row>
    <row r="764" spans="3:7">
      <c r="C764" s="390"/>
      <c r="D764" s="390"/>
      <c r="E764" s="390"/>
      <c r="F764" s="390"/>
      <c r="G764" s="390"/>
    </row>
    <row r="765" spans="3:7">
      <c r="C765" s="390"/>
      <c r="D765" s="390"/>
      <c r="E765" s="390"/>
      <c r="F765" s="390"/>
      <c r="G765" s="390"/>
    </row>
    <row r="766" spans="3:7">
      <c r="C766" s="390"/>
      <c r="D766" s="390"/>
      <c r="E766" s="390"/>
      <c r="F766" s="390"/>
      <c r="G766" s="390"/>
    </row>
    <row r="767" spans="3:7">
      <c r="C767" s="390"/>
      <c r="D767" s="390"/>
      <c r="E767" s="390"/>
      <c r="F767" s="390"/>
      <c r="G767" s="390"/>
    </row>
    <row r="768" spans="3:7">
      <c r="C768" s="390"/>
      <c r="D768" s="390"/>
      <c r="E768" s="390"/>
      <c r="F768" s="390"/>
      <c r="G768" s="390"/>
    </row>
    <row r="769" spans="3:7">
      <c r="C769" s="390"/>
      <c r="D769" s="390"/>
      <c r="E769" s="390"/>
      <c r="F769" s="390"/>
      <c r="G769" s="390"/>
    </row>
    <row r="770" spans="3:7">
      <c r="C770" s="390"/>
      <c r="D770" s="390"/>
      <c r="E770" s="390"/>
      <c r="F770" s="390"/>
      <c r="G770" s="390"/>
    </row>
    <row r="771" spans="3:7">
      <c r="C771" s="390"/>
      <c r="D771" s="390"/>
      <c r="E771" s="390"/>
      <c r="F771" s="390"/>
      <c r="G771" s="390"/>
    </row>
    <row r="772" spans="3:7">
      <c r="C772" s="390"/>
      <c r="D772" s="390"/>
      <c r="E772" s="390"/>
      <c r="F772" s="390"/>
      <c r="G772" s="390"/>
    </row>
    <row r="773" spans="3:7">
      <c r="C773" s="390"/>
      <c r="D773" s="390"/>
      <c r="E773" s="390"/>
      <c r="F773" s="390"/>
      <c r="G773" s="390"/>
    </row>
    <row r="774" spans="3:7">
      <c r="C774" s="390"/>
      <c r="D774" s="390"/>
      <c r="E774" s="390"/>
      <c r="F774" s="390"/>
      <c r="G774" s="390"/>
    </row>
    <row r="775" spans="3:7">
      <c r="C775" s="390"/>
      <c r="D775" s="390"/>
      <c r="E775" s="390"/>
      <c r="F775" s="390"/>
      <c r="G775" s="390"/>
    </row>
    <row r="776" spans="3:7">
      <c r="C776" s="390"/>
      <c r="D776" s="390"/>
      <c r="E776" s="390"/>
      <c r="F776" s="390"/>
      <c r="G776" s="390"/>
    </row>
    <row r="777" spans="3:7">
      <c r="C777" s="390"/>
      <c r="D777" s="390"/>
      <c r="E777" s="390"/>
      <c r="F777" s="390"/>
      <c r="G777" s="390"/>
    </row>
    <row r="778" spans="3:7">
      <c r="C778" s="390"/>
      <c r="D778" s="390"/>
      <c r="E778" s="390"/>
      <c r="F778" s="390"/>
      <c r="G778" s="390"/>
    </row>
    <row r="779" spans="3:7">
      <c r="C779" s="390"/>
      <c r="D779" s="390"/>
      <c r="E779" s="390"/>
      <c r="F779" s="390"/>
      <c r="G779" s="390"/>
    </row>
    <row r="780" spans="3:7">
      <c r="C780" s="390"/>
      <c r="D780" s="390"/>
      <c r="E780" s="390"/>
      <c r="F780" s="390"/>
      <c r="G780" s="390"/>
    </row>
    <row r="781" spans="3:7">
      <c r="C781" s="390"/>
      <c r="D781" s="390"/>
      <c r="E781" s="390"/>
      <c r="F781" s="390"/>
      <c r="G781" s="390"/>
    </row>
    <row r="782" spans="3:7">
      <c r="C782" s="390"/>
      <c r="D782" s="390"/>
      <c r="E782" s="390"/>
      <c r="F782" s="390"/>
      <c r="G782" s="390"/>
    </row>
    <row r="783" spans="3:7">
      <c r="C783" s="390"/>
      <c r="D783" s="390"/>
      <c r="E783" s="390"/>
      <c r="F783" s="390"/>
      <c r="G783" s="390"/>
    </row>
    <row r="784" spans="3:7">
      <c r="C784" s="390"/>
      <c r="D784" s="390"/>
      <c r="E784" s="390"/>
      <c r="F784" s="390"/>
      <c r="G784" s="390"/>
    </row>
    <row r="785" spans="3:7">
      <c r="C785" s="390"/>
      <c r="D785" s="390"/>
      <c r="E785" s="390"/>
      <c r="F785" s="390"/>
      <c r="G785" s="390"/>
    </row>
    <row r="786" spans="3:7">
      <c r="C786" s="390"/>
      <c r="D786" s="390"/>
      <c r="E786" s="390"/>
      <c r="F786" s="390"/>
      <c r="G786" s="390"/>
    </row>
    <row r="787" spans="3:7">
      <c r="C787" s="390"/>
      <c r="D787" s="390"/>
      <c r="E787" s="390"/>
      <c r="F787" s="390"/>
      <c r="G787" s="390"/>
    </row>
    <row r="788" spans="3:7">
      <c r="C788" s="390"/>
      <c r="D788" s="390"/>
      <c r="E788" s="390"/>
      <c r="F788" s="390"/>
      <c r="G788" s="390"/>
    </row>
    <row r="789" spans="3:7">
      <c r="C789" s="390"/>
      <c r="D789" s="390"/>
      <c r="E789" s="390"/>
      <c r="F789" s="390"/>
      <c r="G789" s="390"/>
    </row>
    <row r="790" spans="3:7">
      <c r="C790" s="390"/>
      <c r="D790" s="390"/>
      <c r="E790" s="390"/>
      <c r="F790" s="390"/>
      <c r="G790" s="390"/>
    </row>
    <row r="791" spans="3:7">
      <c r="C791" s="390"/>
      <c r="D791" s="390"/>
      <c r="E791" s="390"/>
      <c r="F791" s="390"/>
      <c r="G791" s="390"/>
    </row>
    <row r="792" spans="3:7">
      <c r="C792" s="390"/>
      <c r="D792" s="390"/>
      <c r="E792" s="390"/>
      <c r="F792" s="390"/>
      <c r="G792" s="390"/>
    </row>
    <row r="793" spans="3:7">
      <c r="C793" s="390"/>
      <c r="D793" s="390"/>
      <c r="E793" s="390"/>
      <c r="F793" s="390"/>
      <c r="G793" s="390"/>
    </row>
    <row r="794" spans="3:7">
      <c r="C794" s="390"/>
      <c r="D794" s="390"/>
      <c r="E794" s="390"/>
      <c r="F794" s="390"/>
      <c r="G794" s="390"/>
    </row>
    <row r="795" spans="3:7">
      <c r="C795" s="390"/>
      <c r="D795" s="390"/>
      <c r="E795" s="390"/>
      <c r="F795" s="390"/>
      <c r="G795" s="390"/>
    </row>
    <row r="796" spans="3:7">
      <c r="C796" s="390"/>
      <c r="D796" s="390"/>
      <c r="E796" s="390"/>
      <c r="F796" s="390"/>
      <c r="G796" s="390"/>
    </row>
    <row r="797" spans="3:7">
      <c r="C797" s="390"/>
      <c r="D797" s="390"/>
      <c r="E797" s="390"/>
      <c r="F797" s="390"/>
      <c r="G797" s="390"/>
    </row>
    <row r="798" spans="3:7">
      <c r="C798" s="390"/>
      <c r="D798" s="390"/>
      <c r="E798" s="390"/>
      <c r="F798" s="390"/>
      <c r="G798" s="390"/>
    </row>
    <row r="799" spans="3:7">
      <c r="C799" s="390"/>
      <c r="D799" s="390"/>
      <c r="E799" s="390"/>
      <c r="F799" s="390"/>
      <c r="G799" s="390"/>
    </row>
    <row r="800" spans="3:7">
      <c r="C800" s="390"/>
      <c r="D800" s="390"/>
      <c r="E800" s="390"/>
      <c r="F800" s="390"/>
      <c r="G800" s="390"/>
    </row>
    <row r="801" spans="3:7">
      <c r="C801" s="390"/>
      <c r="D801" s="390"/>
      <c r="E801" s="390"/>
      <c r="F801" s="390"/>
      <c r="G801" s="390"/>
    </row>
    <row r="802" spans="3:7">
      <c r="C802" s="390"/>
      <c r="D802" s="390"/>
      <c r="E802" s="390"/>
      <c r="F802" s="390"/>
      <c r="G802" s="390"/>
    </row>
    <row r="803" spans="3:7">
      <c r="C803" s="390"/>
      <c r="D803" s="390"/>
      <c r="E803" s="390"/>
      <c r="F803" s="390"/>
      <c r="G803" s="390"/>
    </row>
    <row r="804" spans="3:7">
      <c r="C804" s="390"/>
      <c r="D804" s="390"/>
      <c r="E804" s="390"/>
      <c r="F804" s="390"/>
      <c r="G804" s="390"/>
    </row>
    <row r="805" spans="3:7">
      <c r="C805" s="390"/>
      <c r="D805" s="390"/>
      <c r="E805" s="390"/>
      <c r="F805" s="390"/>
      <c r="G805" s="390"/>
    </row>
    <row r="806" spans="3:7">
      <c r="C806" s="390"/>
      <c r="D806" s="390"/>
      <c r="E806" s="390"/>
      <c r="F806" s="390"/>
      <c r="G806" s="390"/>
    </row>
    <row r="807" spans="3:7">
      <c r="C807" s="390"/>
      <c r="D807" s="390"/>
      <c r="E807" s="390"/>
      <c r="F807" s="390"/>
      <c r="G807" s="390"/>
    </row>
    <row r="808" spans="3:7">
      <c r="C808" s="390"/>
      <c r="D808" s="390"/>
      <c r="E808" s="390"/>
      <c r="F808" s="390"/>
      <c r="G808" s="390"/>
    </row>
    <row r="809" spans="3:7">
      <c r="C809" s="390"/>
      <c r="D809" s="390"/>
      <c r="E809" s="390"/>
      <c r="F809" s="390"/>
      <c r="G809" s="390"/>
    </row>
    <row r="810" spans="3:7">
      <c r="C810" s="390"/>
      <c r="D810" s="390"/>
      <c r="E810" s="390"/>
      <c r="F810" s="390"/>
      <c r="G810" s="390"/>
    </row>
    <row r="811" spans="3:7">
      <c r="C811" s="390"/>
      <c r="D811" s="390"/>
      <c r="E811" s="390"/>
      <c r="F811" s="390"/>
      <c r="G811" s="390"/>
    </row>
    <row r="812" spans="3:7">
      <c r="C812" s="390"/>
      <c r="D812" s="390"/>
      <c r="E812" s="390"/>
      <c r="F812" s="390"/>
      <c r="G812" s="390"/>
    </row>
    <row r="813" spans="3:7">
      <c r="C813" s="390"/>
      <c r="D813" s="390"/>
      <c r="E813" s="390"/>
      <c r="F813" s="390"/>
      <c r="G813" s="390"/>
    </row>
    <row r="814" spans="3:7">
      <c r="C814" s="390"/>
      <c r="D814" s="390"/>
      <c r="E814" s="390"/>
      <c r="F814" s="390"/>
      <c r="G814" s="390"/>
    </row>
    <row r="815" spans="3:7">
      <c r="C815" s="390"/>
      <c r="D815" s="390"/>
      <c r="E815" s="390"/>
      <c r="F815" s="390"/>
      <c r="G815" s="390"/>
    </row>
    <row r="816" spans="3:7">
      <c r="C816" s="390"/>
      <c r="D816" s="390"/>
      <c r="E816" s="390"/>
      <c r="F816" s="390"/>
      <c r="G816" s="390"/>
    </row>
    <row r="817" spans="3:7">
      <c r="C817" s="390"/>
      <c r="D817" s="390"/>
      <c r="E817" s="390"/>
      <c r="F817" s="390"/>
      <c r="G817" s="390"/>
    </row>
    <row r="818" spans="3:7">
      <c r="C818" s="390"/>
      <c r="D818" s="390"/>
      <c r="E818" s="390"/>
      <c r="F818" s="390"/>
      <c r="G818" s="390"/>
    </row>
    <row r="819" spans="3:7">
      <c r="C819" s="390"/>
      <c r="D819" s="390"/>
      <c r="E819" s="390"/>
      <c r="F819" s="390"/>
      <c r="G819" s="390"/>
    </row>
    <row r="820" spans="3:7">
      <c r="C820" s="390"/>
      <c r="D820" s="390"/>
      <c r="E820" s="390"/>
      <c r="F820" s="390"/>
      <c r="G820" s="390"/>
    </row>
    <row r="821" spans="3:7">
      <c r="C821" s="390"/>
      <c r="D821" s="390"/>
      <c r="E821" s="390"/>
      <c r="F821" s="390"/>
      <c r="G821" s="390"/>
    </row>
    <row r="822" spans="3:7">
      <c r="C822" s="390"/>
      <c r="D822" s="390"/>
      <c r="E822" s="390"/>
      <c r="F822" s="390"/>
      <c r="G822" s="390"/>
    </row>
    <row r="823" spans="3:7">
      <c r="C823" s="390"/>
      <c r="D823" s="390"/>
      <c r="E823" s="390"/>
      <c r="F823" s="390"/>
      <c r="G823" s="390"/>
    </row>
    <row r="824" spans="3:7">
      <c r="C824" s="390"/>
      <c r="D824" s="390"/>
      <c r="E824" s="390"/>
      <c r="F824" s="390"/>
      <c r="G824" s="390"/>
    </row>
    <row r="825" spans="3:7">
      <c r="C825" s="390"/>
      <c r="D825" s="390"/>
      <c r="E825" s="390"/>
      <c r="F825" s="390"/>
      <c r="G825" s="390"/>
    </row>
    <row r="826" spans="3:7">
      <c r="C826" s="390"/>
      <c r="D826" s="390"/>
      <c r="E826" s="390"/>
      <c r="F826" s="390"/>
      <c r="G826" s="390"/>
    </row>
    <row r="827" spans="3:7">
      <c r="C827" s="390"/>
      <c r="D827" s="390"/>
      <c r="E827" s="390"/>
      <c r="F827" s="390"/>
      <c r="G827" s="390"/>
    </row>
    <row r="828" spans="3:7">
      <c r="C828" s="390"/>
      <c r="D828" s="390"/>
      <c r="E828" s="390"/>
      <c r="F828" s="390"/>
      <c r="G828" s="390"/>
    </row>
    <row r="829" spans="3:7">
      <c r="C829" s="390"/>
      <c r="D829" s="390"/>
      <c r="E829" s="390"/>
      <c r="F829" s="390"/>
      <c r="G829" s="390"/>
    </row>
    <row r="830" spans="3:7">
      <c r="C830" s="390"/>
      <c r="D830" s="390"/>
      <c r="E830" s="390"/>
      <c r="F830" s="390"/>
      <c r="G830" s="390"/>
    </row>
    <row r="831" spans="3:7">
      <c r="C831" s="390"/>
      <c r="D831" s="390"/>
      <c r="E831" s="390"/>
      <c r="F831" s="390"/>
      <c r="G831" s="390"/>
    </row>
    <row r="832" spans="3:7">
      <c r="C832" s="390"/>
      <c r="D832" s="390"/>
      <c r="E832" s="390"/>
      <c r="F832" s="390"/>
      <c r="G832" s="390"/>
    </row>
    <row r="833" spans="3:7">
      <c r="C833" s="390"/>
      <c r="D833" s="390"/>
      <c r="E833" s="390"/>
      <c r="F833" s="390"/>
      <c r="G833" s="390"/>
    </row>
    <row r="834" spans="3:7">
      <c r="C834" s="390"/>
      <c r="D834" s="390"/>
      <c r="E834" s="390"/>
      <c r="F834" s="390"/>
      <c r="G834" s="390"/>
    </row>
    <row r="835" spans="3:7">
      <c r="C835" s="390"/>
      <c r="D835" s="390"/>
      <c r="E835" s="390"/>
      <c r="F835" s="390"/>
      <c r="G835" s="390"/>
    </row>
    <row r="836" spans="3:7">
      <c r="C836" s="390"/>
      <c r="D836" s="390"/>
      <c r="E836" s="390"/>
      <c r="F836" s="390"/>
      <c r="G836" s="390"/>
    </row>
    <row r="837" spans="3:7">
      <c r="C837" s="390"/>
      <c r="D837" s="390"/>
      <c r="E837" s="390"/>
      <c r="F837" s="390"/>
      <c r="G837" s="390"/>
    </row>
    <row r="838" spans="3:7">
      <c r="C838" s="390"/>
      <c r="D838" s="390"/>
      <c r="E838" s="390"/>
      <c r="F838" s="390"/>
      <c r="G838" s="390"/>
    </row>
    <row r="839" spans="3:7">
      <c r="C839" s="390"/>
      <c r="D839" s="390"/>
      <c r="E839" s="390"/>
      <c r="F839" s="390"/>
      <c r="G839" s="390"/>
    </row>
    <row r="840" spans="3:7">
      <c r="C840" s="390"/>
      <c r="D840" s="390"/>
      <c r="E840" s="390"/>
      <c r="F840" s="390"/>
      <c r="G840" s="390"/>
    </row>
    <row r="841" spans="3:7">
      <c r="C841" s="390"/>
      <c r="D841" s="390"/>
      <c r="E841" s="390"/>
      <c r="F841" s="390"/>
      <c r="G841" s="390"/>
    </row>
    <row r="842" spans="3:7">
      <c r="C842" s="390"/>
      <c r="D842" s="390"/>
      <c r="E842" s="390"/>
      <c r="F842" s="390"/>
      <c r="G842" s="390"/>
    </row>
    <row r="843" spans="3:7">
      <c r="C843" s="390"/>
      <c r="D843" s="390"/>
      <c r="E843" s="390"/>
      <c r="F843" s="390"/>
      <c r="G843" s="390"/>
    </row>
    <row r="844" spans="3:7">
      <c r="C844" s="390"/>
      <c r="D844" s="390"/>
      <c r="E844" s="390"/>
      <c r="F844" s="390"/>
      <c r="G844" s="390"/>
    </row>
    <row r="845" spans="3:7">
      <c r="C845" s="390"/>
      <c r="D845" s="390"/>
      <c r="E845" s="390"/>
      <c r="F845" s="390"/>
      <c r="G845" s="390"/>
    </row>
    <row r="846" spans="3:7">
      <c r="C846" s="390"/>
      <c r="D846" s="390"/>
      <c r="E846" s="390"/>
      <c r="F846" s="390"/>
      <c r="G846" s="390"/>
    </row>
    <row r="847" spans="3:7">
      <c r="C847" s="390"/>
      <c r="D847" s="390"/>
      <c r="E847" s="390"/>
      <c r="F847" s="390"/>
      <c r="G847" s="390"/>
    </row>
    <row r="848" spans="3:7">
      <c r="C848" s="390"/>
      <c r="D848" s="390"/>
      <c r="E848" s="390"/>
      <c r="F848" s="390"/>
      <c r="G848" s="390"/>
    </row>
    <row r="849" spans="3:7">
      <c r="C849" s="390"/>
      <c r="D849" s="390"/>
      <c r="E849" s="390"/>
      <c r="F849" s="390"/>
      <c r="G849" s="390"/>
    </row>
    <row r="850" spans="3:7">
      <c r="C850" s="390"/>
      <c r="D850" s="390"/>
      <c r="E850" s="390"/>
      <c r="F850" s="390"/>
      <c r="G850" s="390"/>
    </row>
    <row r="851" spans="3:7">
      <c r="C851" s="390"/>
      <c r="D851" s="390"/>
      <c r="E851" s="390"/>
      <c r="F851" s="390"/>
      <c r="G851" s="390"/>
    </row>
    <row r="852" spans="3:7">
      <c r="C852" s="390"/>
      <c r="D852" s="390"/>
      <c r="E852" s="390"/>
      <c r="F852" s="390"/>
      <c r="G852" s="390"/>
    </row>
    <row r="853" spans="3:7">
      <c r="C853" s="390"/>
      <c r="D853" s="390"/>
      <c r="E853" s="390"/>
      <c r="F853" s="390"/>
      <c r="G853" s="390"/>
    </row>
    <row r="854" spans="3:7">
      <c r="C854" s="390"/>
      <c r="D854" s="390"/>
      <c r="E854" s="390"/>
      <c r="F854" s="390"/>
      <c r="G854" s="390"/>
    </row>
    <row r="855" spans="3:7">
      <c r="C855" s="390"/>
      <c r="D855" s="390"/>
      <c r="E855" s="390"/>
      <c r="F855" s="390"/>
      <c r="G855" s="390"/>
    </row>
    <row r="856" spans="3:7">
      <c r="C856" s="390"/>
      <c r="D856" s="390"/>
      <c r="E856" s="390"/>
      <c r="F856" s="390"/>
      <c r="G856" s="390"/>
    </row>
    <row r="857" spans="3:7">
      <c r="C857" s="390"/>
      <c r="D857" s="390"/>
      <c r="E857" s="390"/>
      <c r="F857" s="390"/>
      <c r="G857" s="390"/>
    </row>
    <row r="858" spans="3:7">
      <c r="C858" s="390"/>
      <c r="D858" s="390"/>
      <c r="E858" s="390"/>
      <c r="F858" s="390"/>
      <c r="G858" s="390"/>
    </row>
    <row r="859" spans="3:7">
      <c r="C859" s="390"/>
      <c r="D859" s="390"/>
      <c r="E859" s="390"/>
      <c r="F859" s="390"/>
      <c r="G859" s="390"/>
    </row>
    <row r="860" spans="3:7">
      <c r="C860" s="390"/>
      <c r="D860" s="390"/>
      <c r="E860" s="390"/>
      <c r="F860" s="390"/>
      <c r="G860" s="390"/>
    </row>
    <row r="861" spans="3:7">
      <c r="C861" s="390"/>
      <c r="D861" s="390"/>
      <c r="E861" s="390"/>
      <c r="F861" s="390"/>
      <c r="G861" s="390"/>
    </row>
    <row r="862" spans="3:7">
      <c r="C862" s="390"/>
      <c r="D862" s="390"/>
      <c r="E862" s="390"/>
      <c r="F862" s="390"/>
      <c r="G862" s="390"/>
    </row>
    <row r="863" spans="3:7">
      <c r="C863" s="390"/>
      <c r="D863" s="390"/>
      <c r="E863" s="390"/>
      <c r="F863" s="390"/>
      <c r="G863" s="390"/>
    </row>
    <row r="864" spans="3:7">
      <c r="C864" s="390"/>
      <c r="D864" s="390"/>
      <c r="E864" s="390"/>
      <c r="F864" s="390"/>
      <c r="G864" s="390"/>
    </row>
    <row r="865" spans="3:7">
      <c r="C865" s="390"/>
      <c r="D865" s="390"/>
      <c r="E865" s="390"/>
      <c r="F865" s="390"/>
      <c r="G865" s="390"/>
    </row>
    <row r="866" spans="3:7">
      <c r="C866" s="390"/>
      <c r="D866" s="390"/>
      <c r="E866" s="390"/>
      <c r="F866" s="390"/>
      <c r="G866" s="390"/>
    </row>
    <row r="867" spans="3:7">
      <c r="C867" s="390"/>
      <c r="D867" s="390"/>
      <c r="E867" s="390"/>
      <c r="F867" s="390"/>
      <c r="G867" s="390"/>
    </row>
    <row r="868" spans="3:7">
      <c r="C868" s="390"/>
      <c r="D868" s="390"/>
      <c r="E868" s="390"/>
      <c r="F868" s="390"/>
      <c r="G868" s="390"/>
    </row>
    <row r="869" spans="3:7">
      <c r="C869" s="390"/>
      <c r="D869" s="390"/>
      <c r="E869" s="390"/>
      <c r="F869" s="390"/>
      <c r="G869" s="390"/>
    </row>
    <row r="870" spans="3:7">
      <c r="C870" s="390"/>
      <c r="D870" s="390"/>
      <c r="E870" s="390"/>
      <c r="F870" s="390"/>
      <c r="G870" s="390"/>
    </row>
    <row r="871" spans="3:7">
      <c r="C871" s="390"/>
      <c r="D871" s="390"/>
      <c r="E871" s="390"/>
      <c r="F871" s="390"/>
      <c r="G871" s="390"/>
    </row>
    <row r="872" spans="3:7">
      <c r="C872" s="390"/>
      <c r="D872" s="390"/>
      <c r="E872" s="390"/>
      <c r="F872" s="390"/>
      <c r="G872" s="390"/>
    </row>
    <row r="873" spans="3:7">
      <c r="C873" s="390"/>
      <c r="D873" s="390"/>
      <c r="E873" s="390"/>
      <c r="F873" s="390"/>
      <c r="G873" s="390"/>
    </row>
    <row r="874" spans="3:7">
      <c r="C874" s="390"/>
      <c r="D874" s="390"/>
      <c r="E874" s="390"/>
      <c r="F874" s="390"/>
      <c r="G874" s="390"/>
    </row>
    <row r="875" spans="3:7">
      <c r="C875" s="390"/>
      <c r="D875" s="390"/>
      <c r="E875" s="390"/>
      <c r="F875" s="390"/>
      <c r="G875" s="390"/>
    </row>
    <row r="876" spans="3:7">
      <c r="C876" s="390"/>
      <c r="D876" s="390"/>
      <c r="E876" s="390"/>
      <c r="F876" s="390"/>
      <c r="G876" s="390"/>
    </row>
    <row r="877" spans="3:7">
      <c r="C877" s="390"/>
      <c r="D877" s="390"/>
      <c r="E877" s="390"/>
      <c r="F877" s="390"/>
      <c r="G877" s="390"/>
    </row>
    <row r="878" spans="3:7">
      <c r="C878" s="390"/>
      <c r="D878" s="390"/>
      <c r="E878" s="390"/>
      <c r="F878" s="390"/>
      <c r="G878" s="390"/>
    </row>
    <row r="879" spans="3:7">
      <c r="C879" s="390"/>
      <c r="D879" s="390"/>
      <c r="E879" s="390"/>
      <c r="F879" s="390"/>
      <c r="G879" s="390"/>
    </row>
    <row r="880" spans="3:7">
      <c r="C880" s="390"/>
      <c r="D880" s="390"/>
      <c r="E880" s="390"/>
      <c r="F880" s="390"/>
      <c r="G880" s="390"/>
    </row>
    <row r="881" spans="3:7">
      <c r="C881" s="390"/>
      <c r="D881" s="390"/>
      <c r="E881" s="390"/>
      <c r="F881" s="390"/>
      <c r="G881" s="390"/>
    </row>
    <row r="882" spans="3:7">
      <c r="C882" s="390"/>
      <c r="D882" s="390"/>
      <c r="E882" s="390"/>
      <c r="F882" s="390"/>
      <c r="G882" s="390"/>
    </row>
    <row r="883" spans="3:7">
      <c r="C883" s="390"/>
      <c r="D883" s="390"/>
      <c r="E883" s="390"/>
      <c r="F883" s="390"/>
      <c r="G883" s="390"/>
    </row>
    <row r="884" spans="3:7">
      <c r="C884" s="390"/>
      <c r="D884" s="390"/>
      <c r="E884" s="390"/>
      <c r="F884" s="390"/>
      <c r="G884" s="390"/>
    </row>
    <row r="885" spans="3:7">
      <c r="C885" s="390"/>
      <c r="D885" s="390"/>
      <c r="E885" s="390"/>
      <c r="F885" s="390"/>
      <c r="G885" s="390"/>
    </row>
    <row r="886" spans="3:7">
      <c r="C886" s="390"/>
      <c r="D886" s="390"/>
      <c r="E886" s="390"/>
      <c r="F886" s="390"/>
      <c r="G886" s="390"/>
    </row>
    <row r="887" spans="3:7">
      <c r="C887" s="390"/>
      <c r="D887" s="390"/>
      <c r="E887" s="390"/>
      <c r="F887" s="390"/>
      <c r="G887" s="390"/>
    </row>
    <row r="888" spans="3:7">
      <c r="C888" s="390"/>
      <c r="D888" s="390"/>
      <c r="E888" s="390"/>
      <c r="F888" s="390"/>
      <c r="G888" s="390"/>
    </row>
    <row r="889" spans="3:7">
      <c r="C889" s="390"/>
      <c r="D889" s="390"/>
      <c r="E889" s="390"/>
      <c r="F889" s="390"/>
      <c r="G889" s="390"/>
    </row>
    <row r="890" spans="3:7">
      <c r="C890" s="390"/>
      <c r="D890" s="390"/>
      <c r="E890" s="390"/>
      <c r="F890" s="390"/>
      <c r="G890" s="390"/>
    </row>
    <row r="891" spans="3:7">
      <c r="C891" s="390"/>
      <c r="D891" s="390"/>
      <c r="E891" s="390"/>
      <c r="F891" s="390"/>
      <c r="G891" s="390"/>
    </row>
    <row r="892" spans="3:7">
      <c r="C892" s="390"/>
      <c r="D892" s="390"/>
      <c r="E892" s="390"/>
      <c r="F892" s="390"/>
      <c r="G892" s="390"/>
    </row>
    <row r="893" spans="3:7">
      <c r="C893" s="390"/>
      <c r="D893" s="390"/>
      <c r="E893" s="390"/>
      <c r="F893" s="390"/>
      <c r="G893" s="390"/>
    </row>
    <row r="894" spans="3:7">
      <c r="C894" s="390"/>
      <c r="D894" s="390"/>
      <c r="E894" s="390"/>
      <c r="F894" s="390"/>
      <c r="G894" s="390"/>
    </row>
    <row r="895" spans="3:7">
      <c r="C895" s="390"/>
      <c r="D895" s="390"/>
      <c r="E895" s="390"/>
      <c r="F895" s="390"/>
      <c r="G895" s="390"/>
    </row>
    <row r="896" spans="3:7">
      <c r="C896" s="390"/>
      <c r="D896" s="390"/>
      <c r="E896" s="390"/>
      <c r="F896" s="390"/>
      <c r="G896" s="390"/>
    </row>
    <row r="897" spans="3:7">
      <c r="C897" s="390"/>
      <c r="D897" s="390"/>
      <c r="E897" s="390"/>
      <c r="F897" s="390"/>
      <c r="G897" s="390"/>
    </row>
    <row r="898" spans="3:7">
      <c r="C898" s="390"/>
      <c r="D898" s="390"/>
      <c r="E898" s="390"/>
      <c r="F898" s="390"/>
      <c r="G898" s="390"/>
    </row>
    <row r="899" spans="3:7">
      <c r="C899" s="390"/>
      <c r="D899" s="390"/>
      <c r="E899" s="390"/>
      <c r="F899" s="390"/>
      <c r="G899" s="390"/>
    </row>
    <row r="900" spans="3:7">
      <c r="C900" s="390"/>
      <c r="D900" s="390"/>
      <c r="E900" s="390"/>
      <c r="F900" s="390"/>
      <c r="G900" s="390"/>
    </row>
    <row r="901" spans="3:7">
      <c r="C901" s="390"/>
      <c r="D901" s="390"/>
      <c r="E901" s="390"/>
      <c r="F901" s="390"/>
      <c r="G901" s="390"/>
    </row>
    <row r="902" spans="3:7">
      <c r="C902" s="390"/>
      <c r="D902" s="390"/>
      <c r="E902" s="390"/>
      <c r="F902" s="390"/>
      <c r="G902" s="390"/>
    </row>
    <row r="903" spans="3:7">
      <c r="C903" s="390"/>
      <c r="D903" s="390"/>
      <c r="E903" s="390"/>
      <c r="F903" s="390"/>
      <c r="G903" s="390"/>
    </row>
    <row r="904" spans="3:7">
      <c r="C904" s="390"/>
      <c r="D904" s="390"/>
      <c r="E904" s="390"/>
      <c r="F904" s="390"/>
      <c r="G904" s="390"/>
    </row>
    <row r="905" spans="3:7">
      <c r="C905" s="390"/>
      <c r="D905" s="390"/>
      <c r="E905" s="390"/>
      <c r="F905" s="390"/>
      <c r="G905" s="390"/>
    </row>
    <row r="906" spans="3:7">
      <c r="C906" s="390"/>
      <c r="D906" s="390"/>
      <c r="E906" s="390"/>
      <c r="F906" s="390"/>
      <c r="G906" s="390"/>
    </row>
    <row r="907" spans="3:7">
      <c r="C907" s="390"/>
      <c r="D907" s="390"/>
      <c r="E907" s="390"/>
      <c r="F907" s="390"/>
      <c r="G907" s="390"/>
    </row>
    <row r="908" spans="3:7">
      <c r="C908" s="390"/>
      <c r="D908" s="390"/>
      <c r="E908" s="390"/>
      <c r="F908" s="390"/>
      <c r="G908" s="390"/>
    </row>
    <row r="909" spans="3:7">
      <c r="C909" s="390"/>
      <c r="D909" s="390"/>
      <c r="E909" s="390"/>
      <c r="F909" s="390"/>
      <c r="G909" s="390"/>
    </row>
    <row r="910" spans="3:7">
      <c r="C910" s="390"/>
      <c r="D910" s="390"/>
      <c r="E910" s="390"/>
      <c r="F910" s="390"/>
      <c r="G910" s="390"/>
    </row>
    <row r="911" spans="3:7">
      <c r="C911" s="390"/>
      <c r="D911" s="390"/>
      <c r="E911" s="390"/>
      <c r="F911" s="390"/>
      <c r="G911" s="390"/>
    </row>
    <row r="912" spans="3:7">
      <c r="C912" s="390"/>
      <c r="D912" s="390"/>
      <c r="E912" s="390"/>
      <c r="F912" s="390"/>
      <c r="G912" s="390"/>
    </row>
    <row r="913" spans="3:7">
      <c r="C913" s="390"/>
      <c r="D913" s="390"/>
      <c r="E913" s="390"/>
      <c r="F913" s="390"/>
      <c r="G913" s="390"/>
    </row>
    <row r="914" spans="3:7">
      <c r="C914" s="390"/>
      <c r="D914" s="390"/>
      <c r="E914" s="390"/>
      <c r="F914" s="390"/>
      <c r="G914" s="390"/>
    </row>
    <row r="915" spans="3:7">
      <c r="C915" s="390"/>
      <c r="D915" s="390"/>
      <c r="E915" s="390"/>
      <c r="F915" s="390"/>
      <c r="G915" s="390"/>
    </row>
    <row r="916" spans="3:7">
      <c r="C916" s="390"/>
      <c r="D916" s="390"/>
      <c r="E916" s="390"/>
      <c r="F916" s="390"/>
      <c r="G916" s="390"/>
    </row>
    <row r="917" spans="3:7">
      <c r="C917" s="390"/>
      <c r="D917" s="390"/>
      <c r="E917" s="390"/>
      <c r="F917" s="390"/>
      <c r="G917" s="390"/>
    </row>
    <row r="918" spans="3:7">
      <c r="C918" s="390"/>
      <c r="D918" s="390"/>
      <c r="E918" s="390"/>
      <c r="F918" s="390"/>
      <c r="G918" s="390"/>
    </row>
    <row r="919" spans="3:7">
      <c r="C919" s="390"/>
      <c r="D919" s="390"/>
      <c r="E919" s="390"/>
      <c r="F919" s="390"/>
      <c r="G919" s="390"/>
    </row>
    <row r="920" spans="3:7">
      <c r="C920" s="390"/>
      <c r="D920" s="390"/>
      <c r="E920" s="390"/>
      <c r="F920" s="390"/>
      <c r="G920" s="390"/>
    </row>
    <row r="921" spans="3:7">
      <c r="C921" s="390"/>
      <c r="D921" s="390"/>
      <c r="E921" s="390"/>
      <c r="F921" s="390"/>
      <c r="G921" s="390"/>
    </row>
    <row r="922" spans="3:7">
      <c r="C922" s="390"/>
      <c r="D922" s="390"/>
      <c r="E922" s="390"/>
      <c r="F922" s="390"/>
      <c r="G922" s="390"/>
    </row>
    <row r="923" spans="3:7">
      <c r="C923" s="390"/>
      <c r="D923" s="390"/>
      <c r="E923" s="390"/>
      <c r="F923" s="390"/>
      <c r="G923" s="390"/>
    </row>
    <row r="924" spans="3:7">
      <c r="C924" s="390"/>
      <c r="D924" s="390"/>
      <c r="E924" s="390"/>
      <c r="F924" s="390"/>
      <c r="G924" s="390"/>
    </row>
    <row r="925" spans="3:7">
      <c r="C925" s="390"/>
      <c r="D925" s="390"/>
      <c r="E925" s="390"/>
      <c r="F925" s="390"/>
      <c r="G925" s="390"/>
    </row>
    <row r="926" spans="3:7">
      <c r="C926" s="390"/>
      <c r="D926" s="390"/>
      <c r="E926" s="390"/>
      <c r="F926" s="390"/>
      <c r="G926" s="390"/>
    </row>
    <row r="927" spans="3:7">
      <c r="C927" s="390"/>
      <c r="D927" s="390"/>
      <c r="E927" s="390"/>
      <c r="F927" s="390"/>
      <c r="G927" s="390"/>
    </row>
    <row r="928" spans="3:7">
      <c r="C928" s="390"/>
      <c r="D928" s="390"/>
      <c r="E928" s="390"/>
      <c r="F928" s="390"/>
      <c r="G928" s="390"/>
    </row>
    <row r="929" spans="3:7">
      <c r="C929" s="390"/>
      <c r="D929" s="390"/>
      <c r="E929" s="390"/>
      <c r="F929" s="390"/>
      <c r="G929" s="390"/>
    </row>
    <row r="930" spans="3:7">
      <c r="C930" s="390"/>
      <c r="D930" s="390"/>
      <c r="E930" s="390"/>
      <c r="F930" s="390"/>
      <c r="G930" s="390"/>
    </row>
    <row r="931" spans="3:7">
      <c r="C931" s="390"/>
      <c r="D931" s="390"/>
      <c r="E931" s="390"/>
      <c r="F931" s="390"/>
      <c r="G931" s="390"/>
    </row>
    <row r="932" spans="3:7">
      <c r="C932" s="390"/>
      <c r="D932" s="390"/>
      <c r="E932" s="390"/>
      <c r="F932" s="390"/>
      <c r="G932" s="390"/>
    </row>
    <row r="933" spans="3:7">
      <c r="C933" s="390"/>
      <c r="D933" s="390"/>
      <c r="E933" s="390"/>
      <c r="F933" s="390"/>
      <c r="G933" s="390"/>
    </row>
    <row r="934" spans="3:7">
      <c r="C934" s="390"/>
      <c r="D934" s="390"/>
      <c r="E934" s="390"/>
      <c r="F934" s="390"/>
      <c r="G934" s="390"/>
    </row>
    <row r="935" spans="3:7">
      <c r="C935" s="390"/>
      <c r="D935" s="390"/>
      <c r="E935" s="390"/>
      <c r="F935" s="390"/>
      <c r="G935" s="390"/>
    </row>
    <row r="936" spans="3:7">
      <c r="C936" s="390"/>
      <c r="D936" s="390"/>
      <c r="E936" s="390"/>
      <c r="F936" s="390"/>
      <c r="G936" s="390"/>
    </row>
    <row r="937" spans="3:7">
      <c r="C937" s="390"/>
      <c r="D937" s="390"/>
      <c r="E937" s="390"/>
      <c r="F937" s="390"/>
      <c r="G937" s="390"/>
    </row>
    <row r="938" spans="3:7">
      <c r="C938" s="390"/>
      <c r="D938" s="390"/>
      <c r="E938" s="390"/>
      <c r="F938" s="390"/>
      <c r="G938" s="390"/>
    </row>
    <row r="939" spans="3:7">
      <c r="C939" s="390"/>
      <c r="D939" s="390"/>
      <c r="E939" s="390"/>
      <c r="F939" s="390"/>
      <c r="G939" s="390"/>
    </row>
    <row r="940" spans="3:7">
      <c r="C940" s="390"/>
      <c r="D940" s="390"/>
      <c r="E940" s="390"/>
      <c r="F940" s="390"/>
      <c r="G940" s="390"/>
    </row>
    <row r="941" spans="3:7">
      <c r="C941" s="390"/>
      <c r="D941" s="390"/>
      <c r="E941" s="390"/>
      <c r="F941" s="390"/>
      <c r="G941" s="390"/>
    </row>
    <row r="942" spans="3:7">
      <c r="C942" s="390"/>
      <c r="D942" s="390"/>
      <c r="E942" s="390"/>
      <c r="F942" s="390"/>
      <c r="G942" s="390"/>
    </row>
    <row r="943" spans="3:7">
      <c r="C943" s="390"/>
      <c r="D943" s="390"/>
      <c r="E943" s="390"/>
      <c r="F943" s="390"/>
      <c r="G943" s="390"/>
    </row>
    <row r="944" spans="3:7">
      <c r="C944" s="390"/>
      <c r="D944" s="390"/>
      <c r="E944" s="390"/>
      <c r="F944" s="390"/>
      <c r="G944" s="390"/>
    </row>
    <row r="945" spans="3:7">
      <c r="C945" s="390"/>
      <c r="D945" s="390"/>
      <c r="E945" s="390"/>
      <c r="F945" s="390"/>
      <c r="G945" s="390"/>
    </row>
    <row r="946" spans="3:7">
      <c r="C946" s="390"/>
      <c r="D946" s="390"/>
      <c r="E946" s="390"/>
      <c r="F946" s="390"/>
      <c r="G946" s="390"/>
    </row>
    <row r="947" spans="3:7">
      <c r="C947" s="390"/>
      <c r="D947" s="390"/>
      <c r="E947" s="390"/>
      <c r="F947" s="390"/>
      <c r="G947" s="390"/>
    </row>
    <row r="948" spans="3:7">
      <c r="C948" s="390"/>
      <c r="D948" s="390"/>
      <c r="E948" s="390"/>
      <c r="F948" s="390"/>
      <c r="G948" s="390"/>
    </row>
    <row r="949" spans="3:7">
      <c r="C949" s="390"/>
      <c r="D949" s="390"/>
      <c r="E949" s="390"/>
      <c r="F949" s="390"/>
      <c r="G949" s="390"/>
    </row>
    <row r="950" spans="3:7">
      <c r="C950" s="390"/>
      <c r="D950" s="390"/>
      <c r="E950" s="390"/>
      <c r="F950" s="390"/>
      <c r="G950" s="390"/>
    </row>
    <row r="951" spans="3:7">
      <c r="C951" s="390"/>
      <c r="D951" s="390"/>
      <c r="E951" s="390"/>
      <c r="F951" s="390"/>
      <c r="G951" s="390"/>
    </row>
    <row r="952" spans="3:7">
      <c r="C952" s="390"/>
      <c r="D952" s="390"/>
      <c r="E952" s="390"/>
      <c r="F952" s="390"/>
      <c r="G952" s="390"/>
    </row>
    <row r="953" spans="3:7">
      <c r="C953" s="390"/>
      <c r="D953" s="390"/>
      <c r="E953" s="390"/>
      <c r="F953" s="390"/>
      <c r="G953" s="390"/>
    </row>
    <row r="954" spans="3:7">
      <c r="C954" s="390"/>
      <c r="D954" s="390"/>
      <c r="E954" s="390"/>
      <c r="F954" s="390"/>
      <c r="G954" s="390"/>
    </row>
    <row r="955" spans="3:7">
      <c r="C955" s="390"/>
      <c r="D955" s="390"/>
      <c r="E955" s="390"/>
      <c r="F955" s="390"/>
      <c r="G955" s="390"/>
    </row>
    <row r="956" spans="3:7">
      <c r="C956" s="390"/>
      <c r="D956" s="390"/>
      <c r="E956" s="390"/>
      <c r="F956" s="390"/>
      <c r="G956" s="390"/>
    </row>
    <row r="957" spans="3:7">
      <c r="C957" s="390"/>
      <c r="D957" s="390"/>
      <c r="E957" s="390"/>
      <c r="F957" s="390"/>
      <c r="G957" s="390"/>
    </row>
    <row r="958" spans="3:7">
      <c r="C958" s="390"/>
      <c r="D958" s="390"/>
      <c r="E958" s="390"/>
      <c r="F958" s="390"/>
      <c r="G958" s="390"/>
    </row>
    <row r="959" spans="3:7">
      <c r="C959" s="390"/>
      <c r="D959" s="390"/>
      <c r="E959" s="390"/>
      <c r="F959" s="390"/>
      <c r="G959" s="390"/>
    </row>
    <row r="960" spans="3:7">
      <c r="C960" s="390"/>
      <c r="D960" s="390"/>
      <c r="E960" s="390"/>
      <c r="F960" s="390"/>
      <c r="G960" s="390"/>
    </row>
    <row r="961" spans="3:7">
      <c r="C961" s="390"/>
      <c r="D961" s="390"/>
      <c r="E961" s="390"/>
      <c r="F961" s="390"/>
      <c r="G961" s="390"/>
    </row>
    <row r="962" spans="3:7">
      <c r="C962" s="390"/>
      <c r="D962" s="390"/>
      <c r="E962" s="390"/>
      <c r="F962" s="390"/>
      <c r="G962" s="390"/>
    </row>
    <row r="963" spans="3:7">
      <c r="C963" s="390"/>
      <c r="D963" s="390"/>
      <c r="E963" s="390"/>
      <c r="F963" s="390"/>
      <c r="G963" s="390"/>
    </row>
    <row r="964" spans="3:7">
      <c r="C964" s="390"/>
      <c r="D964" s="390"/>
      <c r="E964" s="390"/>
      <c r="F964" s="390"/>
      <c r="G964" s="390"/>
    </row>
    <row r="965" spans="3:7">
      <c r="C965" s="390"/>
      <c r="D965" s="390"/>
      <c r="E965" s="390"/>
      <c r="F965" s="390"/>
      <c r="G965" s="390"/>
    </row>
    <row r="966" spans="3:7">
      <c r="C966" s="390"/>
      <c r="D966" s="390"/>
      <c r="E966" s="390"/>
      <c r="F966" s="390"/>
      <c r="G966" s="390"/>
    </row>
    <row r="967" spans="3:7">
      <c r="C967" s="390"/>
      <c r="D967" s="390"/>
      <c r="E967" s="390"/>
      <c r="F967" s="390"/>
      <c r="G967" s="390"/>
    </row>
    <row r="968" spans="3:7">
      <c r="C968" s="390"/>
      <c r="D968" s="390"/>
      <c r="E968" s="390"/>
      <c r="F968" s="390"/>
      <c r="G968" s="390"/>
    </row>
    <row r="969" spans="3:7">
      <c r="C969" s="390"/>
      <c r="D969" s="390"/>
      <c r="E969" s="390"/>
      <c r="F969" s="390"/>
      <c r="G969" s="390"/>
    </row>
    <row r="970" spans="3:7">
      <c r="C970" s="390"/>
      <c r="D970" s="390"/>
      <c r="E970" s="390"/>
      <c r="F970" s="390"/>
      <c r="G970" s="390"/>
    </row>
    <row r="971" spans="3:7">
      <c r="C971" s="390"/>
      <c r="D971" s="390"/>
      <c r="E971" s="390"/>
      <c r="F971" s="390"/>
      <c r="G971" s="390"/>
    </row>
    <row r="972" spans="3:7">
      <c r="C972" s="390"/>
      <c r="D972" s="390"/>
      <c r="E972" s="390"/>
      <c r="F972" s="390"/>
      <c r="G972" s="390"/>
    </row>
    <row r="973" spans="3:7">
      <c r="C973" s="390"/>
      <c r="D973" s="390"/>
      <c r="E973" s="390"/>
      <c r="F973" s="390"/>
      <c r="G973" s="390"/>
    </row>
    <row r="974" spans="3:7">
      <c r="C974" s="390"/>
      <c r="D974" s="390"/>
      <c r="E974" s="390"/>
      <c r="F974" s="390"/>
      <c r="G974" s="390"/>
    </row>
    <row r="975" spans="3:7">
      <c r="C975" s="390"/>
      <c r="D975" s="390"/>
      <c r="E975" s="390"/>
      <c r="F975" s="390"/>
      <c r="G975" s="390"/>
    </row>
    <row r="976" spans="3:7">
      <c r="C976" s="390"/>
      <c r="D976" s="390"/>
      <c r="E976" s="390"/>
      <c r="F976" s="390"/>
      <c r="G976" s="390"/>
    </row>
    <row r="977" spans="3:7">
      <c r="C977" s="390"/>
      <c r="D977" s="390"/>
      <c r="E977" s="390"/>
      <c r="F977" s="390"/>
      <c r="G977" s="390"/>
    </row>
    <row r="978" spans="3:7">
      <c r="C978" s="390"/>
      <c r="D978" s="390"/>
      <c r="E978" s="390"/>
      <c r="F978" s="390"/>
      <c r="G978" s="390"/>
    </row>
    <row r="979" spans="3:7">
      <c r="C979" s="390"/>
      <c r="D979" s="390"/>
      <c r="E979" s="390"/>
      <c r="F979" s="390"/>
      <c r="G979" s="390"/>
    </row>
    <row r="980" spans="3:7">
      <c r="C980" s="390"/>
      <c r="D980" s="390"/>
      <c r="E980" s="390"/>
      <c r="F980" s="390"/>
      <c r="G980" s="390"/>
    </row>
    <row r="981" spans="3:7">
      <c r="C981" s="390"/>
      <c r="D981" s="390"/>
      <c r="E981" s="390"/>
      <c r="F981" s="390"/>
      <c r="G981" s="390"/>
    </row>
    <row r="982" spans="3:7">
      <c r="C982" s="390"/>
      <c r="D982" s="390"/>
      <c r="E982" s="390"/>
      <c r="F982" s="390"/>
      <c r="G982" s="390"/>
    </row>
    <row r="983" spans="3:7">
      <c r="C983" s="390"/>
      <c r="D983" s="390"/>
      <c r="E983" s="390"/>
      <c r="F983" s="390"/>
      <c r="G983" s="390"/>
    </row>
    <row r="984" spans="3:7">
      <c r="C984" s="390"/>
      <c r="D984" s="390"/>
      <c r="E984" s="390"/>
      <c r="F984" s="390"/>
      <c r="G984" s="390"/>
    </row>
    <row r="985" spans="3:7">
      <c r="C985" s="390"/>
      <c r="D985" s="390"/>
      <c r="E985" s="390"/>
      <c r="F985" s="390"/>
      <c r="G985" s="390"/>
    </row>
    <row r="986" spans="3:7">
      <c r="C986" s="390"/>
      <c r="D986" s="390"/>
      <c r="E986" s="390"/>
      <c r="F986" s="390"/>
      <c r="G986" s="390"/>
    </row>
    <row r="987" spans="3:7">
      <c r="C987" s="390"/>
      <c r="D987" s="390"/>
      <c r="E987" s="390"/>
      <c r="F987" s="390"/>
      <c r="G987" s="390"/>
    </row>
    <row r="988" spans="3:7">
      <c r="C988" s="390"/>
      <c r="D988" s="390"/>
      <c r="E988" s="390"/>
      <c r="F988" s="390"/>
      <c r="G988" s="390"/>
    </row>
    <row r="989" spans="3:7">
      <c r="C989" s="390"/>
      <c r="D989" s="390"/>
      <c r="E989" s="390"/>
      <c r="F989" s="390"/>
      <c r="G989" s="390"/>
    </row>
    <row r="990" spans="3:7">
      <c r="C990" s="390"/>
      <c r="D990" s="390"/>
      <c r="E990" s="390"/>
      <c r="F990" s="390"/>
      <c r="G990" s="390"/>
    </row>
    <row r="991" spans="3:7">
      <c r="C991" s="390"/>
      <c r="D991" s="390"/>
      <c r="E991" s="390"/>
      <c r="F991" s="390"/>
      <c r="G991" s="390"/>
    </row>
    <row r="992" spans="3:7">
      <c r="C992" s="390"/>
      <c r="D992" s="390"/>
      <c r="E992" s="390"/>
      <c r="F992" s="390"/>
      <c r="G992" s="390"/>
    </row>
    <row r="993" spans="3:7">
      <c r="C993" s="390"/>
      <c r="D993" s="390"/>
      <c r="E993" s="390"/>
      <c r="F993" s="390"/>
      <c r="G993" s="390"/>
    </row>
    <row r="994" spans="3:7">
      <c r="C994" s="390"/>
      <c r="D994" s="390"/>
      <c r="E994" s="390"/>
      <c r="F994" s="390"/>
      <c r="G994" s="390"/>
    </row>
    <row r="995" spans="3:7">
      <c r="C995" s="390"/>
      <c r="D995" s="390"/>
      <c r="E995" s="390"/>
      <c r="F995" s="390"/>
      <c r="G995" s="390"/>
    </row>
    <row r="996" spans="3:7">
      <c r="C996" s="390"/>
      <c r="D996" s="390"/>
      <c r="E996" s="390"/>
      <c r="F996" s="390"/>
      <c r="G996" s="390"/>
    </row>
    <row r="997" spans="3:7">
      <c r="C997" s="390"/>
      <c r="D997" s="390"/>
      <c r="E997" s="390"/>
      <c r="F997" s="390"/>
      <c r="G997" s="390"/>
    </row>
    <row r="998" spans="3:7">
      <c r="C998" s="390"/>
      <c r="D998" s="390"/>
      <c r="E998" s="390"/>
      <c r="F998" s="390"/>
      <c r="G998" s="390"/>
    </row>
    <row r="999" spans="3:7">
      <c r="C999" s="390"/>
      <c r="D999" s="390"/>
      <c r="E999" s="390"/>
      <c r="F999" s="390"/>
      <c r="G999" s="390"/>
    </row>
  </sheetData>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I995"/>
  <sheetViews>
    <sheetView workbookViewId="0">
      <pane ySplit="1" topLeftCell="A2" activePane="bottomLeft" state="frozen"/>
      <selection pane="bottomLeft" activeCell="B3" sqref="B3"/>
    </sheetView>
  </sheetViews>
  <sheetFormatPr defaultColWidth="12.5703125" defaultRowHeight="15" customHeight="1"/>
  <cols>
    <col min="1" max="1" width="20.28515625" customWidth="1"/>
    <col min="2" max="2" width="28.28515625" customWidth="1"/>
    <col min="4" max="4" width="8.5703125" customWidth="1"/>
    <col min="5" max="5" width="8.7109375" customWidth="1"/>
    <col min="7" max="7" width="12.42578125" customWidth="1"/>
    <col min="11" max="11" width="26.85546875" customWidth="1"/>
    <col min="12" max="12" width="13.28515625" customWidth="1"/>
    <col min="13" max="13" width="10.7109375" customWidth="1"/>
  </cols>
  <sheetData>
    <row r="1" spans="1:35">
      <c r="A1" s="391" t="s">
        <v>1243</v>
      </c>
      <c r="B1" s="392" t="s">
        <v>1244</v>
      </c>
      <c r="C1" s="392" t="s">
        <v>1245</v>
      </c>
      <c r="D1" s="392" t="s">
        <v>1246</v>
      </c>
      <c r="E1" s="392" t="s">
        <v>1247</v>
      </c>
      <c r="F1" s="392" t="s">
        <v>1248</v>
      </c>
      <c r="G1" s="392" t="s">
        <v>1249</v>
      </c>
      <c r="H1" s="392" t="s">
        <v>1250</v>
      </c>
      <c r="I1" s="392" t="s">
        <v>1251</v>
      </c>
      <c r="J1" s="392" t="s">
        <v>1252</v>
      </c>
      <c r="K1" s="392" t="s">
        <v>1253</v>
      </c>
      <c r="L1" s="392" t="s">
        <v>1254</v>
      </c>
      <c r="M1" s="392" t="s">
        <v>1255</v>
      </c>
      <c r="N1" s="392" t="s">
        <v>1256</v>
      </c>
      <c r="O1" s="393"/>
      <c r="P1" s="393"/>
      <c r="Q1" s="391"/>
      <c r="R1" s="391"/>
      <c r="S1" s="391"/>
      <c r="T1" s="391"/>
      <c r="U1" s="391"/>
      <c r="V1" s="391"/>
      <c r="W1" s="391"/>
      <c r="X1" s="391"/>
      <c r="Y1" s="391"/>
      <c r="Z1" s="391"/>
      <c r="AA1" s="391"/>
      <c r="AB1" s="391"/>
      <c r="AC1" s="391"/>
      <c r="AD1" s="391"/>
      <c r="AE1" s="391"/>
      <c r="AF1" s="391"/>
      <c r="AG1" s="391"/>
      <c r="AH1" s="391"/>
      <c r="AI1" s="391"/>
    </row>
    <row r="2" spans="1:35" ht="53.25" customHeight="1">
      <c r="A2" s="193" t="s">
        <v>1257</v>
      </c>
      <c r="B2" s="248" t="s">
        <v>1258</v>
      </c>
      <c r="C2" s="193" t="s">
        <v>1259</v>
      </c>
      <c r="D2" s="193" t="s">
        <v>79</v>
      </c>
      <c r="E2" s="193" t="s">
        <v>104</v>
      </c>
      <c r="F2" s="193" t="s">
        <v>1260</v>
      </c>
      <c r="G2" s="193" t="s">
        <v>1261</v>
      </c>
      <c r="H2" s="193" t="s">
        <v>1262</v>
      </c>
      <c r="I2" s="191">
        <v>45789</v>
      </c>
      <c r="J2" s="193">
        <v>3</v>
      </c>
      <c r="K2" s="193" t="s">
        <v>1263</v>
      </c>
      <c r="L2" s="193"/>
      <c r="M2" s="193" t="s">
        <v>1264</v>
      </c>
      <c r="N2" s="193" t="s">
        <v>1265</v>
      </c>
      <c r="O2" s="394"/>
      <c r="P2" s="394"/>
      <c r="Q2" s="395"/>
      <c r="R2" s="395"/>
      <c r="S2" s="395"/>
      <c r="T2" s="395"/>
      <c r="U2" s="395"/>
      <c r="V2" s="395"/>
      <c r="W2" s="395"/>
      <c r="X2" s="395"/>
      <c r="Y2" s="395"/>
      <c r="Z2" s="395"/>
      <c r="AA2" s="395"/>
      <c r="AB2" s="395"/>
      <c r="AC2" s="395"/>
      <c r="AD2" s="395"/>
      <c r="AE2" s="395"/>
      <c r="AF2" s="395"/>
      <c r="AG2" s="395"/>
      <c r="AH2" s="395"/>
      <c r="AI2" s="395"/>
    </row>
    <row r="3" spans="1:35" ht="66" customHeight="1">
      <c r="A3" s="193" t="s">
        <v>1266</v>
      </c>
      <c r="B3" s="193" t="s">
        <v>393</v>
      </c>
      <c r="C3" s="193" t="s">
        <v>1267</v>
      </c>
      <c r="D3" s="193" t="s">
        <v>1268</v>
      </c>
      <c r="E3" s="193" t="s">
        <v>104</v>
      </c>
      <c r="F3" s="396" t="s">
        <v>1269</v>
      </c>
      <c r="G3" s="193" t="s">
        <v>1270</v>
      </c>
      <c r="H3" s="193" t="s">
        <v>1271</v>
      </c>
      <c r="I3" s="191">
        <v>45791</v>
      </c>
      <c r="J3" s="193">
        <v>4</v>
      </c>
      <c r="K3" s="193" t="s">
        <v>1272</v>
      </c>
      <c r="L3" s="193" t="s">
        <v>1273</v>
      </c>
      <c r="M3" s="193" t="s">
        <v>1274</v>
      </c>
      <c r="N3" s="193" t="s">
        <v>1265</v>
      </c>
      <c r="O3" s="394"/>
      <c r="P3" s="394"/>
      <c r="Q3" s="395"/>
      <c r="R3" s="395"/>
      <c r="S3" s="395"/>
      <c r="T3" s="395"/>
      <c r="U3" s="395"/>
      <c r="V3" s="395"/>
      <c r="W3" s="395"/>
      <c r="X3" s="395"/>
      <c r="Y3" s="395"/>
      <c r="Z3" s="395"/>
      <c r="AA3" s="395"/>
      <c r="AB3" s="395"/>
      <c r="AC3" s="395"/>
      <c r="AD3" s="395"/>
      <c r="AE3" s="395"/>
      <c r="AF3" s="395"/>
      <c r="AG3" s="395"/>
      <c r="AH3" s="395"/>
      <c r="AI3" s="395"/>
    </row>
    <row r="4" spans="1:35" ht="76.5" customHeight="1">
      <c r="A4" s="193"/>
      <c r="B4" s="193" t="s">
        <v>587</v>
      </c>
      <c r="C4" s="193" t="s">
        <v>1275</v>
      </c>
      <c r="D4" s="193" t="s">
        <v>1268</v>
      </c>
      <c r="E4" s="193" t="s">
        <v>104</v>
      </c>
      <c r="F4" s="396" t="s">
        <v>1276</v>
      </c>
      <c r="G4" s="193" t="s">
        <v>1277</v>
      </c>
      <c r="H4" s="193" t="s">
        <v>1278</v>
      </c>
      <c r="I4" s="193" t="s">
        <v>1279</v>
      </c>
      <c r="J4" s="193">
        <v>2</v>
      </c>
      <c r="K4" s="193" t="s">
        <v>1280</v>
      </c>
      <c r="L4" s="248" t="s">
        <v>1281</v>
      </c>
      <c r="M4" s="193" t="s">
        <v>1282</v>
      </c>
      <c r="N4" s="193" t="s">
        <v>1283</v>
      </c>
      <c r="O4" s="394"/>
      <c r="P4" s="394"/>
      <c r="Q4" s="395"/>
      <c r="R4" s="395"/>
      <c r="S4" s="395"/>
      <c r="T4" s="395"/>
      <c r="U4" s="395"/>
      <c r="V4" s="395"/>
      <c r="W4" s="395"/>
      <c r="X4" s="395"/>
      <c r="Y4" s="395"/>
      <c r="Z4" s="395"/>
      <c r="AA4" s="395"/>
      <c r="AB4" s="395"/>
      <c r="AC4" s="395"/>
      <c r="AD4" s="395"/>
      <c r="AE4" s="395"/>
      <c r="AF4" s="395"/>
      <c r="AG4" s="395"/>
      <c r="AH4" s="395"/>
      <c r="AI4" s="395"/>
    </row>
    <row r="5" spans="1:35" ht="76.5" customHeight="1">
      <c r="A5" s="193" t="s">
        <v>1284</v>
      </c>
      <c r="B5" s="193" t="s">
        <v>1285</v>
      </c>
      <c r="C5" s="193" t="s">
        <v>1286</v>
      </c>
      <c r="D5" s="193" t="s">
        <v>1287</v>
      </c>
      <c r="E5" s="193" t="s">
        <v>104</v>
      </c>
      <c r="F5" s="396" t="s">
        <v>1288</v>
      </c>
      <c r="G5" s="193" t="s">
        <v>1289</v>
      </c>
      <c r="H5" s="193" t="s">
        <v>1290</v>
      </c>
      <c r="I5" s="191">
        <v>45706</v>
      </c>
      <c r="J5" s="193">
        <v>2</v>
      </c>
      <c r="K5" s="193" t="s">
        <v>1291</v>
      </c>
      <c r="L5" s="248" t="s">
        <v>1292</v>
      </c>
      <c r="M5" s="193" t="s">
        <v>1293</v>
      </c>
      <c r="N5" s="193" t="s">
        <v>1292</v>
      </c>
      <c r="O5" s="394"/>
      <c r="P5" s="394"/>
      <c r="Q5" s="395"/>
      <c r="R5" s="395"/>
      <c r="S5" s="395"/>
      <c r="T5" s="395"/>
      <c r="U5" s="395"/>
      <c r="V5" s="395"/>
      <c r="W5" s="395"/>
      <c r="X5" s="395"/>
      <c r="Y5" s="395"/>
      <c r="Z5" s="395"/>
      <c r="AA5" s="395"/>
      <c r="AB5" s="395"/>
      <c r="AC5" s="395"/>
      <c r="AD5" s="395"/>
      <c r="AE5" s="395"/>
      <c r="AF5" s="395"/>
      <c r="AG5" s="395"/>
      <c r="AH5" s="395"/>
      <c r="AI5" s="395"/>
    </row>
    <row r="6" spans="1:35" ht="64.5" customHeight="1">
      <c r="A6" s="193" t="s">
        <v>1294</v>
      </c>
      <c r="B6" s="193" t="s">
        <v>1295</v>
      </c>
      <c r="C6" s="193" t="s">
        <v>1296</v>
      </c>
      <c r="D6" s="193" t="s">
        <v>1297</v>
      </c>
      <c r="E6" s="193" t="s">
        <v>104</v>
      </c>
      <c r="F6" s="193" t="s">
        <v>1298</v>
      </c>
      <c r="G6" s="193" t="s">
        <v>1299</v>
      </c>
      <c r="H6" s="193" t="s">
        <v>1300</v>
      </c>
      <c r="I6" s="191">
        <v>45777</v>
      </c>
      <c r="J6" s="193">
        <v>2</v>
      </c>
      <c r="K6" s="193" t="s">
        <v>1301</v>
      </c>
      <c r="L6" s="193"/>
      <c r="M6" s="193" t="s">
        <v>1302</v>
      </c>
      <c r="N6" s="193" t="s">
        <v>1303</v>
      </c>
      <c r="O6" s="394"/>
      <c r="P6" s="394"/>
      <c r="Q6" s="395"/>
      <c r="R6" s="395"/>
      <c r="S6" s="395"/>
      <c r="T6" s="395"/>
      <c r="U6" s="395"/>
      <c r="V6" s="395"/>
      <c r="W6" s="395"/>
      <c r="X6" s="395"/>
      <c r="Y6" s="395"/>
      <c r="Z6" s="395"/>
      <c r="AA6" s="395"/>
      <c r="AB6" s="395"/>
      <c r="AC6" s="395"/>
      <c r="AD6" s="395"/>
      <c r="AE6" s="395"/>
      <c r="AF6" s="395"/>
      <c r="AG6" s="395"/>
      <c r="AH6" s="395"/>
      <c r="AI6" s="395"/>
    </row>
    <row r="7" spans="1:35" ht="81.75" customHeight="1">
      <c r="A7" s="397" t="s">
        <v>1304</v>
      </c>
      <c r="B7" s="188"/>
      <c r="C7" s="398" t="s">
        <v>1305</v>
      </c>
      <c r="D7" s="399"/>
      <c r="E7" s="399" t="s">
        <v>104</v>
      </c>
      <c r="F7" s="399" t="s">
        <v>1306</v>
      </c>
      <c r="G7" s="399" t="s">
        <v>1307</v>
      </c>
      <c r="H7" s="399" t="s">
        <v>1308</v>
      </c>
      <c r="I7" s="399"/>
      <c r="J7" s="399">
        <v>2</v>
      </c>
      <c r="K7" s="399" t="s">
        <v>1309</v>
      </c>
      <c r="L7" s="399"/>
      <c r="M7" s="399"/>
      <c r="N7" s="416"/>
      <c r="O7" s="459"/>
      <c r="P7" s="459"/>
    </row>
    <row r="8" spans="1:35">
      <c r="A8" s="460"/>
      <c r="B8" s="400"/>
      <c r="C8" s="460" t="s">
        <v>1310</v>
      </c>
      <c r="D8" s="460"/>
      <c r="E8" s="460" t="s">
        <v>40</v>
      </c>
      <c r="F8" s="460"/>
      <c r="G8" s="460" t="s">
        <v>1311</v>
      </c>
      <c r="H8" s="460" t="s">
        <v>1311</v>
      </c>
      <c r="I8" s="460"/>
      <c r="J8" s="460">
        <v>4</v>
      </c>
      <c r="K8" s="460" t="s">
        <v>1312</v>
      </c>
      <c r="L8" s="460"/>
      <c r="M8" s="460"/>
      <c r="N8" s="460"/>
      <c r="O8" s="461"/>
      <c r="P8" s="461"/>
      <c r="Q8" s="401"/>
      <c r="R8" s="401"/>
      <c r="S8" s="401"/>
      <c r="T8" s="401"/>
      <c r="U8" s="401"/>
      <c r="V8" s="401"/>
      <c r="W8" s="401"/>
      <c r="X8" s="401"/>
      <c r="Y8" s="401"/>
      <c r="Z8" s="401"/>
      <c r="AA8" s="401"/>
      <c r="AB8" s="401"/>
      <c r="AC8" s="401"/>
      <c r="AD8" s="401"/>
      <c r="AE8" s="401"/>
      <c r="AF8" s="401"/>
      <c r="AG8" s="401"/>
      <c r="AH8" s="401"/>
      <c r="AI8" s="401"/>
    </row>
    <row r="9" spans="1:35">
      <c r="A9" s="416"/>
      <c r="B9" s="193"/>
      <c r="C9" s="416" t="s">
        <v>1313</v>
      </c>
      <c r="D9" s="416"/>
      <c r="E9" s="416"/>
      <c r="F9" s="416"/>
      <c r="G9" s="416"/>
      <c r="H9" s="416" t="s">
        <v>1314</v>
      </c>
      <c r="I9" s="445">
        <v>45912</v>
      </c>
      <c r="J9" s="416">
        <v>2</v>
      </c>
      <c r="K9" s="416" t="s">
        <v>1315</v>
      </c>
      <c r="L9" s="416"/>
      <c r="M9" s="416"/>
      <c r="N9" s="416"/>
      <c r="O9" s="459"/>
      <c r="P9" s="459"/>
    </row>
    <row r="10" spans="1:35">
      <c r="A10" s="203"/>
      <c r="B10" s="402"/>
      <c r="C10" s="203"/>
      <c r="D10" s="203"/>
      <c r="E10" s="203"/>
      <c r="F10" s="203"/>
      <c r="G10" s="203"/>
      <c r="H10" s="203"/>
      <c r="I10" s="382"/>
      <c r="J10" s="203"/>
      <c r="K10" s="203"/>
      <c r="L10" s="203"/>
      <c r="M10" s="203"/>
      <c r="N10" s="203"/>
      <c r="O10" s="254"/>
      <c r="P10" s="254"/>
      <c r="Q10" s="254"/>
      <c r="R10" s="254"/>
      <c r="S10" s="254"/>
      <c r="T10" s="254"/>
      <c r="U10" s="254"/>
      <c r="V10" s="254"/>
      <c r="W10" s="254"/>
      <c r="X10" s="254"/>
      <c r="Y10" s="254"/>
      <c r="Z10" s="254"/>
      <c r="AA10" s="254"/>
      <c r="AB10" s="254"/>
      <c r="AC10" s="254"/>
      <c r="AD10" s="254"/>
      <c r="AE10" s="254"/>
      <c r="AF10" s="254"/>
      <c r="AG10" s="254"/>
      <c r="AH10" s="254"/>
      <c r="AI10" s="254"/>
    </row>
    <row r="11" spans="1:35">
      <c r="A11" s="203"/>
      <c r="B11" s="402"/>
      <c r="C11" s="203" t="s">
        <v>1316</v>
      </c>
      <c r="D11" s="203" t="s">
        <v>1317</v>
      </c>
      <c r="E11" s="203" t="s">
        <v>104</v>
      </c>
      <c r="F11" s="203"/>
      <c r="G11" s="203" t="s">
        <v>105</v>
      </c>
      <c r="H11" s="203" t="s">
        <v>1318</v>
      </c>
      <c r="I11" s="382">
        <v>45943</v>
      </c>
      <c r="J11" s="203">
        <v>1</v>
      </c>
      <c r="K11" s="203" t="s">
        <v>1316</v>
      </c>
      <c r="L11" s="203"/>
      <c r="M11" s="203" t="s">
        <v>1319</v>
      </c>
      <c r="N11" s="203" t="s">
        <v>1265</v>
      </c>
      <c r="O11" s="254"/>
      <c r="P11" s="254"/>
      <c r="Q11" s="254"/>
      <c r="R11" s="254"/>
      <c r="S11" s="254"/>
      <c r="T11" s="254"/>
      <c r="U11" s="254"/>
      <c r="V11" s="254"/>
      <c r="W11" s="254"/>
      <c r="X11" s="254"/>
      <c r="Y11" s="254"/>
      <c r="Z11" s="254"/>
      <c r="AA11" s="254"/>
      <c r="AB11" s="254"/>
      <c r="AC11" s="254"/>
      <c r="AD11" s="254"/>
      <c r="AE11" s="254"/>
      <c r="AF11" s="254"/>
      <c r="AG11" s="254"/>
      <c r="AH11" s="254"/>
      <c r="AI11" s="254"/>
    </row>
    <row r="12" spans="1:35">
      <c r="B12" s="248" t="s">
        <v>1320</v>
      </c>
      <c r="C12" s="389" t="s">
        <v>1321</v>
      </c>
      <c r="D12" s="389" t="s">
        <v>41</v>
      </c>
      <c r="E12" s="203" t="s">
        <v>104</v>
      </c>
      <c r="G12" s="390" t="s">
        <v>1322</v>
      </c>
      <c r="I12" s="403">
        <v>46006</v>
      </c>
      <c r="K12" s="389" t="s">
        <v>1323</v>
      </c>
      <c r="L12" s="389">
        <v>31993510510</v>
      </c>
      <c r="M12" s="254" t="s">
        <v>1324</v>
      </c>
      <c r="N12" s="389" t="s">
        <v>1325</v>
      </c>
    </row>
    <row r="13" spans="1:35">
      <c r="B13" s="248" t="s">
        <v>1326</v>
      </c>
      <c r="C13" s="389" t="s">
        <v>1327</v>
      </c>
      <c r="D13" s="389" t="s">
        <v>41</v>
      </c>
      <c r="E13" s="389" t="s">
        <v>104</v>
      </c>
      <c r="G13" s="389" t="s">
        <v>1328</v>
      </c>
      <c r="H13" s="389" t="s">
        <v>1329</v>
      </c>
      <c r="I13" s="403">
        <v>46006</v>
      </c>
      <c r="J13" s="389">
        <v>1</v>
      </c>
      <c r="K13" s="389" t="s">
        <v>1330</v>
      </c>
      <c r="L13" s="389">
        <v>31994676979</v>
      </c>
      <c r="M13" s="389" t="s">
        <v>1331</v>
      </c>
    </row>
    <row r="14" spans="1:35">
      <c r="B14" s="248"/>
      <c r="I14" s="404">
        <v>45880</v>
      </c>
      <c r="K14" s="378" t="s">
        <v>1332</v>
      </c>
    </row>
    <row r="15" spans="1:35">
      <c r="B15" s="248"/>
      <c r="I15" s="378"/>
    </row>
    <row r="16" spans="1:35">
      <c r="B16" s="248"/>
      <c r="I16" s="378"/>
    </row>
    <row r="17" spans="2:9">
      <c r="B17" s="248"/>
      <c r="I17" s="378"/>
    </row>
    <row r="18" spans="2:9">
      <c r="B18" s="248"/>
      <c r="I18" s="378"/>
    </row>
    <row r="19" spans="2:9">
      <c r="B19" s="248"/>
      <c r="I19" s="378"/>
    </row>
    <row r="20" spans="2:9">
      <c r="B20" s="248"/>
      <c r="I20" s="378"/>
    </row>
    <row r="21" spans="2:9">
      <c r="B21" s="248"/>
      <c r="I21" s="378"/>
    </row>
    <row r="22" spans="2:9">
      <c r="B22" s="248"/>
      <c r="I22" s="378"/>
    </row>
    <row r="23" spans="2:9">
      <c r="B23" s="248"/>
      <c r="I23" s="378"/>
    </row>
    <row r="24" spans="2:9">
      <c r="B24" s="248"/>
      <c r="I24" s="378"/>
    </row>
    <row r="25" spans="2:9">
      <c r="B25" s="248"/>
      <c r="I25" s="378"/>
    </row>
    <row r="26" spans="2:9">
      <c r="B26" s="248"/>
      <c r="I26" s="378"/>
    </row>
    <row r="27" spans="2:9">
      <c r="B27" s="248"/>
      <c r="I27" s="378"/>
    </row>
    <row r="28" spans="2:9">
      <c r="B28" s="248"/>
      <c r="I28" s="378"/>
    </row>
    <row r="29" spans="2:9">
      <c r="B29" s="248"/>
      <c r="I29" s="378"/>
    </row>
    <row r="30" spans="2:9">
      <c r="B30" s="248"/>
      <c r="I30" s="378"/>
    </row>
    <row r="31" spans="2:9">
      <c r="B31" s="248"/>
      <c r="I31" s="378"/>
    </row>
    <row r="32" spans="2:9">
      <c r="B32" s="248"/>
      <c r="I32" s="378"/>
    </row>
    <row r="33" spans="2:9">
      <c r="B33" s="248"/>
      <c r="I33" s="378"/>
    </row>
    <row r="34" spans="2:9">
      <c r="B34" s="248"/>
      <c r="I34" s="378"/>
    </row>
    <row r="35" spans="2:9">
      <c r="B35" s="248"/>
      <c r="I35" s="378"/>
    </row>
    <row r="36" spans="2:9">
      <c r="B36" s="248"/>
      <c r="I36" s="378"/>
    </row>
    <row r="37" spans="2:9">
      <c r="B37" s="248"/>
      <c r="I37" s="378"/>
    </row>
    <row r="38" spans="2:9">
      <c r="B38" s="248"/>
      <c r="I38" s="378"/>
    </row>
    <row r="39" spans="2:9">
      <c r="B39" s="248"/>
      <c r="I39" s="378"/>
    </row>
    <row r="40" spans="2:9">
      <c r="B40" s="248"/>
      <c r="I40" s="378"/>
    </row>
    <row r="41" spans="2:9">
      <c r="B41" s="248"/>
      <c r="I41" s="378"/>
    </row>
    <row r="42" spans="2:9">
      <c r="B42" s="248"/>
      <c r="I42" s="378"/>
    </row>
    <row r="43" spans="2:9">
      <c r="B43" s="248"/>
      <c r="I43" s="378"/>
    </row>
    <row r="44" spans="2:9">
      <c r="B44" s="248"/>
      <c r="I44" s="378"/>
    </row>
    <row r="45" spans="2:9">
      <c r="B45" s="248"/>
      <c r="I45" s="378"/>
    </row>
    <row r="46" spans="2:9">
      <c r="B46" s="248"/>
      <c r="I46" s="378"/>
    </row>
    <row r="47" spans="2:9">
      <c r="B47" s="248"/>
      <c r="I47" s="378"/>
    </row>
    <row r="48" spans="2:9">
      <c r="B48" s="248"/>
      <c r="I48" s="378"/>
    </row>
    <row r="49" spans="2:9">
      <c r="B49" s="248"/>
      <c r="I49" s="378"/>
    </row>
    <row r="50" spans="2:9">
      <c r="B50" s="248"/>
      <c r="I50" s="378"/>
    </row>
    <row r="51" spans="2:9">
      <c r="B51" s="248"/>
      <c r="I51" s="378"/>
    </row>
    <row r="52" spans="2:9">
      <c r="B52" s="248"/>
      <c r="I52" s="378"/>
    </row>
    <row r="53" spans="2:9">
      <c r="B53" s="248"/>
      <c r="I53" s="378"/>
    </row>
    <row r="54" spans="2:9">
      <c r="B54" s="248"/>
      <c r="I54" s="378"/>
    </row>
    <row r="55" spans="2:9">
      <c r="B55" s="248"/>
      <c r="I55" s="378"/>
    </row>
    <row r="56" spans="2:9">
      <c r="B56" s="248"/>
      <c r="I56" s="378"/>
    </row>
    <row r="57" spans="2:9">
      <c r="B57" s="248"/>
      <c r="I57" s="378"/>
    </row>
    <row r="58" spans="2:9">
      <c r="B58" s="248"/>
      <c r="I58" s="378"/>
    </row>
    <row r="59" spans="2:9">
      <c r="B59" s="248"/>
      <c r="I59" s="378"/>
    </row>
    <row r="60" spans="2:9">
      <c r="B60" s="248"/>
      <c r="I60" s="378"/>
    </row>
    <row r="61" spans="2:9">
      <c r="B61" s="248"/>
      <c r="I61" s="378"/>
    </row>
    <row r="62" spans="2:9">
      <c r="B62" s="248"/>
      <c r="I62" s="378"/>
    </row>
    <row r="63" spans="2:9">
      <c r="B63" s="248"/>
      <c r="I63" s="378"/>
    </row>
    <row r="64" spans="2:9">
      <c r="B64" s="248"/>
      <c r="I64" s="378"/>
    </row>
    <row r="65" spans="2:9">
      <c r="B65" s="248"/>
      <c r="I65" s="378"/>
    </row>
    <row r="66" spans="2:9">
      <c r="B66" s="248"/>
      <c r="I66" s="378"/>
    </row>
    <row r="67" spans="2:9">
      <c r="B67" s="248"/>
      <c r="I67" s="378"/>
    </row>
    <row r="68" spans="2:9">
      <c r="B68" s="248"/>
      <c r="I68" s="378"/>
    </row>
    <row r="69" spans="2:9">
      <c r="B69" s="248"/>
      <c r="I69" s="378"/>
    </row>
    <row r="70" spans="2:9">
      <c r="B70" s="248"/>
      <c r="I70" s="378"/>
    </row>
    <row r="71" spans="2:9">
      <c r="B71" s="248"/>
      <c r="I71" s="378"/>
    </row>
    <row r="72" spans="2:9">
      <c r="B72" s="248"/>
      <c r="I72" s="378"/>
    </row>
    <row r="73" spans="2:9">
      <c r="B73" s="248"/>
      <c r="I73" s="378"/>
    </row>
    <row r="74" spans="2:9">
      <c r="B74" s="248"/>
      <c r="I74" s="378"/>
    </row>
    <row r="75" spans="2:9">
      <c r="B75" s="248"/>
      <c r="I75" s="378"/>
    </row>
    <row r="76" spans="2:9">
      <c r="B76" s="248"/>
      <c r="I76" s="378"/>
    </row>
    <row r="77" spans="2:9">
      <c r="B77" s="248"/>
      <c r="I77" s="378"/>
    </row>
    <row r="78" spans="2:9">
      <c r="B78" s="248"/>
      <c r="I78" s="378"/>
    </row>
    <row r="79" spans="2:9">
      <c r="B79" s="248"/>
      <c r="I79" s="378"/>
    </row>
    <row r="80" spans="2:9">
      <c r="B80" s="248"/>
      <c r="I80" s="378"/>
    </row>
    <row r="81" spans="2:9">
      <c r="B81" s="248"/>
      <c r="I81" s="378"/>
    </row>
    <row r="82" spans="2:9">
      <c r="B82" s="248"/>
      <c r="I82" s="378"/>
    </row>
    <row r="83" spans="2:9">
      <c r="B83" s="248"/>
      <c r="I83" s="378"/>
    </row>
    <row r="84" spans="2:9">
      <c r="B84" s="248"/>
      <c r="I84" s="378"/>
    </row>
    <row r="85" spans="2:9">
      <c r="B85" s="248"/>
      <c r="I85" s="378"/>
    </row>
    <row r="86" spans="2:9">
      <c r="B86" s="248"/>
      <c r="I86" s="378"/>
    </row>
    <row r="87" spans="2:9">
      <c r="B87" s="248"/>
      <c r="I87" s="378"/>
    </row>
    <row r="88" spans="2:9">
      <c r="B88" s="248"/>
      <c r="I88" s="378"/>
    </row>
    <row r="89" spans="2:9">
      <c r="B89" s="248"/>
      <c r="I89" s="378"/>
    </row>
    <row r="90" spans="2:9">
      <c r="B90" s="248"/>
      <c r="I90" s="378"/>
    </row>
    <row r="91" spans="2:9">
      <c r="B91" s="248"/>
      <c r="I91" s="378"/>
    </row>
    <row r="92" spans="2:9">
      <c r="B92" s="248"/>
      <c r="I92" s="378"/>
    </row>
    <row r="93" spans="2:9">
      <c r="B93" s="248"/>
      <c r="I93" s="378"/>
    </row>
    <row r="94" spans="2:9">
      <c r="B94" s="248"/>
      <c r="I94" s="378"/>
    </row>
    <row r="95" spans="2:9">
      <c r="B95" s="248"/>
      <c r="I95" s="378"/>
    </row>
    <row r="96" spans="2:9">
      <c r="B96" s="248"/>
      <c r="I96" s="378"/>
    </row>
    <row r="97" spans="2:9">
      <c r="B97" s="248"/>
      <c r="I97" s="378"/>
    </row>
    <row r="98" spans="2:9">
      <c r="B98" s="248"/>
      <c r="I98" s="378"/>
    </row>
    <row r="99" spans="2:9">
      <c r="B99" s="248"/>
      <c r="I99" s="378"/>
    </row>
    <row r="100" spans="2:9">
      <c r="B100" s="248"/>
      <c r="I100" s="378"/>
    </row>
    <row r="101" spans="2:9">
      <c r="B101" s="248"/>
      <c r="I101" s="378"/>
    </row>
    <row r="102" spans="2:9">
      <c r="B102" s="248"/>
      <c r="I102" s="378"/>
    </row>
    <row r="103" spans="2:9">
      <c r="B103" s="248"/>
      <c r="I103" s="378"/>
    </row>
    <row r="104" spans="2:9">
      <c r="B104" s="248"/>
      <c r="I104" s="378"/>
    </row>
    <row r="105" spans="2:9">
      <c r="B105" s="248"/>
      <c r="I105" s="378"/>
    </row>
    <row r="106" spans="2:9">
      <c r="B106" s="248"/>
      <c r="I106" s="378"/>
    </row>
    <row r="107" spans="2:9">
      <c r="B107" s="248"/>
      <c r="I107" s="378"/>
    </row>
    <row r="108" spans="2:9">
      <c r="B108" s="248"/>
      <c r="I108" s="378"/>
    </row>
    <row r="109" spans="2:9">
      <c r="B109" s="248"/>
      <c r="I109" s="378"/>
    </row>
    <row r="110" spans="2:9">
      <c r="B110" s="248"/>
      <c r="I110" s="378"/>
    </row>
    <row r="111" spans="2:9">
      <c r="B111" s="248"/>
      <c r="I111" s="378"/>
    </row>
    <row r="112" spans="2:9">
      <c r="B112" s="248"/>
      <c r="I112" s="378"/>
    </row>
    <row r="113" spans="2:9">
      <c r="B113" s="248"/>
      <c r="I113" s="378"/>
    </row>
    <row r="114" spans="2:9">
      <c r="B114" s="248"/>
      <c r="I114" s="378"/>
    </row>
    <row r="115" spans="2:9">
      <c r="B115" s="248"/>
      <c r="I115" s="378"/>
    </row>
    <row r="116" spans="2:9">
      <c r="B116" s="248"/>
      <c r="I116" s="378"/>
    </row>
    <row r="117" spans="2:9">
      <c r="B117" s="248"/>
      <c r="I117" s="378"/>
    </row>
    <row r="118" spans="2:9">
      <c r="B118" s="248"/>
      <c r="I118" s="378"/>
    </row>
    <row r="119" spans="2:9">
      <c r="B119" s="248"/>
      <c r="I119" s="378"/>
    </row>
    <row r="120" spans="2:9">
      <c r="B120" s="248"/>
      <c r="I120" s="378"/>
    </row>
    <row r="121" spans="2:9">
      <c r="B121" s="248"/>
      <c r="I121" s="378"/>
    </row>
    <row r="122" spans="2:9">
      <c r="B122" s="248"/>
      <c r="I122" s="378"/>
    </row>
    <row r="123" spans="2:9">
      <c r="B123" s="248"/>
      <c r="I123" s="378"/>
    </row>
    <row r="124" spans="2:9">
      <c r="B124" s="248"/>
      <c r="I124" s="378"/>
    </row>
    <row r="125" spans="2:9">
      <c r="B125" s="248"/>
      <c r="I125" s="378"/>
    </row>
    <row r="126" spans="2:9">
      <c r="B126" s="248"/>
      <c r="I126" s="378"/>
    </row>
    <row r="127" spans="2:9">
      <c r="B127" s="248"/>
      <c r="I127" s="378"/>
    </row>
    <row r="128" spans="2:9">
      <c r="B128" s="248"/>
      <c r="I128" s="378"/>
    </row>
    <row r="129" spans="2:9">
      <c r="B129" s="248"/>
      <c r="I129" s="378"/>
    </row>
    <row r="130" spans="2:9">
      <c r="B130" s="248"/>
      <c r="I130" s="378"/>
    </row>
    <row r="131" spans="2:9">
      <c r="B131" s="248"/>
      <c r="I131" s="378"/>
    </row>
    <row r="132" spans="2:9">
      <c r="B132" s="248"/>
      <c r="I132" s="378"/>
    </row>
    <row r="133" spans="2:9">
      <c r="B133" s="248"/>
      <c r="I133" s="378"/>
    </row>
    <row r="134" spans="2:9">
      <c r="B134" s="248"/>
      <c r="I134" s="378"/>
    </row>
    <row r="135" spans="2:9">
      <c r="B135" s="248"/>
      <c r="I135" s="378"/>
    </row>
    <row r="136" spans="2:9">
      <c r="B136" s="248"/>
      <c r="I136" s="378"/>
    </row>
    <row r="137" spans="2:9">
      <c r="B137" s="248"/>
      <c r="I137" s="378"/>
    </row>
    <row r="138" spans="2:9">
      <c r="B138" s="248"/>
      <c r="I138" s="378"/>
    </row>
    <row r="139" spans="2:9">
      <c r="B139" s="248"/>
      <c r="I139" s="378"/>
    </row>
    <row r="140" spans="2:9">
      <c r="B140" s="248"/>
      <c r="I140" s="378"/>
    </row>
    <row r="141" spans="2:9">
      <c r="B141" s="248"/>
      <c r="I141" s="378"/>
    </row>
    <row r="142" spans="2:9">
      <c r="B142" s="248"/>
      <c r="I142" s="378"/>
    </row>
    <row r="143" spans="2:9">
      <c r="B143" s="248"/>
      <c r="I143" s="378"/>
    </row>
    <row r="144" spans="2:9">
      <c r="B144" s="248"/>
      <c r="I144" s="378"/>
    </row>
    <row r="145" spans="2:9">
      <c r="B145" s="248"/>
      <c r="I145" s="378"/>
    </row>
    <row r="146" spans="2:9">
      <c r="B146" s="248"/>
      <c r="I146" s="378"/>
    </row>
    <row r="147" spans="2:9">
      <c r="B147" s="248"/>
      <c r="I147" s="378"/>
    </row>
    <row r="148" spans="2:9">
      <c r="B148" s="248"/>
      <c r="I148" s="378"/>
    </row>
    <row r="149" spans="2:9">
      <c r="B149" s="248"/>
      <c r="I149" s="378"/>
    </row>
    <row r="150" spans="2:9">
      <c r="B150" s="248"/>
      <c r="I150" s="378"/>
    </row>
    <row r="151" spans="2:9">
      <c r="B151" s="248"/>
      <c r="I151" s="378"/>
    </row>
    <row r="152" spans="2:9">
      <c r="B152" s="248"/>
      <c r="I152" s="378"/>
    </row>
    <row r="153" spans="2:9">
      <c r="B153" s="248"/>
      <c r="I153" s="378"/>
    </row>
    <row r="154" spans="2:9">
      <c r="B154" s="248"/>
      <c r="I154" s="378"/>
    </row>
    <row r="155" spans="2:9">
      <c r="B155" s="248"/>
      <c r="I155" s="378"/>
    </row>
    <row r="156" spans="2:9">
      <c r="B156" s="248"/>
      <c r="I156" s="378"/>
    </row>
    <row r="157" spans="2:9">
      <c r="B157" s="248"/>
      <c r="I157" s="378"/>
    </row>
    <row r="158" spans="2:9">
      <c r="B158" s="248"/>
      <c r="I158" s="378"/>
    </row>
    <row r="159" spans="2:9">
      <c r="B159" s="248"/>
      <c r="I159" s="378"/>
    </row>
    <row r="160" spans="2:9">
      <c r="B160" s="248"/>
      <c r="I160" s="378"/>
    </row>
    <row r="161" spans="2:9">
      <c r="B161" s="248"/>
      <c r="I161" s="378"/>
    </row>
    <row r="162" spans="2:9">
      <c r="B162" s="248"/>
      <c r="I162" s="378"/>
    </row>
    <row r="163" spans="2:9">
      <c r="B163" s="248"/>
      <c r="I163" s="378"/>
    </row>
    <row r="164" spans="2:9">
      <c r="B164" s="248"/>
      <c r="I164" s="378"/>
    </row>
    <row r="165" spans="2:9">
      <c r="B165" s="248"/>
      <c r="I165" s="378"/>
    </row>
    <row r="166" spans="2:9">
      <c r="B166" s="248"/>
      <c r="I166" s="378"/>
    </row>
    <row r="167" spans="2:9">
      <c r="B167" s="248"/>
      <c r="I167" s="378"/>
    </row>
    <row r="168" spans="2:9">
      <c r="B168" s="248"/>
      <c r="I168" s="378"/>
    </row>
    <row r="169" spans="2:9">
      <c r="B169" s="248"/>
      <c r="I169" s="378"/>
    </row>
    <row r="170" spans="2:9">
      <c r="B170" s="248"/>
      <c r="I170" s="378"/>
    </row>
    <row r="171" spans="2:9">
      <c r="B171" s="248"/>
      <c r="I171" s="378"/>
    </row>
    <row r="172" spans="2:9">
      <c r="B172" s="248"/>
      <c r="I172" s="378"/>
    </row>
    <row r="173" spans="2:9">
      <c r="B173" s="248"/>
      <c r="I173" s="378"/>
    </row>
    <row r="174" spans="2:9">
      <c r="B174" s="248"/>
      <c r="I174" s="378"/>
    </row>
    <row r="175" spans="2:9">
      <c r="B175" s="248"/>
      <c r="I175" s="378"/>
    </row>
    <row r="176" spans="2:9">
      <c r="B176" s="248"/>
      <c r="I176" s="378"/>
    </row>
    <row r="177" spans="2:9">
      <c r="B177" s="248"/>
      <c r="I177" s="378"/>
    </row>
    <row r="178" spans="2:9">
      <c r="B178" s="248"/>
      <c r="I178" s="378"/>
    </row>
    <row r="179" spans="2:9">
      <c r="B179" s="248"/>
      <c r="I179" s="378"/>
    </row>
    <row r="180" spans="2:9">
      <c r="B180" s="248"/>
      <c r="I180" s="378"/>
    </row>
    <row r="181" spans="2:9">
      <c r="B181" s="248"/>
      <c r="I181" s="378"/>
    </row>
    <row r="182" spans="2:9">
      <c r="B182" s="248"/>
      <c r="I182" s="378"/>
    </row>
    <row r="183" spans="2:9">
      <c r="B183" s="248"/>
      <c r="I183" s="378"/>
    </row>
    <row r="184" spans="2:9">
      <c r="B184" s="248"/>
      <c r="I184" s="378"/>
    </row>
    <row r="185" spans="2:9">
      <c r="B185" s="248"/>
      <c r="I185" s="378"/>
    </row>
    <row r="186" spans="2:9">
      <c r="B186" s="248"/>
      <c r="I186" s="378"/>
    </row>
    <row r="187" spans="2:9">
      <c r="B187" s="248"/>
      <c r="I187" s="378"/>
    </row>
    <row r="188" spans="2:9">
      <c r="B188" s="248"/>
      <c r="I188" s="378"/>
    </row>
    <row r="189" spans="2:9">
      <c r="B189" s="248"/>
      <c r="I189" s="378"/>
    </row>
    <row r="190" spans="2:9">
      <c r="B190" s="248"/>
      <c r="I190" s="378"/>
    </row>
    <row r="191" spans="2:9">
      <c r="B191" s="248"/>
      <c r="I191" s="378"/>
    </row>
    <row r="192" spans="2:9">
      <c r="B192" s="248"/>
      <c r="I192" s="378"/>
    </row>
    <row r="193" spans="2:9">
      <c r="B193" s="248"/>
      <c r="I193" s="378"/>
    </row>
    <row r="194" spans="2:9">
      <c r="B194" s="248"/>
      <c r="I194" s="378"/>
    </row>
    <row r="195" spans="2:9">
      <c r="B195" s="248"/>
      <c r="I195" s="378"/>
    </row>
    <row r="196" spans="2:9">
      <c r="B196" s="248"/>
      <c r="I196" s="378"/>
    </row>
    <row r="197" spans="2:9">
      <c r="B197" s="248"/>
      <c r="I197" s="378"/>
    </row>
    <row r="198" spans="2:9">
      <c r="B198" s="248"/>
      <c r="I198" s="378"/>
    </row>
    <row r="199" spans="2:9">
      <c r="B199" s="248"/>
      <c r="I199" s="378"/>
    </row>
    <row r="200" spans="2:9">
      <c r="B200" s="248"/>
      <c r="I200" s="378"/>
    </row>
    <row r="201" spans="2:9">
      <c r="B201" s="248"/>
      <c r="I201" s="378"/>
    </row>
    <row r="202" spans="2:9">
      <c r="B202" s="248"/>
      <c r="I202" s="378"/>
    </row>
    <row r="203" spans="2:9">
      <c r="B203" s="248"/>
      <c r="I203" s="378"/>
    </row>
    <row r="204" spans="2:9">
      <c r="B204" s="248"/>
      <c r="I204" s="378"/>
    </row>
    <row r="205" spans="2:9">
      <c r="B205" s="248"/>
      <c r="I205" s="378"/>
    </row>
    <row r="206" spans="2:9">
      <c r="B206" s="248"/>
      <c r="I206" s="378"/>
    </row>
    <row r="207" spans="2:9">
      <c r="B207" s="248"/>
      <c r="I207" s="378"/>
    </row>
    <row r="208" spans="2:9">
      <c r="B208" s="248"/>
      <c r="I208" s="378"/>
    </row>
    <row r="209" spans="2:9">
      <c r="B209" s="248"/>
      <c r="I209" s="378"/>
    </row>
    <row r="210" spans="2:9">
      <c r="B210" s="248"/>
      <c r="I210" s="378"/>
    </row>
    <row r="211" spans="2:9">
      <c r="B211" s="248"/>
      <c r="I211" s="378"/>
    </row>
    <row r="212" spans="2:9">
      <c r="B212" s="248"/>
      <c r="I212" s="378"/>
    </row>
    <row r="213" spans="2:9">
      <c r="B213" s="248"/>
      <c r="I213" s="378"/>
    </row>
    <row r="214" spans="2:9">
      <c r="B214" s="248"/>
      <c r="I214" s="378"/>
    </row>
    <row r="215" spans="2:9">
      <c r="B215" s="248"/>
      <c r="I215" s="378"/>
    </row>
    <row r="216" spans="2:9">
      <c r="B216" s="248"/>
      <c r="I216" s="378"/>
    </row>
    <row r="217" spans="2:9">
      <c r="B217" s="248"/>
      <c r="I217" s="378"/>
    </row>
    <row r="218" spans="2:9">
      <c r="B218" s="248"/>
      <c r="I218" s="378"/>
    </row>
    <row r="219" spans="2:9">
      <c r="B219" s="248"/>
      <c r="I219" s="378"/>
    </row>
    <row r="220" spans="2:9">
      <c r="B220" s="248"/>
      <c r="I220" s="378"/>
    </row>
    <row r="221" spans="2:9">
      <c r="B221" s="248"/>
      <c r="I221" s="378"/>
    </row>
    <row r="222" spans="2:9">
      <c r="B222" s="248"/>
      <c r="I222" s="378"/>
    </row>
    <row r="223" spans="2:9">
      <c r="B223" s="248"/>
      <c r="I223" s="378"/>
    </row>
    <row r="224" spans="2:9">
      <c r="B224" s="248"/>
      <c r="I224" s="378"/>
    </row>
    <row r="225" spans="2:9">
      <c r="B225" s="248"/>
      <c r="I225" s="378"/>
    </row>
    <row r="226" spans="2:9">
      <c r="B226" s="248"/>
      <c r="I226" s="378"/>
    </row>
    <row r="227" spans="2:9">
      <c r="B227" s="248"/>
      <c r="I227" s="378"/>
    </row>
    <row r="228" spans="2:9">
      <c r="B228" s="248"/>
      <c r="I228" s="378"/>
    </row>
    <row r="229" spans="2:9">
      <c r="B229" s="248"/>
      <c r="I229" s="378"/>
    </row>
    <row r="230" spans="2:9">
      <c r="B230" s="248"/>
      <c r="I230" s="378"/>
    </row>
    <row r="231" spans="2:9">
      <c r="B231" s="248"/>
      <c r="I231" s="378"/>
    </row>
    <row r="232" spans="2:9">
      <c r="B232" s="248"/>
      <c r="I232" s="378"/>
    </row>
    <row r="233" spans="2:9">
      <c r="B233" s="248"/>
      <c r="I233" s="378"/>
    </row>
    <row r="234" spans="2:9">
      <c r="B234" s="248"/>
      <c r="I234" s="378"/>
    </row>
    <row r="235" spans="2:9">
      <c r="B235" s="248"/>
      <c r="I235" s="378"/>
    </row>
    <row r="236" spans="2:9">
      <c r="B236" s="248"/>
      <c r="I236" s="378"/>
    </row>
    <row r="237" spans="2:9">
      <c r="B237" s="248"/>
      <c r="I237" s="378"/>
    </row>
    <row r="238" spans="2:9">
      <c r="B238" s="248"/>
      <c r="I238" s="378"/>
    </row>
    <row r="239" spans="2:9">
      <c r="B239" s="248"/>
      <c r="I239" s="378"/>
    </row>
    <row r="240" spans="2:9">
      <c r="B240" s="248"/>
      <c r="I240" s="378"/>
    </row>
    <row r="241" spans="2:9">
      <c r="B241" s="248"/>
      <c r="I241" s="378"/>
    </row>
    <row r="242" spans="2:9">
      <c r="B242" s="248"/>
      <c r="I242" s="378"/>
    </row>
    <row r="243" spans="2:9">
      <c r="B243" s="248"/>
      <c r="I243" s="378"/>
    </row>
    <row r="244" spans="2:9">
      <c r="B244" s="248"/>
      <c r="I244" s="378"/>
    </row>
    <row r="245" spans="2:9">
      <c r="B245" s="248"/>
      <c r="I245" s="378"/>
    </row>
    <row r="246" spans="2:9">
      <c r="B246" s="248"/>
      <c r="I246" s="378"/>
    </row>
    <row r="247" spans="2:9">
      <c r="B247" s="248"/>
      <c r="I247" s="378"/>
    </row>
    <row r="248" spans="2:9">
      <c r="B248" s="248"/>
      <c r="I248" s="378"/>
    </row>
    <row r="249" spans="2:9">
      <c r="B249" s="248"/>
      <c r="I249" s="378"/>
    </row>
    <row r="250" spans="2:9">
      <c r="B250" s="248"/>
      <c r="I250" s="378"/>
    </row>
    <row r="251" spans="2:9">
      <c r="B251" s="248"/>
      <c r="I251" s="378"/>
    </row>
    <row r="252" spans="2:9">
      <c r="B252" s="248"/>
      <c r="I252" s="378"/>
    </row>
    <row r="253" spans="2:9">
      <c r="B253" s="248"/>
      <c r="I253" s="378"/>
    </row>
    <row r="254" spans="2:9">
      <c r="B254" s="248"/>
      <c r="I254" s="378"/>
    </row>
    <row r="255" spans="2:9">
      <c r="B255" s="248"/>
      <c r="I255" s="378"/>
    </row>
    <row r="256" spans="2:9">
      <c r="B256" s="248"/>
      <c r="I256" s="378"/>
    </row>
    <row r="257" spans="2:9">
      <c r="B257" s="248"/>
      <c r="I257" s="378"/>
    </row>
    <row r="258" spans="2:9">
      <c r="B258" s="248"/>
      <c r="I258" s="378"/>
    </row>
    <row r="259" spans="2:9">
      <c r="B259" s="248"/>
      <c r="I259" s="378"/>
    </row>
    <row r="260" spans="2:9">
      <c r="B260" s="248"/>
      <c r="I260" s="378"/>
    </row>
    <row r="261" spans="2:9">
      <c r="B261" s="248"/>
      <c r="I261" s="378"/>
    </row>
    <row r="262" spans="2:9">
      <c r="B262" s="248"/>
      <c r="I262" s="378"/>
    </row>
    <row r="263" spans="2:9">
      <c r="B263" s="248"/>
      <c r="I263" s="378"/>
    </row>
    <row r="264" spans="2:9">
      <c r="B264" s="248"/>
      <c r="I264" s="378"/>
    </row>
    <row r="265" spans="2:9">
      <c r="B265" s="248"/>
      <c r="I265" s="378"/>
    </row>
    <row r="266" spans="2:9">
      <c r="B266" s="248"/>
      <c r="I266" s="378"/>
    </row>
    <row r="267" spans="2:9">
      <c r="B267" s="248"/>
      <c r="I267" s="378"/>
    </row>
    <row r="268" spans="2:9">
      <c r="B268" s="248"/>
      <c r="I268" s="378"/>
    </row>
    <row r="269" spans="2:9">
      <c r="B269" s="248"/>
      <c r="I269" s="378"/>
    </row>
    <row r="270" spans="2:9">
      <c r="B270" s="248"/>
      <c r="I270" s="378"/>
    </row>
    <row r="271" spans="2:9">
      <c r="B271" s="248"/>
      <c r="I271" s="378"/>
    </row>
    <row r="272" spans="2:9">
      <c r="B272" s="248"/>
      <c r="I272" s="378"/>
    </row>
    <row r="273" spans="2:9">
      <c r="B273" s="248"/>
      <c r="I273" s="378"/>
    </row>
    <row r="274" spans="2:9">
      <c r="B274" s="248"/>
      <c r="I274" s="378"/>
    </row>
    <row r="275" spans="2:9">
      <c r="B275" s="248"/>
      <c r="I275" s="378"/>
    </row>
    <row r="276" spans="2:9">
      <c r="B276" s="248"/>
      <c r="I276" s="378"/>
    </row>
    <row r="277" spans="2:9">
      <c r="B277" s="248"/>
      <c r="I277" s="378"/>
    </row>
    <row r="278" spans="2:9">
      <c r="B278" s="248"/>
      <c r="I278" s="378"/>
    </row>
    <row r="279" spans="2:9">
      <c r="B279" s="248"/>
      <c r="I279" s="378"/>
    </row>
    <row r="280" spans="2:9">
      <c r="B280" s="248"/>
      <c r="I280" s="378"/>
    </row>
    <row r="281" spans="2:9">
      <c r="B281" s="248"/>
      <c r="I281" s="378"/>
    </row>
    <row r="282" spans="2:9">
      <c r="B282" s="248"/>
      <c r="I282" s="378"/>
    </row>
    <row r="283" spans="2:9">
      <c r="B283" s="248"/>
      <c r="I283" s="378"/>
    </row>
    <row r="284" spans="2:9">
      <c r="B284" s="248"/>
      <c r="I284" s="378"/>
    </row>
    <row r="285" spans="2:9">
      <c r="B285" s="248"/>
      <c r="I285" s="378"/>
    </row>
    <row r="286" spans="2:9">
      <c r="B286" s="248"/>
      <c r="I286" s="378"/>
    </row>
    <row r="287" spans="2:9">
      <c r="B287" s="248"/>
      <c r="I287" s="378"/>
    </row>
    <row r="288" spans="2:9">
      <c r="B288" s="248"/>
      <c r="I288" s="378"/>
    </row>
    <row r="289" spans="2:9">
      <c r="B289" s="248"/>
      <c r="I289" s="378"/>
    </row>
    <row r="290" spans="2:9">
      <c r="B290" s="248"/>
      <c r="I290" s="378"/>
    </row>
    <row r="291" spans="2:9">
      <c r="B291" s="248"/>
      <c r="I291" s="378"/>
    </row>
    <row r="292" spans="2:9">
      <c r="B292" s="248"/>
      <c r="I292" s="378"/>
    </row>
    <row r="293" spans="2:9">
      <c r="B293" s="248"/>
      <c r="I293" s="378"/>
    </row>
    <row r="294" spans="2:9">
      <c r="B294" s="248"/>
      <c r="I294" s="378"/>
    </row>
    <row r="295" spans="2:9">
      <c r="B295" s="248"/>
      <c r="I295" s="378"/>
    </row>
    <row r="296" spans="2:9">
      <c r="B296" s="248"/>
      <c r="I296" s="378"/>
    </row>
    <row r="297" spans="2:9">
      <c r="B297" s="248"/>
      <c r="I297" s="378"/>
    </row>
    <row r="298" spans="2:9">
      <c r="B298" s="248"/>
      <c r="I298" s="378"/>
    </row>
    <row r="299" spans="2:9">
      <c r="B299" s="248"/>
      <c r="I299" s="378"/>
    </row>
    <row r="300" spans="2:9">
      <c r="B300" s="248"/>
      <c r="I300" s="378"/>
    </row>
    <row r="301" spans="2:9">
      <c r="B301" s="248"/>
      <c r="I301" s="378"/>
    </row>
    <row r="302" spans="2:9">
      <c r="B302" s="248"/>
      <c r="I302" s="378"/>
    </row>
    <row r="303" spans="2:9">
      <c r="B303" s="248"/>
      <c r="I303" s="378"/>
    </row>
    <row r="304" spans="2:9">
      <c r="B304" s="248"/>
      <c r="I304" s="378"/>
    </row>
    <row r="305" spans="2:9">
      <c r="B305" s="248"/>
      <c r="I305" s="378"/>
    </row>
    <row r="306" spans="2:9">
      <c r="B306" s="248"/>
      <c r="I306" s="378"/>
    </row>
    <row r="307" spans="2:9">
      <c r="B307" s="248"/>
      <c r="I307" s="378"/>
    </row>
    <row r="308" spans="2:9">
      <c r="B308" s="248"/>
      <c r="I308" s="378"/>
    </row>
    <row r="309" spans="2:9">
      <c r="B309" s="248"/>
      <c r="I309" s="378"/>
    </row>
    <row r="310" spans="2:9">
      <c r="B310" s="248"/>
      <c r="I310" s="378"/>
    </row>
    <row r="311" spans="2:9">
      <c r="B311" s="248"/>
      <c r="I311" s="378"/>
    </row>
    <row r="312" spans="2:9">
      <c r="B312" s="248"/>
      <c r="I312" s="378"/>
    </row>
    <row r="313" spans="2:9">
      <c r="B313" s="248"/>
      <c r="I313" s="378"/>
    </row>
    <row r="314" spans="2:9">
      <c r="B314" s="248"/>
      <c r="I314" s="378"/>
    </row>
    <row r="315" spans="2:9">
      <c r="B315" s="248"/>
      <c r="I315" s="378"/>
    </row>
    <row r="316" spans="2:9">
      <c r="B316" s="248"/>
      <c r="I316" s="378"/>
    </row>
    <row r="317" spans="2:9">
      <c r="B317" s="248"/>
      <c r="I317" s="378"/>
    </row>
    <row r="318" spans="2:9">
      <c r="B318" s="248"/>
      <c r="I318" s="378"/>
    </row>
    <row r="319" spans="2:9">
      <c r="B319" s="248"/>
      <c r="I319" s="378"/>
    </row>
    <row r="320" spans="2:9">
      <c r="B320" s="248"/>
      <c r="I320" s="378"/>
    </row>
    <row r="321" spans="2:9">
      <c r="B321" s="248"/>
      <c r="I321" s="378"/>
    </row>
    <row r="322" spans="2:9">
      <c r="B322" s="248"/>
      <c r="I322" s="378"/>
    </row>
    <row r="323" spans="2:9">
      <c r="B323" s="248"/>
      <c r="I323" s="378"/>
    </row>
    <row r="324" spans="2:9">
      <c r="B324" s="248"/>
      <c r="I324" s="378"/>
    </row>
    <row r="325" spans="2:9">
      <c r="B325" s="248"/>
      <c r="I325" s="378"/>
    </row>
    <row r="326" spans="2:9">
      <c r="B326" s="248"/>
      <c r="I326" s="378"/>
    </row>
    <row r="327" spans="2:9">
      <c r="B327" s="248"/>
      <c r="I327" s="378"/>
    </row>
    <row r="328" spans="2:9">
      <c r="B328" s="248"/>
      <c r="I328" s="378"/>
    </row>
    <row r="329" spans="2:9">
      <c r="B329" s="248"/>
      <c r="I329" s="378"/>
    </row>
    <row r="330" spans="2:9">
      <c r="B330" s="248"/>
      <c r="I330" s="378"/>
    </row>
    <row r="331" spans="2:9">
      <c r="B331" s="248"/>
      <c r="I331" s="378"/>
    </row>
    <row r="332" spans="2:9">
      <c r="B332" s="248"/>
      <c r="I332" s="378"/>
    </row>
    <row r="333" spans="2:9">
      <c r="B333" s="248"/>
      <c r="I333" s="378"/>
    </row>
    <row r="334" spans="2:9">
      <c r="B334" s="248"/>
      <c r="I334" s="378"/>
    </row>
    <row r="335" spans="2:9">
      <c r="B335" s="248"/>
      <c r="I335" s="378"/>
    </row>
    <row r="336" spans="2:9">
      <c r="B336" s="248"/>
      <c r="I336" s="378"/>
    </row>
    <row r="337" spans="2:9">
      <c r="B337" s="248"/>
      <c r="I337" s="378"/>
    </row>
    <row r="338" spans="2:9">
      <c r="B338" s="248"/>
      <c r="I338" s="378"/>
    </row>
    <row r="339" spans="2:9">
      <c r="B339" s="248"/>
      <c r="I339" s="378"/>
    </row>
    <row r="340" spans="2:9">
      <c r="B340" s="248"/>
      <c r="I340" s="378"/>
    </row>
    <row r="341" spans="2:9">
      <c r="B341" s="248"/>
      <c r="I341" s="378"/>
    </row>
    <row r="342" spans="2:9">
      <c r="B342" s="248"/>
      <c r="I342" s="378"/>
    </row>
    <row r="343" spans="2:9">
      <c r="B343" s="248"/>
      <c r="I343" s="378"/>
    </row>
    <row r="344" spans="2:9">
      <c r="B344" s="248"/>
      <c r="I344" s="378"/>
    </row>
    <row r="345" spans="2:9">
      <c r="B345" s="248"/>
      <c r="I345" s="378"/>
    </row>
    <row r="346" spans="2:9">
      <c r="B346" s="248"/>
      <c r="I346" s="378"/>
    </row>
    <row r="347" spans="2:9">
      <c r="B347" s="248"/>
      <c r="I347" s="378"/>
    </row>
    <row r="348" spans="2:9">
      <c r="B348" s="248"/>
      <c r="I348" s="378"/>
    </row>
    <row r="349" spans="2:9">
      <c r="B349" s="248"/>
      <c r="I349" s="378"/>
    </row>
    <row r="350" spans="2:9">
      <c r="B350" s="248"/>
      <c r="I350" s="378"/>
    </row>
    <row r="351" spans="2:9">
      <c r="B351" s="248"/>
      <c r="I351" s="378"/>
    </row>
    <row r="352" spans="2:9">
      <c r="B352" s="248"/>
      <c r="I352" s="378"/>
    </row>
    <row r="353" spans="2:9">
      <c r="B353" s="248"/>
      <c r="I353" s="378"/>
    </row>
    <row r="354" spans="2:9">
      <c r="B354" s="248"/>
      <c r="I354" s="378"/>
    </row>
    <row r="355" spans="2:9">
      <c r="B355" s="248"/>
      <c r="I355" s="378"/>
    </row>
    <row r="356" spans="2:9">
      <c r="B356" s="248"/>
      <c r="I356" s="378"/>
    </row>
    <row r="357" spans="2:9">
      <c r="B357" s="248"/>
      <c r="I357" s="378"/>
    </row>
    <row r="358" spans="2:9">
      <c r="B358" s="248"/>
      <c r="I358" s="378"/>
    </row>
    <row r="359" spans="2:9">
      <c r="B359" s="248"/>
      <c r="I359" s="378"/>
    </row>
    <row r="360" spans="2:9">
      <c r="B360" s="248"/>
      <c r="I360" s="378"/>
    </row>
    <row r="361" spans="2:9">
      <c r="B361" s="248"/>
      <c r="I361" s="378"/>
    </row>
    <row r="362" spans="2:9">
      <c r="B362" s="248"/>
      <c r="I362" s="378"/>
    </row>
    <row r="363" spans="2:9">
      <c r="B363" s="248"/>
      <c r="I363" s="378"/>
    </row>
    <row r="364" spans="2:9">
      <c r="B364" s="248"/>
      <c r="I364" s="378"/>
    </row>
    <row r="365" spans="2:9">
      <c r="B365" s="248"/>
      <c r="I365" s="378"/>
    </row>
    <row r="366" spans="2:9">
      <c r="B366" s="248"/>
      <c r="I366" s="378"/>
    </row>
    <row r="367" spans="2:9">
      <c r="B367" s="248"/>
      <c r="I367" s="378"/>
    </row>
    <row r="368" spans="2:9">
      <c r="B368" s="248"/>
      <c r="I368" s="378"/>
    </row>
    <row r="369" spans="2:9">
      <c r="B369" s="248"/>
      <c r="I369" s="378"/>
    </row>
    <row r="370" spans="2:9">
      <c r="B370" s="248"/>
      <c r="I370" s="378"/>
    </row>
    <row r="371" spans="2:9">
      <c r="B371" s="248"/>
      <c r="I371" s="378"/>
    </row>
    <row r="372" spans="2:9">
      <c r="B372" s="248"/>
      <c r="I372" s="378"/>
    </row>
    <row r="373" spans="2:9">
      <c r="B373" s="248"/>
      <c r="I373" s="378"/>
    </row>
    <row r="374" spans="2:9">
      <c r="B374" s="248"/>
      <c r="I374" s="378"/>
    </row>
    <row r="375" spans="2:9">
      <c r="B375" s="248"/>
      <c r="I375" s="378"/>
    </row>
    <row r="376" spans="2:9">
      <c r="B376" s="248"/>
      <c r="I376" s="378"/>
    </row>
    <row r="377" spans="2:9">
      <c r="B377" s="248"/>
      <c r="I377" s="378"/>
    </row>
    <row r="378" spans="2:9">
      <c r="B378" s="248"/>
      <c r="I378" s="378"/>
    </row>
    <row r="379" spans="2:9">
      <c r="B379" s="248"/>
      <c r="I379" s="378"/>
    </row>
    <row r="380" spans="2:9">
      <c r="B380" s="248"/>
      <c r="I380" s="378"/>
    </row>
    <row r="381" spans="2:9">
      <c r="B381" s="248"/>
      <c r="I381" s="378"/>
    </row>
    <row r="382" spans="2:9">
      <c r="B382" s="248"/>
      <c r="I382" s="378"/>
    </row>
    <row r="383" spans="2:9">
      <c r="B383" s="248"/>
      <c r="I383" s="378"/>
    </row>
    <row r="384" spans="2:9">
      <c r="B384" s="248"/>
      <c r="I384" s="378"/>
    </row>
    <row r="385" spans="2:9">
      <c r="B385" s="248"/>
      <c r="I385" s="378"/>
    </row>
    <row r="386" spans="2:9">
      <c r="B386" s="248"/>
      <c r="I386" s="378"/>
    </row>
    <row r="387" spans="2:9">
      <c r="B387" s="248"/>
      <c r="I387" s="378"/>
    </row>
    <row r="388" spans="2:9">
      <c r="B388" s="248"/>
      <c r="I388" s="378"/>
    </row>
    <row r="389" spans="2:9">
      <c r="B389" s="248"/>
      <c r="I389" s="378"/>
    </row>
    <row r="390" spans="2:9">
      <c r="B390" s="248"/>
      <c r="I390" s="378"/>
    </row>
    <row r="391" spans="2:9">
      <c r="B391" s="248"/>
      <c r="I391" s="378"/>
    </row>
    <row r="392" spans="2:9">
      <c r="B392" s="248"/>
      <c r="I392" s="378"/>
    </row>
    <row r="393" spans="2:9">
      <c r="B393" s="248"/>
      <c r="I393" s="378"/>
    </row>
    <row r="394" spans="2:9">
      <c r="B394" s="248"/>
      <c r="I394" s="378"/>
    </row>
    <row r="395" spans="2:9">
      <c r="B395" s="248"/>
      <c r="I395" s="378"/>
    </row>
    <row r="396" spans="2:9">
      <c r="B396" s="248"/>
      <c r="I396" s="378"/>
    </row>
    <row r="397" spans="2:9">
      <c r="B397" s="248"/>
      <c r="I397" s="378"/>
    </row>
    <row r="398" spans="2:9">
      <c r="B398" s="248"/>
      <c r="I398" s="378"/>
    </row>
    <row r="399" spans="2:9">
      <c r="B399" s="248"/>
      <c r="I399" s="378"/>
    </row>
    <row r="400" spans="2:9">
      <c r="B400" s="248"/>
      <c r="I400" s="378"/>
    </row>
    <row r="401" spans="2:9">
      <c r="B401" s="248"/>
      <c r="I401" s="378"/>
    </row>
    <row r="402" spans="2:9">
      <c r="B402" s="248"/>
      <c r="I402" s="378"/>
    </row>
    <row r="403" spans="2:9">
      <c r="B403" s="248"/>
      <c r="I403" s="378"/>
    </row>
    <row r="404" spans="2:9">
      <c r="B404" s="248"/>
      <c r="I404" s="378"/>
    </row>
    <row r="405" spans="2:9">
      <c r="B405" s="248"/>
      <c r="I405" s="378"/>
    </row>
    <row r="406" spans="2:9">
      <c r="B406" s="248"/>
      <c r="I406" s="378"/>
    </row>
    <row r="407" spans="2:9">
      <c r="B407" s="248"/>
      <c r="I407" s="378"/>
    </row>
    <row r="408" spans="2:9">
      <c r="B408" s="248"/>
      <c r="I408" s="378"/>
    </row>
    <row r="409" spans="2:9">
      <c r="B409" s="248"/>
      <c r="I409" s="378"/>
    </row>
    <row r="410" spans="2:9">
      <c r="B410" s="248"/>
      <c r="I410" s="378"/>
    </row>
    <row r="411" spans="2:9">
      <c r="B411" s="248"/>
      <c r="I411" s="378"/>
    </row>
    <row r="412" spans="2:9">
      <c r="B412" s="248"/>
      <c r="I412" s="378"/>
    </row>
    <row r="413" spans="2:9">
      <c r="B413" s="248"/>
      <c r="I413" s="378"/>
    </row>
    <row r="414" spans="2:9">
      <c r="B414" s="248"/>
      <c r="I414" s="378"/>
    </row>
    <row r="415" spans="2:9">
      <c r="B415" s="248"/>
      <c r="I415" s="378"/>
    </row>
    <row r="416" spans="2:9">
      <c r="B416" s="248"/>
      <c r="I416" s="378"/>
    </row>
    <row r="417" spans="2:9">
      <c r="B417" s="248"/>
      <c r="I417" s="378"/>
    </row>
    <row r="418" spans="2:9">
      <c r="B418" s="248"/>
      <c r="I418" s="378"/>
    </row>
    <row r="419" spans="2:9">
      <c r="B419" s="248"/>
      <c r="I419" s="378"/>
    </row>
    <row r="420" spans="2:9">
      <c r="B420" s="248"/>
      <c r="I420" s="378"/>
    </row>
    <row r="421" spans="2:9">
      <c r="B421" s="248"/>
      <c r="I421" s="378"/>
    </row>
    <row r="422" spans="2:9">
      <c r="B422" s="248"/>
      <c r="I422" s="378"/>
    </row>
    <row r="423" spans="2:9">
      <c r="B423" s="248"/>
      <c r="I423" s="378"/>
    </row>
    <row r="424" spans="2:9">
      <c r="B424" s="248"/>
      <c r="I424" s="378"/>
    </row>
    <row r="425" spans="2:9">
      <c r="B425" s="248"/>
      <c r="I425" s="378"/>
    </row>
    <row r="426" spans="2:9">
      <c r="B426" s="248"/>
      <c r="I426" s="378"/>
    </row>
    <row r="427" spans="2:9">
      <c r="B427" s="248"/>
      <c r="I427" s="378"/>
    </row>
    <row r="428" spans="2:9">
      <c r="B428" s="248"/>
      <c r="I428" s="378"/>
    </row>
    <row r="429" spans="2:9">
      <c r="B429" s="248"/>
      <c r="I429" s="378"/>
    </row>
    <row r="430" spans="2:9">
      <c r="B430" s="248"/>
      <c r="I430" s="378"/>
    </row>
    <row r="431" spans="2:9">
      <c r="B431" s="248"/>
      <c r="I431" s="378"/>
    </row>
    <row r="432" spans="2:9">
      <c r="B432" s="248"/>
      <c r="I432" s="378"/>
    </row>
    <row r="433" spans="2:9">
      <c r="B433" s="248"/>
      <c r="I433" s="378"/>
    </row>
    <row r="434" spans="2:9">
      <c r="B434" s="248"/>
      <c r="I434" s="378"/>
    </row>
    <row r="435" spans="2:9">
      <c r="B435" s="248"/>
      <c r="I435" s="378"/>
    </row>
    <row r="436" spans="2:9">
      <c r="B436" s="248"/>
      <c r="I436" s="378"/>
    </row>
    <row r="437" spans="2:9">
      <c r="B437" s="248"/>
      <c r="I437" s="378"/>
    </row>
    <row r="438" spans="2:9">
      <c r="B438" s="248"/>
      <c r="I438" s="378"/>
    </row>
    <row r="439" spans="2:9">
      <c r="B439" s="248"/>
      <c r="I439" s="378"/>
    </row>
    <row r="440" spans="2:9">
      <c r="B440" s="248"/>
      <c r="I440" s="378"/>
    </row>
    <row r="441" spans="2:9">
      <c r="B441" s="248"/>
      <c r="I441" s="378"/>
    </row>
    <row r="442" spans="2:9">
      <c r="B442" s="248"/>
      <c r="I442" s="378"/>
    </row>
    <row r="443" spans="2:9">
      <c r="B443" s="248"/>
      <c r="I443" s="378"/>
    </row>
    <row r="444" spans="2:9">
      <c r="B444" s="248"/>
      <c r="I444" s="378"/>
    </row>
    <row r="445" spans="2:9">
      <c r="B445" s="248"/>
      <c r="I445" s="378"/>
    </row>
    <row r="446" spans="2:9">
      <c r="B446" s="248"/>
      <c r="I446" s="378"/>
    </row>
    <row r="447" spans="2:9">
      <c r="B447" s="248"/>
      <c r="I447" s="378"/>
    </row>
    <row r="448" spans="2:9">
      <c r="B448" s="248"/>
      <c r="I448" s="378"/>
    </row>
    <row r="449" spans="2:9">
      <c r="B449" s="248"/>
      <c r="I449" s="378"/>
    </row>
    <row r="450" spans="2:9">
      <c r="B450" s="248"/>
      <c r="I450" s="378"/>
    </row>
    <row r="451" spans="2:9">
      <c r="B451" s="248"/>
      <c r="I451" s="378"/>
    </row>
    <row r="452" spans="2:9">
      <c r="B452" s="248"/>
      <c r="I452" s="378"/>
    </row>
    <row r="453" spans="2:9">
      <c r="B453" s="248"/>
      <c r="I453" s="378"/>
    </row>
    <row r="454" spans="2:9">
      <c r="B454" s="248"/>
      <c r="I454" s="378"/>
    </row>
    <row r="455" spans="2:9">
      <c r="B455" s="248"/>
      <c r="I455" s="378"/>
    </row>
    <row r="456" spans="2:9">
      <c r="B456" s="248"/>
      <c r="I456" s="378"/>
    </row>
    <row r="457" spans="2:9">
      <c r="B457" s="248"/>
      <c r="I457" s="378"/>
    </row>
    <row r="458" spans="2:9">
      <c r="B458" s="248"/>
      <c r="I458" s="378"/>
    </row>
    <row r="459" spans="2:9">
      <c r="B459" s="248"/>
      <c r="I459" s="378"/>
    </row>
    <row r="460" spans="2:9">
      <c r="B460" s="248"/>
      <c r="I460" s="378"/>
    </row>
    <row r="461" spans="2:9">
      <c r="B461" s="248"/>
      <c r="I461" s="378"/>
    </row>
    <row r="462" spans="2:9">
      <c r="B462" s="248"/>
      <c r="I462" s="378"/>
    </row>
    <row r="463" spans="2:9">
      <c r="B463" s="248"/>
      <c r="I463" s="378"/>
    </row>
    <row r="464" spans="2:9">
      <c r="B464" s="248"/>
      <c r="I464" s="378"/>
    </row>
    <row r="465" spans="2:9">
      <c r="B465" s="248"/>
      <c r="I465" s="378"/>
    </row>
    <row r="466" spans="2:9">
      <c r="B466" s="248"/>
      <c r="I466" s="378"/>
    </row>
    <row r="467" spans="2:9">
      <c r="B467" s="248"/>
      <c r="I467" s="378"/>
    </row>
    <row r="468" spans="2:9">
      <c r="B468" s="248"/>
      <c r="I468" s="378"/>
    </row>
    <row r="469" spans="2:9">
      <c r="B469" s="248"/>
      <c r="I469" s="378"/>
    </row>
    <row r="470" spans="2:9">
      <c r="B470" s="248"/>
      <c r="I470" s="378"/>
    </row>
    <row r="471" spans="2:9">
      <c r="B471" s="248"/>
      <c r="I471" s="378"/>
    </row>
    <row r="472" spans="2:9">
      <c r="B472" s="248"/>
      <c r="I472" s="378"/>
    </row>
    <row r="473" spans="2:9">
      <c r="B473" s="248"/>
      <c r="I473" s="378"/>
    </row>
    <row r="474" spans="2:9">
      <c r="B474" s="248"/>
      <c r="I474" s="378"/>
    </row>
    <row r="475" spans="2:9">
      <c r="B475" s="248"/>
      <c r="I475" s="378"/>
    </row>
    <row r="476" spans="2:9">
      <c r="B476" s="248"/>
      <c r="I476" s="378"/>
    </row>
    <row r="477" spans="2:9">
      <c r="B477" s="248"/>
      <c r="I477" s="378"/>
    </row>
    <row r="478" spans="2:9">
      <c r="B478" s="248"/>
      <c r="I478" s="378"/>
    </row>
    <row r="479" spans="2:9">
      <c r="B479" s="248"/>
      <c r="I479" s="378"/>
    </row>
    <row r="480" spans="2:9">
      <c r="B480" s="248"/>
      <c r="I480" s="378"/>
    </row>
    <row r="481" spans="2:9">
      <c r="B481" s="248"/>
      <c r="I481" s="378"/>
    </row>
    <row r="482" spans="2:9">
      <c r="B482" s="248"/>
      <c r="I482" s="378"/>
    </row>
    <row r="483" spans="2:9">
      <c r="B483" s="248"/>
      <c r="I483" s="378"/>
    </row>
    <row r="484" spans="2:9">
      <c r="B484" s="248"/>
      <c r="I484" s="378"/>
    </row>
    <row r="485" spans="2:9">
      <c r="B485" s="248"/>
      <c r="I485" s="378"/>
    </row>
    <row r="486" spans="2:9">
      <c r="B486" s="248"/>
      <c r="I486" s="378"/>
    </row>
    <row r="487" spans="2:9">
      <c r="B487" s="248"/>
      <c r="I487" s="378"/>
    </row>
    <row r="488" spans="2:9">
      <c r="B488" s="248"/>
      <c r="I488" s="378"/>
    </row>
    <row r="489" spans="2:9">
      <c r="B489" s="248"/>
      <c r="I489" s="378"/>
    </row>
    <row r="490" spans="2:9">
      <c r="B490" s="248"/>
      <c r="I490" s="378"/>
    </row>
    <row r="491" spans="2:9">
      <c r="B491" s="248"/>
      <c r="I491" s="378"/>
    </row>
    <row r="492" spans="2:9">
      <c r="B492" s="248"/>
      <c r="I492" s="378"/>
    </row>
    <row r="493" spans="2:9">
      <c r="B493" s="248"/>
      <c r="I493" s="378"/>
    </row>
    <row r="494" spans="2:9">
      <c r="B494" s="248"/>
      <c r="I494" s="378"/>
    </row>
    <row r="495" spans="2:9">
      <c r="B495" s="248"/>
      <c r="I495" s="378"/>
    </row>
    <row r="496" spans="2:9">
      <c r="B496" s="248"/>
      <c r="I496" s="378"/>
    </row>
    <row r="497" spans="2:9">
      <c r="B497" s="248"/>
      <c r="I497" s="378"/>
    </row>
    <row r="498" spans="2:9">
      <c r="B498" s="248"/>
      <c r="I498" s="378"/>
    </row>
    <row r="499" spans="2:9">
      <c r="B499" s="248"/>
      <c r="I499" s="378"/>
    </row>
    <row r="500" spans="2:9">
      <c r="B500" s="248"/>
      <c r="I500" s="378"/>
    </row>
    <row r="501" spans="2:9">
      <c r="B501" s="248"/>
      <c r="I501" s="378"/>
    </row>
    <row r="502" spans="2:9">
      <c r="B502" s="248"/>
      <c r="I502" s="378"/>
    </row>
    <row r="503" spans="2:9">
      <c r="B503" s="248"/>
      <c r="I503" s="378"/>
    </row>
    <row r="504" spans="2:9">
      <c r="B504" s="248"/>
      <c r="I504" s="378"/>
    </row>
    <row r="505" spans="2:9">
      <c r="B505" s="248"/>
      <c r="I505" s="378"/>
    </row>
    <row r="506" spans="2:9">
      <c r="B506" s="248"/>
      <c r="I506" s="378"/>
    </row>
    <row r="507" spans="2:9">
      <c r="B507" s="248"/>
      <c r="I507" s="378"/>
    </row>
    <row r="508" spans="2:9">
      <c r="B508" s="248"/>
      <c r="I508" s="378"/>
    </row>
    <row r="509" spans="2:9">
      <c r="B509" s="248"/>
      <c r="I509" s="378"/>
    </row>
    <row r="510" spans="2:9">
      <c r="B510" s="248"/>
      <c r="I510" s="378"/>
    </row>
    <row r="511" spans="2:9">
      <c r="B511" s="248"/>
      <c r="I511" s="378"/>
    </row>
    <row r="512" spans="2:9">
      <c r="B512" s="248"/>
      <c r="I512" s="378"/>
    </row>
    <row r="513" spans="2:9">
      <c r="B513" s="248"/>
      <c r="I513" s="378"/>
    </row>
    <row r="514" spans="2:9">
      <c r="B514" s="248"/>
      <c r="I514" s="378"/>
    </row>
    <row r="515" spans="2:9">
      <c r="B515" s="248"/>
      <c r="I515" s="378"/>
    </row>
    <row r="516" spans="2:9">
      <c r="B516" s="248"/>
      <c r="I516" s="378"/>
    </row>
    <row r="517" spans="2:9">
      <c r="B517" s="248"/>
      <c r="I517" s="378"/>
    </row>
    <row r="518" spans="2:9">
      <c r="B518" s="248"/>
      <c r="I518" s="378"/>
    </row>
    <row r="519" spans="2:9">
      <c r="B519" s="248"/>
      <c r="I519" s="378"/>
    </row>
    <row r="520" spans="2:9">
      <c r="B520" s="248"/>
      <c r="I520" s="378"/>
    </row>
    <row r="521" spans="2:9">
      <c r="B521" s="248"/>
      <c r="I521" s="378"/>
    </row>
    <row r="522" spans="2:9">
      <c r="B522" s="248"/>
      <c r="I522" s="378"/>
    </row>
    <row r="523" spans="2:9">
      <c r="B523" s="248"/>
      <c r="I523" s="378"/>
    </row>
    <row r="524" spans="2:9">
      <c r="B524" s="248"/>
      <c r="I524" s="378"/>
    </row>
    <row r="525" spans="2:9">
      <c r="B525" s="248"/>
      <c r="I525" s="378"/>
    </row>
    <row r="526" spans="2:9">
      <c r="B526" s="248"/>
      <c r="I526" s="378"/>
    </row>
    <row r="527" spans="2:9">
      <c r="B527" s="248"/>
      <c r="I527" s="378"/>
    </row>
    <row r="528" spans="2:9">
      <c r="B528" s="248"/>
      <c r="I528" s="378"/>
    </row>
    <row r="529" spans="2:9">
      <c r="B529" s="248"/>
      <c r="I529" s="378"/>
    </row>
    <row r="530" spans="2:9">
      <c r="B530" s="248"/>
      <c r="I530" s="378"/>
    </row>
    <row r="531" spans="2:9">
      <c r="B531" s="248"/>
      <c r="I531" s="378"/>
    </row>
    <row r="532" spans="2:9">
      <c r="B532" s="248"/>
      <c r="I532" s="378"/>
    </row>
    <row r="533" spans="2:9">
      <c r="B533" s="248"/>
      <c r="I533" s="378"/>
    </row>
    <row r="534" spans="2:9">
      <c r="B534" s="248"/>
      <c r="I534" s="378"/>
    </row>
    <row r="535" spans="2:9">
      <c r="B535" s="248"/>
      <c r="I535" s="378"/>
    </row>
    <row r="536" spans="2:9">
      <c r="B536" s="248"/>
      <c r="I536" s="378"/>
    </row>
    <row r="537" spans="2:9">
      <c r="B537" s="248"/>
      <c r="I537" s="378"/>
    </row>
    <row r="538" spans="2:9">
      <c r="B538" s="248"/>
      <c r="I538" s="378"/>
    </row>
    <row r="539" spans="2:9">
      <c r="B539" s="248"/>
      <c r="I539" s="378"/>
    </row>
    <row r="540" spans="2:9">
      <c r="B540" s="248"/>
      <c r="I540" s="378"/>
    </row>
    <row r="541" spans="2:9">
      <c r="B541" s="248"/>
      <c r="I541" s="378"/>
    </row>
    <row r="542" spans="2:9">
      <c r="B542" s="248"/>
      <c r="I542" s="378"/>
    </row>
    <row r="543" spans="2:9">
      <c r="B543" s="248"/>
      <c r="I543" s="378"/>
    </row>
    <row r="544" spans="2:9">
      <c r="B544" s="248"/>
      <c r="I544" s="378"/>
    </row>
    <row r="545" spans="2:9">
      <c r="B545" s="248"/>
      <c r="I545" s="378"/>
    </row>
    <row r="546" spans="2:9">
      <c r="B546" s="248"/>
      <c r="I546" s="378"/>
    </row>
    <row r="547" spans="2:9">
      <c r="B547" s="248"/>
      <c r="I547" s="378"/>
    </row>
    <row r="548" spans="2:9">
      <c r="B548" s="248"/>
      <c r="I548" s="378"/>
    </row>
    <row r="549" spans="2:9">
      <c r="B549" s="248"/>
      <c r="I549" s="378"/>
    </row>
    <row r="550" spans="2:9">
      <c r="B550" s="248"/>
      <c r="I550" s="378"/>
    </row>
    <row r="551" spans="2:9">
      <c r="B551" s="248"/>
      <c r="I551" s="378"/>
    </row>
    <row r="552" spans="2:9">
      <c r="B552" s="248"/>
      <c r="I552" s="378"/>
    </row>
    <row r="553" spans="2:9">
      <c r="B553" s="248"/>
      <c r="I553" s="378"/>
    </row>
    <row r="554" spans="2:9">
      <c r="B554" s="248"/>
      <c r="I554" s="378"/>
    </row>
    <row r="555" spans="2:9">
      <c r="B555" s="248"/>
      <c r="I555" s="378"/>
    </row>
    <row r="556" spans="2:9">
      <c r="B556" s="248"/>
      <c r="I556" s="378"/>
    </row>
    <row r="557" spans="2:9">
      <c r="B557" s="248"/>
      <c r="I557" s="378"/>
    </row>
    <row r="558" spans="2:9">
      <c r="B558" s="248"/>
      <c r="I558" s="378"/>
    </row>
    <row r="559" spans="2:9">
      <c r="B559" s="248"/>
      <c r="I559" s="378"/>
    </row>
    <row r="560" spans="2:9">
      <c r="B560" s="248"/>
      <c r="I560" s="378"/>
    </row>
    <row r="561" spans="2:9">
      <c r="B561" s="248"/>
      <c r="I561" s="378"/>
    </row>
    <row r="562" spans="2:9">
      <c r="B562" s="248"/>
      <c r="I562" s="378"/>
    </row>
    <row r="563" spans="2:9">
      <c r="B563" s="248"/>
      <c r="I563" s="378"/>
    </row>
    <row r="564" spans="2:9">
      <c r="B564" s="248"/>
      <c r="I564" s="378"/>
    </row>
    <row r="565" spans="2:9">
      <c r="B565" s="248"/>
      <c r="I565" s="378"/>
    </row>
    <row r="566" spans="2:9">
      <c r="B566" s="248"/>
      <c r="I566" s="378"/>
    </row>
    <row r="567" spans="2:9">
      <c r="B567" s="248"/>
      <c r="I567" s="378"/>
    </row>
    <row r="568" spans="2:9">
      <c r="B568" s="248"/>
      <c r="I568" s="378"/>
    </row>
    <row r="569" spans="2:9">
      <c r="B569" s="248"/>
      <c r="I569" s="378"/>
    </row>
    <row r="570" spans="2:9">
      <c r="B570" s="248"/>
      <c r="I570" s="378"/>
    </row>
    <row r="571" spans="2:9">
      <c r="B571" s="248"/>
      <c r="I571" s="378"/>
    </row>
    <row r="572" spans="2:9">
      <c r="B572" s="248"/>
      <c r="I572" s="378"/>
    </row>
    <row r="573" spans="2:9">
      <c r="B573" s="248"/>
      <c r="I573" s="378"/>
    </row>
    <row r="574" spans="2:9">
      <c r="B574" s="248"/>
      <c r="I574" s="378"/>
    </row>
    <row r="575" spans="2:9">
      <c r="B575" s="248"/>
      <c r="I575" s="378"/>
    </row>
    <row r="576" spans="2:9">
      <c r="B576" s="248"/>
      <c r="I576" s="378"/>
    </row>
    <row r="577" spans="2:9">
      <c r="B577" s="248"/>
      <c r="I577" s="378"/>
    </row>
    <row r="578" spans="2:9">
      <c r="B578" s="248"/>
      <c r="I578" s="378"/>
    </row>
    <row r="579" spans="2:9">
      <c r="B579" s="248"/>
      <c r="I579" s="378"/>
    </row>
    <row r="580" spans="2:9">
      <c r="B580" s="248"/>
      <c r="I580" s="378"/>
    </row>
    <row r="581" spans="2:9">
      <c r="B581" s="248"/>
      <c r="I581" s="378"/>
    </row>
    <row r="582" spans="2:9">
      <c r="B582" s="248"/>
      <c r="I582" s="378"/>
    </row>
    <row r="583" spans="2:9">
      <c r="B583" s="248"/>
      <c r="I583" s="378"/>
    </row>
    <row r="584" spans="2:9">
      <c r="B584" s="248"/>
      <c r="I584" s="378"/>
    </row>
    <row r="585" spans="2:9">
      <c r="B585" s="248"/>
      <c r="I585" s="378"/>
    </row>
    <row r="586" spans="2:9">
      <c r="B586" s="248"/>
      <c r="I586" s="378"/>
    </row>
    <row r="587" spans="2:9">
      <c r="B587" s="248"/>
      <c r="I587" s="378"/>
    </row>
    <row r="588" spans="2:9">
      <c r="B588" s="248"/>
      <c r="I588" s="378"/>
    </row>
    <row r="589" spans="2:9">
      <c r="B589" s="248"/>
      <c r="I589" s="378"/>
    </row>
    <row r="590" spans="2:9">
      <c r="B590" s="248"/>
      <c r="I590" s="378"/>
    </row>
    <row r="591" spans="2:9">
      <c r="B591" s="248"/>
      <c r="I591" s="378"/>
    </row>
    <row r="592" spans="2:9">
      <c r="B592" s="248"/>
      <c r="I592" s="378"/>
    </row>
    <row r="593" spans="2:9">
      <c r="B593" s="248"/>
      <c r="I593" s="378"/>
    </row>
    <row r="594" spans="2:9">
      <c r="B594" s="248"/>
      <c r="I594" s="378"/>
    </row>
    <row r="595" spans="2:9">
      <c r="B595" s="248"/>
      <c r="I595" s="378"/>
    </row>
    <row r="596" spans="2:9">
      <c r="B596" s="248"/>
      <c r="I596" s="378"/>
    </row>
    <row r="597" spans="2:9">
      <c r="B597" s="248"/>
      <c r="I597" s="378"/>
    </row>
    <row r="598" spans="2:9">
      <c r="B598" s="248"/>
      <c r="I598" s="378"/>
    </row>
    <row r="599" spans="2:9">
      <c r="B599" s="248"/>
      <c r="I599" s="378"/>
    </row>
    <row r="600" spans="2:9">
      <c r="B600" s="248"/>
      <c r="I600" s="378"/>
    </row>
    <row r="601" spans="2:9">
      <c r="B601" s="248"/>
      <c r="I601" s="378"/>
    </row>
    <row r="602" spans="2:9">
      <c r="B602" s="248"/>
      <c r="I602" s="378"/>
    </row>
    <row r="603" spans="2:9">
      <c r="B603" s="248"/>
      <c r="I603" s="378"/>
    </row>
    <row r="604" spans="2:9">
      <c r="B604" s="248"/>
      <c r="I604" s="378"/>
    </row>
    <row r="605" spans="2:9">
      <c r="B605" s="248"/>
      <c r="I605" s="378"/>
    </row>
    <row r="606" spans="2:9">
      <c r="B606" s="248"/>
      <c r="I606" s="378"/>
    </row>
    <row r="607" spans="2:9">
      <c r="B607" s="248"/>
      <c r="I607" s="378"/>
    </row>
    <row r="608" spans="2:9">
      <c r="B608" s="248"/>
      <c r="I608" s="378"/>
    </row>
    <row r="609" spans="2:9">
      <c r="B609" s="248"/>
      <c r="I609" s="378"/>
    </row>
    <row r="610" spans="2:9">
      <c r="B610" s="248"/>
      <c r="I610" s="378"/>
    </row>
    <row r="611" spans="2:9">
      <c r="B611" s="248"/>
      <c r="I611" s="378"/>
    </row>
    <row r="612" spans="2:9">
      <c r="B612" s="248"/>
      <c r="I612" s="378"/>
    </row>
    <row r="613" spans="2:9">
      <c r="B613" s="248"/>
      <c r="I613" s="378"/>
    </row>
    <row r="614" spans="2:9">
      <c r="B614" s="248"/>
      <c r="I614" s="378"/>
    </row>
    <row r="615" spans="2:9">
      <c r="B615" s="248"/>
      <c r="I615" s="378"/>
    </row>
    <row r="616" spans="2:9">
      <c r="B616" s="248"/>
      <c r="I616" s="378"/>
    </row>
    <row r="617" spans="2:9">
      <c r="B617" s="248"/>
      <c r="I617" s="378"/>
    </row>
    <row r="618" spans="2:9">
      <c r="B618" s="248"/>
      <c r="I618" s="378"/>
    </row>
    <row r="619" spans="2:9">
      <c r="B619" s="248"/>
      <c r="I619" s="378"/>
    </row>
    <row r="620" spans="2:9">
      <c r="B620" s="248"/>
      <c r="I620" s="378"/>
    </row>
    <row r="621" spans="2:9">
      <c r="B621" s="248"/>
      <c r="I621" s="378"/>
    </row>
    <row r="622" spans="2:9">
      <c r="B622" s="248"/>
      <c r="I622" s="378"/>
    </row>
    <row r="623" spans="2:9">
      <c r="B623" s="248"/>
      <c r="I623" s="378"/>
    </row>
    <row r="624" spans="2:9">
      <c r="B624" s="248"/>
      <c r="I624" s="378"/>
    </row>
    <row r="625" spans="2:9">
      <c r="B625" s="248"/>
      <c r="I625" s="378"/>
    </row>
    <row r="626" spans="2:9">
      <c r="B626" s="248"/>
      <c r="I626" s="378"/>
    </row>
    <row r="627" spans="2:9">
      <c r="B627" s="248"/>
      <c r="I627" s="378"/>
    </row>
    <row r="628" spans="2:9">
      <c r="B628" s="248"/>
      <c r="I628" s="378"/>
    </row>
    <row r="629" spans="2:9">
      <c r="B629" s="248"/>
      <c r="I629" s="378"/>
    </row>
    <row r="630" spans="2:9">
      <c r="B630" s="248"/>
      <c r="I630" s="378"/>
    </row>
    <row r="631" spans="2:9">
      <c r="B631" s="248"/>
      <c r="I631" s="378"/>
    </row>
    <row r="632" spans="2:9">
      <c r="B632" s="248"/>
      <c r="I632" s="378"/>
    </row>
    <row r="633" spans="2:9">
      <c r="B633" s="248"/>
      <c r="I633" s="378"/>
    </row>
    <row r="634" spans="2:9">
      <c r="B634" s="248"/>
      <c r="I634" s="378"/>
    </row>
    <row r="635" spans="2:9">
      <c r="B635" s="248"/>
      <c r="I635" s="378"/>
    </row>
    <row r="636" spans="2:9">
      <c r="B636" s="248"/>
      <c r="I636" s="378"/>
    </row>
    <row r="637" spans="2:9">
      <c r="B637" s="248"/>
      <c r="I637" s="378"/>
    </row>
    <row r="638" spans="2:9">
      <c r="B638" s="248"/>
      <c r="I638" s="378"/>
    </row>
    <row r="639" spans="2:9">
      <c r="B639" s="248"/>
      <c r="I639" s="378"/>
    </row>
    <row r="640" spans="2:9">
      <c r="B640" s="248"/>
      <c r="I640" s="378"/>
    </row>
    <row r="641" spans="2:9">
      <c r="B641" s="248"/>
      <c r="I641" s="378"/>
    </row>
    <row r="642" spans="2:9">
      <c r="B642" s="248"/>
      <c r="I642" s="378"/>
    </row>
    <row r="643" spans="2:9">
      <c r="B643" s="248"/>
      <c r="I643" s="378"/>
    </row>
    <row r="644" spans="2:9">
      <c r="B644" s="248"/>
      <c r="I644" s="378"/>
    </row>
    <row r="645" spans="2:9">
      <c r="B645" s="248"/>
      <c r="I645" s="378"/>
    </row>
    <row r="646" spans="2:9">
      <c r="B646" s="248"/>
      <c r="I646" s="378"/>
    </row>
    <row r="647" spans="2:9">
      <c r="B647" s="248"/>
      <c r="I647" s="378"/>
    </row>
    <row r="648" spans="2:9">
      <c r="B648" s="248"/>
      <c r="I648" s="378"/>
    </row>
    <row r="649" spans="2:9">
      <c r="B649" s="248"/>
      <c r="I649" s="378"/>
    </row>
    <row r="650" spans="2:9">
      <c r="B650" s="248"/>
      <c r="I650" s="378"/>
    </row>
    <row r="651" spans="2:9">
      <c r="B651" s="248"/>
      <c r="I651" s="378"/>
    </row>
    <row r="652" spans="2:9">
      <c r="B652" s="248"/>
      <c r="I652" s="378"/>
    </row>
    <row r="653" spans="2:9">
      <c r="B653" s="248"/>
      <c r="I653" s="378"/>
    </row>
    <row r="654" spans="2:9">
      <c r="B654" s="248"/>
      <c r="I654" s="378"/>
    </row>
    <row r="655" spans="2:9">
      <c r="B655" s="248"/>
      <c r="I655" s="378"/>
    </row>
    <row r="656" spans="2:9">
      <c r="B656" s="248"/>
      <c r="I656" s="378"/>
    </row>
    <row r="657" spans="2:9">
      <c r="B657" s="248"/>
      <c r="I657" s="378"/>
    </row>
    <row r="658" spans="2:9">
      <c r="B658" s="248"/>
      <c r="I658" s="378"/>
    </row>
    <row r="659" spans="2:9">
      <c r="B659" s="248"/>
      <c r="I659" s="378"/>
    </row>
    <row r="660" spans="2:9">
      <c r="B660" s="248"/>
      <c r="I660" s="378"/>
    </row>
    <row r="661" spans="2:9">
      <c r="B661" s="248"/>
      <c r="I661" s="378"/>
    </row>
    <row r="662" spans="2:9">
      <c r="B662" s="248"/>
      <c r="I662" s="378"/>
    </row>
    <row r="663" spans="2:9">
      <c r="B663" s="248"/>
      <c r="I663" s="378"/>
    </row>
    <row r="664" spans="2:9">
      <c r="B664" s="248"/>
      <c r="I664" s="378"/>
    </row>
    <row r="665" spans="2:9">
      <c r="B665" s="248"/>
      <c r="I665" s="378"/>
    </row>
    <row r="666" spans="2:9">
      <c r="B666" s="248"/>
      <c r="I666" s="378"/>
    </row>
    <row r="667" spans="2:9">
      <c r="B667" s="248"/>
      <c r="I667" s="378"/>
    </row>
    <row r="668" spans="2:9">
      <c r="B668" s="248"/>
      <c r="I668" s="378"/>
    </row>
    <row r="669" spans="2:9">
      <c r="B669" s="248"/>
      <c r="I669" s="378"/>
    </row>
    <row r="670" spans="2:9">
      <c r="B670" s="248"/>
      <c r="I670" s="378"/>
    </row>
    <row r="671" spans="2:9">
      <c r="B671" s="248"/>
      <c r="I671" s="378"/>
    </row>
    <row r="672" spans="2:9">
      <c r="B672" s="248"/>
      <c r="I672" s="378"/>
    </row>
    <row r="673" spans="2:9">
      <c r="B673" s="248"/>
      <c r="I673" s="378"/>
    </row>
    <row r="674" spans="2:9">
      <c r="B674" s="248"/>
      <c r="I674" s="378"/>
    </row>
    <row r="675" spans="2:9">
      <c r="B675" s="248"/>
      <c r="I675" s="378"/>
    </row>
    <row r="676" spans="2:9">
      <c r="B676" s="248"/>
      <c r="I676" s="378"/>
    </row>
    <row r="677" spans="2:9">
      <c r="B677" s="248"/>
      <c r="I677" s="378"/>
    </row>
    <row r="678" spans="2:9">
      <c r="B678" s="248"/>
      <c r="I678" s="378"/>
    </row>
    <row r="679" spans="2:9">
      <c r="B679" s="248"/>
      <c r="I679" s="378"/>
    </row>
    <row r="680" spans="2:9">
      <c r="B680" s="248"/>
      <c r="I680" s="378"/>
    </row>
    <row r="681" spans="2:9">
      <c r="B681" s="248"/>
      <c r="I681" s="378"/>
    </row>
    <row r="682" spans="2:9">
      <c r="B682" s="248"/>
      <c r="I682" s="378"/>
    </row>
    <row r="683" spans="2:9">
      <c r="B683" s="248"/>
      <c r="I683" s="378"/>
    </row>
    <row r="684" spans="2:9">
      <c r="B684" s="248"/>
      <c r="I684" s="378"/>
    </row>
    <row r="685" spans="2:9">
      <c r="B685" s="248"/>
      <c r="I685" s="378"/>
    </row>
    <row r="686" spans="2:9">
      <c r="B686" s="248"/>
      <c r="I686" s="378"/>
    </row>
    <row r="687" spans="2:9">
      <c r="B687" s="248"/>
      <c r="I687" s="378"/>
    </row>
    <row r="688" spans="2:9">
      <c r="B688" s="248"/>
      <c r="I688" s="378"/>
    </row>
    <row r="689" spans="2:9">
      <c r="B689" s="248"/>
      <c r="I689" s="378"/>
    </row>
    <row r="690" spans="2:9">
      <c r="B690" s="248"/>
      <c r="I690" s="378"/>
    </row>
    <row r="691" spans="2:9">
      <c r="B691" s="248"/>
      <c r="I691" s="378"/>
    </row>
    <row r="692" spans="2:9">
      <c r="B692" s="248"/>
      <c r="I692" s="378"/>
    </row>
    <row r="693" spans="2:9">
      <c r="B693" s="248"/>
      <c r="I693" s="378"/>
    </row>
    <row r="694" spans="2:9">
      <c r="B694" s="248"/>
      <c r="I694" s="378"/>
    </row>
    <row r="695" spans="2:9">
      <c r="B695" s="248"/>
      <c r="I695" s="378"/>
    </row>
    <row r="696" spans="2:9">
      <c r="B696" s="248"/>
      <c r="I696" s="378"/>
    </row>
    <row r="697" spans="2:9">
      <c r="B697" s="248"/>
      <c r="I697" s="378"/>
    </row>
    <row r="698" spans="2:9">
      <c r="B698" s="248"/>
      <c r="I698" s="378"/>
    </row>
    <row r="699" spans="2:9">
      <c r="B699" s="248"/>
      <c r="I699" s="378"/>
    </row>
    <row r="700" spans="2:9">
      <c r="B700" s="248"/>
      <c r="I700" s="378"/>
    </row>
    <row r="701" spans="2:9">
      <c r="B701" s="248"/>
      <c r="I701" s="378"/>
    </row>
    <row r="702" spans="2:9">
      <c r="B702" s="248"/>
      <c r="I702" s="378"/>
    </row>
    <row r="703" spans="2:9">
      <c r="B703" s="248"/>
      <c r="I703" s="378"/>
    </row>
    <row r="704" spans="2:9">
      <c r="B704" s="248"/>
      <c r="I704" s="378"/>
    </row>
    <row r="705" spans="2:9">
      <c r="B705" s="248"/>
      <c r="I705" s="378"/>
    </row>
    <row r="706" spans="2:9">
      <c r="B706" s="248"/>
      <c r="I706" s="378"/>
    </row>
    <row r="707" spans="2:9">
      <c r="B707" s="248"/>
      <c r="I707" s="378"/>
    </row>
    <row r="708" spans="2:9">
      <c r="B708" s="248"/>
      <c r="I708" s="378"/>
    </row>
    <row r="709" spans="2:9">
      <c r="B709" s="248"/>
      <c r="I709" s="378"/>
    </row>
    <row r="710" spans="2:9">
      <c r="B710" s="248"/>
      <c r="I710" s="378"/>
    </row>
    <row r="711" spans="2:9">
      <c r="B711" s="248"/>
      <c r="I711" s="378"/>
    </row>
    <row r="712" spans="2:9">
      <c r="B712" s="248"/>
      <c r="I712" s="378"/>
    </row>
    <row r="713" spans="2:9">
      <c r="B713" s="248"/>
      <c r="I713" s="378"/>
    </row>
    <row r="714" spans="2:9">
      <c r="B714" s="248"/>
      <c r="I714" s="378"/>
    </row>
    <row r="715" spans="2:9">
      <c r="B715" s="248"/>
      <c r="I715" s="378"/>
    </row>
    <row r="716" spans="2:9">
      <c r="B716" s="248"/>
      <c r="I716" s="378"/>
    </row>
    <row r="717" spans="2:9">
      <c r="B717" s="248"/>
      <c r="I717" s="378"/>
    </row>
    <row r="718" spans="2:9">
      <c r="B718" s="248"/>
      <c r="I718" s="378"/>
    </row>
    <row r="719" spans="2:9">
      <c r="B719" s="248"/>
      <c r="I719" s="378"/>
    </row>
    <row r="720" spans="2:9">
      <c r="B720" s="248"/>
      <c r="I720" s="378"/>
    </row>
    <row r="721" spans="2:9">
      <c r="B721" s="248"/>
      <c r="I721" s="378"/>
    </row>
    <row r="722" spans="2:9">
      <c r="B722" s="248"/>
      <c r="I722" s="378"/>
    </row>
    <row r="723" spans="2:9">
      <c r="B723" s="248"/>
      <c r="I723" s="378"/>
    </row>
    <row r="724" spans="2:9">
      <c r="B724" s="248"/>
      <c r="I724" s="378"/>
    </row>
    <row r="725" spans="2:9">
      <c r="B725" s="248"/>
      <c r="I725" s="378"/>
    </row>
    <row r="726" spans="2:9">
      <c r="B726" s="248"/>
      <c r="I726" s="378"/>
    </row>
    <row r="727" spans="2:9">
      <c r="B727" s="248"/>
      <c r="I727" s="378"/>
    </row>
    <row r="728" spans="2:9">
      <c r="B728" s="248"/>
      <c r="I728" s="378"/>
    </row>
    <row r="729" spans="2:9">
      <c r="B729" s="248"/>
      <c r="I729" s="378"/>
    </row>
    <row r="730" spans="2:9">
      <c r="B730" s="248"/>
      <c r="I730" s="378"/>
    </row>
    <row r="731" spans="2:9">
      <c r="B731" s="248"/>
      <c r="I731" s="378"/>
    </row>
    <row r="732" spans="2:9">
      <c r="B732" s="248"/>
      <c r="I732" s="378"/>
    </row>
    <row r="733" spans="2:9">
      <c r="B733" s="248"/>
      <c r="I733" s="378"/>
    </row>
    <row r="734" spans="2:9">
      <c r="B734" s="248"/>
      <c r="I734" s="378"/>
    </row>
    <row r="735" spans="2:9">
      <c r="B735" s="248"/>
      <c r="I735" s="378"/>
    </row>
    <row r="736" spans="2:9">
      <c r="B736" s="248"/>
      <c r="I736" s="378"/>
    </row>
    <row r="737" spans="2:9">
      <c r="B737" s="248"/>
      <c r="I737" s="378"/>
    </row>
    <row r="738" spans="2:9">
      <c r="B738" s="248"/>
      <c r="I738" s="378"/>
    </row>
    <row r="739" spans="2:9">
      <c r="B739" s="248"/>
      <c r="I739" s="378"/>
    </row>
    <row r="740" spans="2:9">
      <c r="B740" s="248"/>
      <c r="I740" s="378"/>
    </row>
    <row r="741" spans="2:9">
      <c r="B741" s="248"/>
      <c r="I741" s="378"/>
    </row>
    <row r="742" spans="2:9">
      <c r="B742" s="248"/>
      <c r="I742" s="378"/>
    </row>
    <row r="743" spans="2:9">
      <c r="B743" s="248"/>
      <c r="I743" s="378"/>
    </row>
    <row r="744" spans="2:9">
      <c r="B744" s="248"/>
      <c r="I744" s="378"/>
    </row>
    <row r="745" spans="2:9">
      <c r="B745" s="248"/>
      <c r="I745" s="378"/>
    </row>
    <row r="746" spans="2:9">
      <c r="B746" s="248"/>
      <c r="I746" s="378"/>
    </row>
    <row r="747" spans="2:9">
      <c r="B747" s="248"/>
      <c r="I747" s="378"/>
    </row>
    <row r="748" spans="2:9">
      <c r="B748" s="248"/>
      <c r="I748" s="378"/>
    </row>
    <row r="749" spans="2:9">
      <c r="B749" s="248"/>
      <c r="I749" s="378"/>
    </row>
    <row r="750" spans="2:9">
      <c r="B750" s="248"/>
      <c r="I750" s="378"/>
    </row>
    <row r="751" spans="2:9">
      <c r="B751" s="248"/>
      <c r="I751" s="378"/>
    </row>
    <row r="752" spans="2:9">
      <c r="B752" s="248"/>
      <c r="I752" s="378"/>
    </row>
    <row r="753" spans="2:9">
      <c r="B753" s="248"/>
      <c r="I753" s="378"/>
    </row>
    <row r="754" spans="2:9">
      <c r="B754" s="248"/>
      <c r="I754" s="378"/>
    </row>
    <row r="755" spans="2:9">
      <c r="B755" s="248"/>
      <c r="I755" s="378"/>
    </row>
    <row r="756" spans="2:9">
      <c r="B756" s="248"/>
      <c r="I756" s="378"/>
    </row>
    <row r="757" spans="2:9">
      <c r="B757" s="248"/>
      <c r="I757" s="378"/>
    </row>
    <row r="758" spans="2:9">
      <c r="B758" s="248"/>
      <c r="I758" s="378"/>
    </row>
    <row r="759" spans="2:9">
      <c r="B759" s="248"/>
      <c r="I759" s="378"/>
    </row>
    <row r="760" spans="2:9">
      <c r="B760" s="248"/>
      <c r="I760" s="378"/>
    </row>
    <row r="761" spans="2:9">
      <c r="B761" s="248"/>
      <c r="I761" s="378"/>
    </row>
    <row r="762" spans="2:9">
      <c r="B762" s="248"/>
      <c r="I762" s="378"/>
    </row>
    <row r="763" spans="2:9">
      <c r="B763" s="248"/>
      <c r="I763" s="378"/>
    </row>
    <row r="764" spans="2:9">
      <c r="B764" s="248"/>
      <c r="I764" s="378"/>
    </row>
    <row r="765" spans="2:9">
      <c r="B765" s="248"/>
      <c r="I765" s="378"/>
    </row>
    <row r="766" spans="2:9">
      <c r="B766" s="248"/>
      <c r="I766" s="378"/>
    </row>
    <row r="767" spans="2:9">
      <c r="B767" s="248"/>
      <c r="I767" s="378"/>
    </row>
    <row r="768" spans="2:9">
      <c r="B768" s="248"/>
      <c r="I768" s="378"/>
    </row>
    <row r="769" spans="2:9">
      <c r="B769" s="248"/>
      <c r="I769" s="378"/>
    </row>
    <row r="770" spans="2:9">
      <c r="B770" s="248"/>
      <c r="I770" s="378"/>
    </row>
    <row r="771" spans="2:9">
      <c r="B771" s="248"/>
      <c r="I771" s="378"/>
    </row>
    <row r="772" spans="2:9">
      <c r="B772" s="248"/>
      <c r="I772" s="378"/>
    </row>
    <row r="773" spans="2:9">
      <c r="B773" s="248"/>
      <c r="I773" s="378"/>
    </row>
    <row r="774" spans="2:9">
      <c r="B774" s="248"/>
      <c r="I774" s="378"/>
    </row>
    <row r="775" spans="2:9">
      <c r="B775" s="248"/>
      <c r="I775" s="378"/>
    </row>
    <row r="776" spans="2:9">
      <c r="B776" s="248"/>
      <c r="I776" s="378"/>
    </row>
    <row r="777" spans="2:9">
      <c r="B777" s="248"/>
      <c r="I777" s="378"/>
    </row>
    <row r="778" spans="2:9">
      <c r="B778" s="248"/>
      <c r="I778" s="378"/>
    </row>
    <row r="779" spans="2:9">
      <c r="B779" s="248"/>
      <c r="I779" s="378"/>
    </row>
    <row r="780" spans="2:9">
      <c r="B780" s="248"/>
      <c r="I780" s="378"/>
    </row>
    <row r="781" spans="2:9">
      <c r="B781" s="248"/>
      <c r="I781" s="378"/>
    </row>
    <row r="782" spans="2:9">
      <c r="B782" s="248"/>
      <c r="I782" s="378"/>
    </row>
    <row r="783" spans="2:9">
      <c r="B783" s="248"/>
      <c r="I783" s="378"/>
    </row>
    <row r="784" spans="2:9">
      <c r="B784" s="248"/>
      <c r="I784" s="378"/>
    </row>
    <row r="785" spans="2:9">
      <c r="B785" s="248"/>
      <c r="I785" s="378"/>
    </row>
    <row r="786" spans="2:9">
      <c r="B786" s="248"/>
      <c r="I786" s="378"/>
    </row>
    <row r="787" spans="2:9">
      <c r="B787" s="248"/>
      <c r="I787" s="378"/>
    </row>
    <row r="788" spans="2:9">
      <c r="B788" s="248"/>
      <c r="I788" s="378"/>
    </row>
    <row r="789" spans="2:9">
      <c r="B789" s="248"/>
      <c r="I789" s="378"/>
    </row>
    <row r="790" spans="2:9">
      <c r="B790" s="248"/>
      <c r="I790" s="378"/>
    </row>
    <row r="791" spans="2:9">
      <c r="B791" s="248"/>
      <c r="I791" s="378"/>
    </row>
    <row r="792" spans="2:9">
      <c r="B792" s="248"/>
      <c r="I792" s="378"/>
    </row>
    <row r="793" spans="2:9">
      <c r="B793" s="248"/>
      <c r="I793" s="378"/>
    </row>
    <row r="794" spans="2:9">
      <c r="B794" s="248"/>
      <c r="I794" s="378"/>
    </row>
    <row r="795" spans="2:9">
      <c r="B795" s="248"/>
      <c r="I795" s="378"/>
    </row>
    <row r="796" spans="2:9">
      <c r="B796" s="248"/>
      <c r="I796" s="378"/>
    </row>
    <row r="797" spans="2:9">
      <c r="B797" s="248"/>
      <c r="I797" s="378"/>
    </row>
    <row r="798" spans="2:9">
      <c r="B798" s="248"/>
      <c r="I798" s="378"/>
    </row>
    <row r="799" spans="2:9">
      <c r="B799" s="248"/>
      <c r="I799" s="378"/>
    </row>
    <row r="800" spans="2:9">
      <c r="B800" s="248"/>
      <c r="I800" s="378"/>
    </row>
    <row r="801" spans="2:9">
      <c r="B801" s="248"/>
      <c r="I801" s="378"/>
    </row>
    <row r="802" spans="2:9">
      <c r="B802" s="248"/>
      <c r="I802" s="378"/>
    </row>
    <row r="803" spans="2:9">
      <c r="B803" s="248"/>
      <c r="I803" s="378"/>
    </row>
    <row r="804" spans="2:9">
      <c r="B804" s="248"/>
      <c r="I804" s="378"/>
    </row>
    <row r="805" spans="2:9">
      <c r="B805" s="248"/>
      <c r="I805" s="378"/>
    </row>
    <row r="806" spans="2:9">
      <c r="B806" s="248"/>
      <c r="I806" s="378"/>
    </row>
    <row r="807" spans="2:9">
      <c r="B807" s="248"/>
      <c r="I807" s="378"/>
    </row>
    <row r="808" spans="2:9">
      <c r="B808" s="248"/>
      <c r="I808" s="378"/>
    </row>
    <row r="809" spans="2:9">
      <c r="B809" s="248"/>
      <c r="I809" s="378"/>
    </row>
    <row r="810" spans="2:9">
      <c r="B810" s="248"/>
      <c r="I810" s="378"/>
    </row>
    <row r="811" spans="2:9">
      <c r="B811" s="248"/>
      <c r="I811" s="378"/>
    </row>
    <row r="812" spans="2:9">
      <c r="B812" s="248"/>
      <c r="I812" s="378"/>
    </row>
    <row r="813" spans="2:9">
      <c r="B813" s="248"/>
      <c r="I813" s="378"/>
    </row>
    <row r="814" spans="2:9">
      <c r="B814" s="248"/>
      <c r="I814" s="378"/>
    </row>
    <row r="815" spans="2:9">
      <c r="B815" s="248"/>
      <c r="I815" s="378"/>
    </row>
    <row r="816" spans="2:9">
      <c r="B816" s="248"/>
      <c r="I816" s="378"/>
    </row>
    <row r="817" spans="2:9">
      <c r="B817" s="248"/>
      <c r="I817" s="378"/>
    </row>
    <row r="818" spans="2:9">
      <c r="B818" s="248"/>
      <c r="I818" s="378"/>
    </row>
    <row r="819" spans="2:9">
      <c r="B819" s="248"/>
      <c r="I819" s="378"/>
    </row>
    <row r="820" spans="2:9">
      <c r="B820" s="248"/>
      <c r="I820" s="378"/>
    </row>
    <row r="821" spans="2:9">
      <c r="B821" s="248"/>
      <c r="I821" s="378"/>
    </row>
    <row r="822" spans="2:9">
      <c r="B822" s="248"/>
      <c r="I822" s="378"/>
    </row>
    <row r="823" spans="2:9">
      <c r="B823" s="248"/>
      <c r="I823" s="378"/>
    </row>
    <row r="824" spans="2:9">
      <c r="B824" s="248"/>
      <c r="I824" s="378"/>
    </row>
    <row r="825" spans="2:9">
      <c r="B825" s="248"/>
      <c r="I825" s="378"/>
    </row>
    <row r="826" spans="2:9">
      <c r="B826" s="248"/>
      <c r="I826" s="378"/>
    </row>
    <row r="827" spans="2:9">
      <c r="B827" s="248"/>
      <c r="I827" s="378"/>
    </row>
    <row r="828" spans="2:9">
      <c r="B828" s="248"/>
      <c r="I828" s="378"/>
    </row>
    <row r="829" spans="2:9">
      <c r="B829" s="248"/>
      <c r="I829" s="378"/>
    </row>
    <row r="830" spans="2:9">
      <c r="B830" s="248"/>
      <c r="I830" s="378"/>
    </row>
    <row r="831" spans="2:9">
      <c r="B831" s="248"/>
      <c r="I831" s="378"/>
    </row>
    <row r="832" spans="2:9">
      <c r="B832" s="248"/>
      <c r="I832" s="378"/>
    </row>
    <row r="833" spans="2:9">
      <c r="B833" s="248"/>
      <c r="I833" s="378"/>
    </row>
    <row r="834" spans="2:9">
      <c r="B834" s="248"/>
      <c r="I834" s="378"/>
    </row>
    <row r="835" spans="2:9">
      <c r="B835" s="248"/>
      <c r="I835" s="378"/>
    </row>
    <row r="836" spans="2:9">
      <c r="B836" s="248"/>
      <c r="I836" s="378"/>
    </row>
    <row r="837" spans="2:9">
      <c r="B837" s="248"/>
      <c r="I837" s="378"/>
    </row>
    <row r="838" spans="2:9">
      <c r="B838" s="248"/>
      <c r="I838" s="378"/>
    </row>
    <row r="839" spans="2:9">
      <c r="B839" s="248"/>
      <c r="I839" s="378"/>
    </row>
    <row r="840" spans="2:9">
      <c r="B840" s="248"/>
      <c r="I840" s="378"/>
    </row>
    <row r="841" spans="2:9">
      <c r="B841" s="248"/>
      <c r="I841" s="378"/>
    </row>
    <row r="842" spans="2:9">
      <c r="B842" s="248"/>
      <c r="I842" s="378"/>
    </row>
    <row r="843" spans="2:9">
      <c r="B843" s="248"/>
      <c r="I843" s="378"/>
    </row>
    <row r="844" spans="2:9">
      <c r="B844" s="248"/>
      <c r="I844" s="378"/>
    </row>
    <row r="845" spans="2:9">
      <c r="B845" s="248"/>
      <c r="I845" s="378"/>
    </row>
    <row r="846" spans="2:9">
      <c r="B846" s="248"/>
      <c r="I846" s="378"/>
    </row>
    <row r="847" spans="2:9">
      <c r="B847" s="248"/>
      <c r="I847" s="378"/>
    </row>
    <row r="848" spans="2:9">
      <c r="B848" s="248"/>
      <c r="I848" s="378"/>
    </row>
    <row r="849" spans="2:9">
      <c r="B849" s="248"/>
      <c r="I849" s="378"/>
    </row>
    <row r="850" spans="2:9">
      <c r="B850" s="248"/>
      <c r="I850" s="378"/>
    </row>
    <row r="851" spans="2:9">
      <c r="B851" s="248"/>
      <c r="I851" s="378"/>
    </row>
    <row r="852" spans="2:9">
      <c r="B852" s="248"/>
      <c r="I852" s="378"/>
    </row>
    <row r="853" spans="2:9">
      <c r="B853" s="248"/>
      <c r="I853" s="378"/>
    </row>
    <row r="854" spans="2:9">
      <c r="B854" s="248"/>
      <c r="I854" s="378"/>
    </row>
    <row r="855" spans="2:9">
      <c r="B855" s="248"/>
      <c r="I855" s="378"/>
    </row>
    <row r="856" spans="2:9">
      <c r="B856" s="248"/>
      <c r="I856" s="378"/>
    </row>
    <row r="857" spans="2:9">
      <c r="B857" s="248"/>
      <c r="I857" s="378"/>
    </row>
    <row r="858" spans="2:9">
      <c r="B858" s="248"/>
      <c r="I858" s="378"/>
    </row>
    <row r="859" spans="2:9">
      <c r="B859" s="248"/>
      <c r="I859" s="378"/>
    </row>
    <row r="860" spans="2:9">
      <c r="B860" s="248"/>
      <c r="I860" s="378"/>
    </row>
    <row r="861" spans="2:9">
      <c r="B861" s="248"/>
      <c r="I861" s="378"/>
    </row>
    <row r="862" spans="2:9">
      <c r="B862" s="248"/>
      <c r="I862" s="378"/>
    </row>
    <row r="863" spans="2:9">
      <c r="B863" s="248"/>
      <c r="I863" s="378"/>
    </row>
    <row r="864" spans="2:9">
      <c r="B864" s="248"/>
      <c r="I864" s="378"/>
    </row>
    <row r="865" spans="2:9">
      <c r="B865" s="248"/>
      <c r="I865" s="378"/>
    </row>
    <row r="866" spans="2:9">
      <c r="B866" s="248"/>
      <c r="I866" s="378"/>
    </row>
    <row r="867" spans="2:9">
      <c r="B867" s="248"/>
      <c r="I867" s="378"/>
    </row>
    <row r="868" spans="2:9">
      <c r="B868" s="248"/>
      <c r="I868" s="378"/>
    </row>
    <row r="869" spans="2:9">
      <c r="B869" s="248"/>
      <c r="I869" s="378"/>
    </row>
    <row r="870" spans="2:9">
      <c r="B870" s="248"/>
      <c r="I870" s="378"/>
    </row>
    <row r="871" spans="2:9">
      <c r="B871" s="248"/>
      <c r="I871" s="378"/>
    </row>
    <row r="872" spans="2:9">
      <c r="B872" s="248"/>
      <c r="I872" s="378"/>
    </row>
    <row r="873" spans="2:9">
      <c r="B873" s="248"/>
      <c r="I873" s="378"/>
    </row>
    <row r="874" spans="2:9">
      <c r="B874" s="248"/>
      <c r="I874" s="378"/>
    </row>
    <row r="875" spans="2:9">
      <c r="B875" s="248"/>
      <c r="I875" s="378"/>
    </row>
    <row r="876" spans="2:9">
      <c r="B876" s="248"/>
      <c r="I876" s="378"/>
    </row>
    <row r="877" spans="2:9">
      <c r="B877" s="248"/>
      <c r="I877" s="378"/>
    </row>
    <row r="878" spans="2:9">
      <c r="B878" s="248"/>
      <c r="I878" s="378"/>
    </row>
    <row r="879" spans="2:9">
      <c r="B879" s="248"/>
      <c r="I879" s="378"/>
    </row>
    <row r="880" spans="2:9">
      <c r="B880" s="248"/>
      <c r="I880" s="378"/>
    </row>
    <row r="881" spans="2:9">
      <c r="B881" s="248"/>
      <c r="I881" s="378"/>
    </row>
    <row r="882" spans="2:9">
      <c r="B882" s="248"/>
      <c r="I882" s="378"/>
    </row>
    <row r="883" spans="2:9">
      <c r="B883" s="248"/>
      <c r="I883" s="378"/>
    </row>
    <row r="884" spans="2:9">
      <c r="B884" s="248"/>
      <c r="I884" s="378"/>
    </row>
    <row r="885" spans="2:9">
      <c r="B885" s="248"/>
      <c r="I885" s="378"/>
    </row>
    <row r="886" spans="2:9">
      <c r="B886" s="248"/>
      <c r="I886" s="378"/>
    </row>
    <row r="887" spans="2:9">
      <c r="B887" s="248"/>
      <c r="I887" s="378"/>
    </row>
    <row r="888" spans="2:9">
      <c r="B888" s="248"/>
      <c r="I888" s="378"/>
    </row>
    <row r="889" spans="2:9">
      <c r="B889" s="248"/>
      <c r="I889" s="378"/>
    </row>
    <row r="890" spans="2:9">
      <c r="B890" s="248"/>
      <c r="I890" s="378"/>
    </row>
    <row r="891" spans="2:9">
      <c r="B891" s="248"/>
      <c r="I891" s="378"/>
    </row>
    <row r="892" spans="2:9">
      <c r="B892" s="248"/>
      <c r="I892" s="378"/>
    </row>
    <row r="893" spans="2:9">
      <c r="B893" s="248"/>
      <c r="I893" s="378"/>
    </row>
    <row r="894" spans="2:9">
      <c r="B894" s="248"/>
      <c r="I894" s="378"/>
    </row>
    <row r="895" spans="2:9">
      <c r="B895" s="248"/>
      <c r="I895" s="378"/>
    </row>
    <row r="896" spans="2:9">
      <c r="B896" s="248"/>
      <c r="I896" s="378"/>
    </row>
    <row r="897" spans="2:9">
      <c r="B897" s="248"/>
      <c r="I897" s="378"/>
    </row>
    <row r="898" spans="2:9">
      <c r="B898" s="248"/>
      <c r="I898" s="378"/>
    </row>
    <row r="899" spans="2:9">
      <c r="B899" s="248"/>
      <c r="I899" s="378"/>
    </row>
    <row r="900" spans="2:9">
      <c r="B900" s="248"/>
      <c r="I900" s="378"/>
    </row>
    <row r="901" spans="2:9">
      <c r="B901" s="248"/>
      <c r="I901" s="378"/>
    </row>
    <row r="902" spans="2:9">
      <c r="B902" s="248"/>
      <c r="I902" s="378"/>
    </row>
    <row r="903" spans="2:9">
      <c r="B903" s="248"/>
      <c r="I903" s="378"/>
    </row>
    <row r="904" spans="2:9">
      <c r="B904" s="248"/>
      <c r="I904" s="378"/>
    </row>
    <row r="905" spans="2:9">
      <c r="B905" s="248"/>
      <c r="I905" s="378"/>
    </row>
    <row r="906" spans="2:9">
      <c r="B906" s="248"/>
      <c r="I906" s="378"/>
    </row>
    <row r="907" spans="2:9">
      <c r="B907" s="248"/>
      <c r="I907" s="378"/>
    </row>
    <row r="908" spans="2:9">
      <c r="B908" s="248"/>
      <c r="I908" s="378"/>
    </row>
    <row r="909" spans="2:9">
      <c r="B909" s="248"/>
      <c r="I909" s="378"/>
    </row>
    <row r="910" spans="2:9">
      <c r="B910" s="248"/>
      <c r="I910" s="378"/>
    </row>
    <row r="911" spans="2:9">
      <c r="B911" s="248"/>
      <c r="I911" s="378"/>
    </row>
    <row r="912" spans="2:9">
      <c r="B912" s="248"/>
      <c r="I912" s="378"/>
    </row>
    <row r="913" spans="2:9">
      <c r="B913" s="248"/>
      <c r="I913" s="378"/>
    </row>
    <row r="914" spans="2:9">
      <c r="B914" s="248"/>
      <c r="I914" s="378"/>
    </row>
    <row r="915" spans="2:9">
      <c r="B915" s="248"/>
      <c r="I915" s="378"/>
    </row>
    <row r="916" spans="2:9">
      <c r="B916" s="248"/>
      <c r="I916" s="378"/>
    </row>
    <row r="917" spans="2:9">
      <c r="B917" s="248"/>
      <c r="I917" s="378"/>
    </row>
    <row r="918" spans="2:9">
      <c r="B918" s="248"/>
      <c r="I918" s="378"/>
    </row>
    <row r="919" spans="2:9">
      <c r="B919" s="248"/>
      <c r="I919" s="378"/>
    </row>
    <row r="920" spans="2:9">
      <c r="B920" s="248"/>
      <c r="I920" s="378"/>
    </row>
    <row r="921" spans="2:9">
      <c r="B921" s="248"/>
      <c r="I921" s="378"/>
    </row>
    <row r="922" spans="2:9">
      <c r="B922" s="248"/>
      <c r="I922" s="378"/>
    </row>
    <row r="923" spans="2:9">
      <c r="B923" s="248"/>
      <c r="I923" s="378"/>
    </row>
    <row r="924" spans="2:9">
      <c r="B924" s="248"/>
      <c r="I924" s="378"/>
    </row>
    <row r="925" spans="2:9">
      <c r="B925" s="248"/>
      <c r="I925" s="378"/>
    </row>
    <row r="926" spans="2:9">
      <c r="B926" s="248"/>
      <c r="I926" s="378"/>
    </row>
    <row r="927" spans="2:9">
      <c r="B927" s="248"/>
      <c r="I927" s="378"/>
    </row>
    <row r="928" spans="2:9">
      <c r="B928" s="248"/>
      <c r="I928" s="378"/>
    </row>
    <row r="929" spans="2:9">
      <c r="B929" s="248"/>
      <c r="I929" s="378"/>
    </row>
    <row r="930" spans="2:9">
      <c r="B930" s="248"/>
      <c r="I930" s="378"/>
    </row>
    <row r="931" spans="2:9">
      <c r="B931" s="248"/>
      <c r="I931" s="378"/>
    </row>
    <row r="932" spans="2:9">
      <c r="B932" s="248"/>
      <c r="I932" s="378"/>
    </row>
    <row r="933" spans="2:9">
      <c r="B933" s="248"/>
      <c r="I933" s="378"/>
    </row>
    <row r="934" spans="2:9">
      <c r="B934" s="248"/>
      <c r="I934" s="378"/>
    </row>
    <row r="935" spans="2:9">
      <c r="B935" s="248"/>
      <c r="I935" s="378"/>
    </row>
    <row r="936" spans="2:9">
      <c r="B936" s="248"/>
      <c r="I936" s="378"/>
    </row>
    <row r="937" spans="2:9">
      <c r="B937" s="248"/>
      <c r="I937" s="378"/>
    </row>
    <row r="938" spans="2:9">
      <c r="B938" s="248"/>
      <c r="I938" s="378"/>
    </row>
    <row r="939" spans="2:9">
      <c r="B939" s="248"/>
      <c r="I939" s="378"/>
    </row>
    <row r="940" spans="2:9">
      <c r="B940" s="248"/>
      <c r="I940" s="378"/>
    </row>
    <row r="941" spans="2:9">
      <c r="B941" s="248"/>
      <c r="I941" s="378"/>
    </row>
    <row r="942" spans="2:9">
      <c r="B942" s="248"/>
      <c r="I942" s="378"/>
    </row>
    <row r="943" spans="2:9">
      <c r="B943" s="248"/>
      <c r="I943" s="378"/>
    </row>
    <row r="944" spans="2:9">
      <c r="B944" s="248"/>
      <c r="I944" s="378"/>
    </row>
    <row r="945" spans="2:9">
      <c r="B945" s="248"/>
      <c r="I945" s="378"/>
    </row>
    <row r="946" spans="2:9">
      <c r="B946" s="248"/>
      <c r="I946" s="378"/>
    </row>
    <row r="947" spans="2:9">
      <c r="B947" s="248"/>
      <c r="I947" s="378"/>
    </row>
    <row r="948" spans="2:9">
      <c r="B948" s="248"/>
      <c r="I948" s="378"/>
    </row>
    <row r="949" spans="2:9">
      <c r="B949" s="248"/>
      <c r="I949" s="378"/>
    </row>
    <row r="950" spans="2:9">
      <c r="B950" s="248"/>
      <c r="I950" s="378"/>
    </row>
    <row r="951" spans="2:9">
      <c r="B951" s="248"/>
      <c r="I951" s="378"/>
    </row>
    <row r="952" spans="2:9">
      <c r="B952" s="248"/>
      <c r="I952" s="378"/>
    </row>
    <row r="953" spans="2:9">
      <c r="B953" s="248"/>
      <c r="I953" s="378"/>
    </row>
    <row r="954" spans="2:9">
      <c r="B954" s="248"/>
      <c r="I954" s="378"/>
    </row>
    <row r="955" spans="2:9">
      <c r="B955" s="248"/>
      <c r="I955" s="378"/>
    </row>
    <row r="956" spans="2:9">
      <c r="B956" s="248"/>
      <c r="I956" s="378"/>
    </row>
    <row r="957" spans="2:9">
      <c r="B957" s="248"/>
      <c r="I957" s="378"/>
    </row>
    <row r="958" spans="2:9">
      <c r="B958" s="248"/>
      <c r="I958" s="378"/>
    </row>
    <row r="959" spans="2:9">
      <c r="B959" s="248"/>
      <c r="I959" s="378"/>
    </row>
    <row r="960" spans="2:9">
      <c r="B960" s="248"/>
      <c r="I960" s="378"/>
    </row>
    <row r="961" spans="2:9">
      <c r="B961" s="248"/>
      <c r="I961" s="378"/>
    </row>
    <row r="962" spans="2:9">
      <c r="B962" s="248"/>
      <c r="I962" s="378"/>
    </row>
    <row r="963" spans="2:9">
      <c r="B963" s="248"/>
      <c r="I963" s="378"/>
    </row>
    <row r="964" spans="2:9">
      <c r="B964" s="248"/>
      <c r="I964" s="378"/>
    </row>
    <row r="965" spans="2:9">
      <c r="B965" s="248"/>
      <c r="I965" s="378"/>
    </row>
    <row r="966" spans="2:9">
      <c r="B966" s="248"/>
      <c r="I966" s="378"/>
    </row>
    <row r="967" spans="2:9">
      <c r="B967" s="248"/>
      <c r="I967" s="378"/>
    </row>
    <row r="968" spans="2:9">
      <c r="B968" s="248"/>
      <c r="I968" s="378"/>
    </row>
    <row r="969" spans="2:9">
      <c r="B969" s="248"/>
      <c r="I969" s="378"/>
    </row>
    <row r="970" spans="2:9">
      <c r="B970" s="248"/>
      <c r="I970" s="378"/>
    </row>
    <row r="971" spans="2:9">
      <c r="B971" s="248"/>
      <c r="I971" s="378"/>
    </row>
    <row r="972" spans="2:9">
      <c r="B972" s="248"/>
      <c r="I972" s="378"/>
    </row>
    <row r="973" spans="2:9">
      <c r="B973" s="248"/>
      <c r="I973" s="378"/>
    </row>
    <row r="974" spans="2:9">
      <c r="B974" s="248"/>
      <c r="I974" s="378"/>
    </row>
    <row r="975" spans="2:9">
      <c r="B975" s="248"/>
      <c r="I975" s="378"/>
    </row>
    <row r="976" spans="2:9">
      <c r="B976" s="248"/>
      <c r="I976" s="378"/>
    </row>
    <row r="977" spans="2:9">
      <c r="B977" s="248"/>
      <c r="I977" s="378"/>
    </row>
    <row r="978" spans="2:9">
      <c r="B978" s="248"/>
      <c r="I978" s="378"/>
    </row>
    <row r="979" spans="2:9">
      <c r="B979" s="248"/>
      <c r="I979" s="378"/>
    </row>
    <row r="980" spans="2:9">
      <c r="B980" s="248"/>
      <c r="I980" s="378"/>
    </row>
    <row r="981" spans="2:9">
      <c r="B981" s="248"/>
      <c r="I981" s="378"/>
    </row>
    <row r="982" spans="2:9">
      <c r="B982" s="248"/>
      <c r="I982" s="378"/>
    </row>
    <row r="983" spans="2:9">
      <c r="B983" s="248"/>
      <c r="I983" s="378"/>
    </row>
    <row r="984" spans="2:9">
      <c r="B984" s="248"/>
      <c r="I984" s="378"/>
    </row>
    <row r="985" spans="2:9">
      <c r="B985" s="248"/>
      <c r="I985" s="378"/>
    </row>
    <row r="986" spans="2:9">
      <c r="B986" s="248"/>
      <c r="I986" s="378"/>
    </row>
    <row r="987" spans="2:9">
      <c r="B987" s="248"/>
      <c r="I987" s="378"/>
    </row>
    <row r="988" spans="2:9">
      <c r="B988" s="248"/>
      <c r="I988" s="378"/>
    </row>
    <row r="989" spans="2:9">
      <c r="B989" s="248"/>
      <c r="I989" s="378"/>
    </row>
    <row r="990" spans="2:9">
      <c r="B990" s="248"/>
      <c r="I990" s="378"/>
    </row>
    <row r="991" spans="2:9">
      <c r="B991" s="248"/>
      <c r="I991" s="378"/>
    </row>
    <row r="992" spans="2:9">
      <c r="B992" s="248"/>
      <c r="I992" s="378"/>
    </row>
    <row r="993" spans="2:9">
      <c r="B993" s="248"/>
      <c r="I993" s="378"/>
    </row>
    <row r="994" spans="2:9">
      <c r="B994" s="248"/>
      <c r="I994" s="378"/>
    </row>
    <row r="995" spans="2:9">
      <c r="B995" s="248"/>
      <c r="I995" s="378"/>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heetViews>
  <sheetFormatPr defaultColWidth="12.5703125" defaultRowHeight="15" customHeight="1"/>
  <cols>
    <col min="1" max="1" width="17.7109375" customWidth="1"/>
    <col min="2" max="2" width="17.85546875" customWidth="1"/>
    <col min="5" max="5" width="22.85546875" customWidth="1"/>
  </cols>
  <sheetData>
    <row r="1" spans="1:26">
      <c r="A1" s="409"/>
      <c r="E1" s="405"/>
    </row>
    <row r="2" spans="1:26">
      <c r="E2" s="405"/>
    </row>
    <row r="3" spans="1:26">
      <c r="A3" s="462" t="s">
        <v>1333</v>
      </c>
      <c r="B3" s="462"/>
      <c r="C3" s="462"/>
      <c r="D3" s="462"/>
      <c r="E3" s="406"/>
      <c r="F3" s="462"/>
      <c r="G3" s="462"/>
      <c r="H3" s="462"/>
      <c r="I3" s="462"/>
      <c r="J3" s="462"/>
      <c r="K3" s="462"/>
      <c r="L3" s="462"/>
    </row>
    <row r="4" spans="1:26">
      <c r="A4" s="463" t="s">
        <v>1334</v>
      </c>
      <c r="B4" s="463" t="s">
        <v>1335</v>
      </c>
      <c r="C4" s="463" t="s">
        <v>1336</v>
      </c>
      <c r="D4" s="463" t="s">
        <v>1337</v>
      </c>
      <c r="E4" s="39" t="s">
        <v>1338</v>
      </c>
      <c r="F4" s="463"/>
      <c r="G4" s="463"/>
      <c r="H4" s="463"/>
      <c r="I4" s="463"/>
      <c r="J4" s="463"/>
      <c r="K4" s="463"/>
      <c r="L4" s="463"/>
      <c r="M4" s="464"/>
      <c r="N4" s="464"/>
      <c r="O4" s="464"/>
      <c r="P4" s="464"/>
      <c r="Q4" s="464"/>
      <c r="R4" s="464"/>
      <c r="S4" s="464"/>
      <c r="T4" s="464"/>
      <c r="U4" s="464"/>
      <c r="V4" s="464"/>
      <c r="W4" s="464"/>
      <c r="X4" s="464"/>
      <c r="Y4" s="464"/>
      <c r="Z4" s="464"/>
    </row>
    <row r="5" spans="1:26">
      <c r="A5" s="465" t="s">
        <v>1339</v>
      </c>
      <c r="B5" s="408" t="s">
        <v>1340</v>
      </c>
      <c r="C5" s="408" t="s">
        <v>1341</v>
      </c>
      <c r="D5" s="407" t="s">
        <v>1342</v>
      </c>
      <c r="E5" s="408" t="s">
        <v>1343</v>
      </c>
      <c r="F5" s="466"/>
      <c r="G5" s="466"/>
      <c r="H5" s="466"/>
      <c r="I5" s="466"/>
      <c r="J5" s="466"/>
      <c r="K5" s="466"/>
      <c r="L5" s="466"/>
      <c r="M5" s="467"/>
      <c r="N5" s="467"/>
      <c r="O5" s="467"/>
      <c r="P5" s="467"/>
      <c r="Q5" s="467"/>
      <c r="R5" s="467"/>
      <c r="S5" s="467"/>
      <c r="T5" s="467"/>
      <c r="U5" s="467"/>
      <c r="V5" s="467"/>
      <c r="W5" s="467"/>
      <c r="X5" s="467"/>
      <c r="Y5" s="467"/>
      <c r="Z5" s="467"/>
    </row>
    <row r="6" spans="1:26">
      <c r="A6" s="462" t="s">
        <v>39</v>
      </c>
      <c r="B6" s="462" t="s">
        <v>41</v>
      </c>
      <c r="C6" s="462" t="s">
        <v>104</v>
      </c>
      <c r="D6" s="462" t="s">
        <v>772</v>
      </c>
      <c r="E6" s="406" t="s">
        <v>1344</v>
      </c>
      <c r="F6" s="462"/>
      <c r="G6" s="462"/>
      <c r="H6" s="462"/>
      <c r="I6" s="462"/>
      <c r="J6" s="462"/>
      <c r="K6" s="462"/>
      <c r="L6" s="462"/>
    </row>
    <row r="7" spans="1:26">
      <c r="A7" s="462" t="s">
        <v>119</v>
      </c>
      <c r="B7" s="462" t="s">
        <v>79</v>
      </c>
      <c r="C7" s="462" t="s">
        <v>40</v>
      </c>
      <c r="D7" s="462" t="s">
        <v>80</v>
      </c>
      <c r="E7" s="406" t="s">
        <v>1345</v>
      </c>
      <c r="F7" s="462"/>
      <c r="G7" s="462"/>
      <c r="H7" s="462"/>
      <c r="I7" s="462"/>
      <c r="J7" s="462"/>
      <c r="K7" s="462"/>
      <c r="L7" s="462"/>
    </row>
    <row r="8" spans="1:26">
      <c r="A8" s="462" t="s">
        <v>1346</v>
      </c>
      <c r="B8" s="406" t="s">
        <v>1347</v>
      </c>
      <c r="C8" s="462" t="s">
        <v>627</v>
      </c>
      <c r="D8" s="462" t="s">
        <v>1348</v>
      </c>
      <c r="E8" s="406" t="s">
        <v>1349</v>
      </c>
      <c r="F8" s="462"/>
      <c r="G8" s="462"/>
      <c r="H8" s="462"/>
      <c r="I8" s="462"/>
      <c r="J8" s="462"/>
      <c r="K8" s="462"/>
      <c r="L8" s="462"/>
    </row>
    <row r="9" spans="1:26">
      <c r="A9" s="462" t="s">
        <v>233</v>
      </c>
      <c r="B9" s="462" t="s">
        <v>1032</v>
      </c>
      <c r="C9" s="462"/>
      <c r="D9" s="462" t="s">
        <v>643</v>
      </c>
      <c r="E9" s="406" t="s">
        <v>1350</v>
      </c>
      <c r="F9" s="462"/>
      <c r="G9" s="462"/>
      <c r="H9" s="462"/>
      <c r="I9" s="462"/>
      <c r="J9" s="462"/>
      <c r="K9" s="462"/>
      <c r="L9" s="462"/>
    </row>
    <row r="10" spans="1:26">
      <c r="A10" s="462"/>
      <c r="B10" s="462" t="s">
        <v>1351</v>
      </c>
      <c r="C10" s="462"/>
      <c r="D10" s="462" t="s">
        <v>1352</v>
      </c>
      <c r="E10" s="406" t="s">
        <v>1353</v>
      </c>
      <c r="F10" s="462"/>
      <c r="G10" s="462"/>
      <c r="H10" s="462"/>
      <c r="I10" s="462"/>
      <c r="J10" s="462"/>
      <c r="K10" s="462"/>
      <c r="L10" s="462"/>
    </row>
    <row r="11" spans="1:26">
      <c r="A11" s="462"/>
      <c r="B11" s="462" t="s">
        <v>572</v>
      </c>
      <c r="C11" s="462"/>
      <c r="D11" s="462"/>
      <c r="E11" s="406" t="s">
        <v>1354</v>
      </c>
      <c r="F11" s="462"/>
      <c r="G11" s="462"/>
      <c r="H11" s="462"/>
      <c r="I11" s="462"/>
      <c r="J11" s="462"/>
      <c r="K11" s="462"/>
      <c r="L11" s="462"/>
    </row>
    <row r="12" spans="1:26">
      <c r="A12" s="462"/>
      <c r="B12" s="409" t="s">
        <v>1355</v>
      </c>
      <c r="C12" s="462"/>
      <c r="D12" s="462"/>
      <c r="E12" s="406" t="s">
        <v>1356</v>
      </c>
      <c r="F12" s="462"/>
      <c r="G12" s="462"/>
      <c r="H12" s="462"/>
      <c r="I12" s="462"/>
      <c r="J12" s="462"/>
      <c r="K12" s="462"/>
      <c r="L12" s="462"/>
    </row>
    <row r="13" spans="1:26">
      <c r="E13" s="409" t="s">
        <v>1357</v>
      </c>
    </row>
    <row r="14" spans="1:26">
      <c r="E14" s="406" t="s">
        <v>1358</v>
      </c>
    </row>
    <row r="15" spans="1:26">
      <c r="B15" s="410" t="s">
        <v>1359</v>
      </c>
      <c r="E15" s="406" t="s">
        <v>1360</v>
      </c>
    </row>
    <row r="16" spans="1:26">
      <c r="E16" s="406" t="s">
        <v>1361</v>
      </c>
    </row>
    <row r="17" spans="5:5">
      <c r="E17" s="405" t="s">
        <v>1362</v>
      </c>
    </row>
    <row r="18" spans="5:5">
      <c r="E18" s="411" t="s">
        <v>1363</v>
      </c>
    </row>
    <row r="19" spans="5:5">
      <c r="E19" s="405"/>
    </row>
    <row r="20" spans="5:5">
      <c r="E20" s="411"/>
    </row>
    <row r="21" spans="5:5">
      <c r="E21" s="411"/>
    </row>
    <row r="22" spans="5:5">
      <c r="E22" s="411"/>
    </row>
    <row r="23" spans="5:5">
      <c r="E23" s="411"/>
    </row>
    <row r="24" spans="5:5">
      <c r="E24" s="411"/>
    </row>
    <row r="25" spans="5:5">
      <c r="E25" s="405"/>
    </row>
    <row r="26" spans="5:5">
      <c r="E26" s="405"/>
    </row>
    <row r="27" spans="5:5">
      <c r="E27" s="405"/>
    </row>
    <row r="28" spans="5:5">
      <c r="E28" s="405"/>
    </row>
    <row r="29" spans="5:5">
      <c r="E29" s="405"/>
    </row>
    <row r="30" spans="5:5">
      <c r="E30" s="405"/>
    </row>
    <row r="31" spans="5:5">
      <c r="E31" s="405"/>
    </row>
    <row r="32" spans="5:5">
      <c r="E32" s="405"/>
    </row>
    <row r="33" spans="5:5">
      <c r="E33" s="405"/>
    </row>
    <row r="34" spans="5:5">
      <c r="E34" s="405"/>
    </row>
    <row r="35" spans="5:5">
      <c r="E35" s="405"/>
    </row>
    <row r="36" spans="5:5">
      <c r="E36" s="405"/>
    </row>
    <row r="37" spans="5:5">
      <c r="E37" s="405"/>
    </row>
    <row r="38" spans="5:5">
      <c r="E38" s="405"/>
    </row>
    <row r="39" spans="5:5">
      <c r="E39" s="405"/>
    </row>
    <row r="40" spans="5:5">
      <c r="E40" s="405"/>
    </row>
    <row r="41" spans="5:5">
      <c r="E41" s="405"/>
    </row>
    <row r="42" spans="5:5">
      <c r="E42" s="405"/>
    </row>
    <row r="43" spans="5:5">
      <c r="E43" s="405"/>
    </row>
    <row r="44" spans="5:5">
      <c r="E44" s="405"/>
    </row>
    <row r="45" spans="5:5">
      <c r="E45" s="405"/>
    </row>
    <row r="46" spans="5:5">
      <c r="E46" s="405"/>
    </row>
    <row r="47" spans="5:5">
      <c r="E47" s="405"/>
    </row>
    <row r="48" spans="5:5">
      <c r="E48" s="405"/>
    </row>
    <row r="49" spans="5:5">
      <c r="E49" s="405"/>
    </row>
    <row r="50" spans="5:5">
      <c r="E50" s="405"/>
    </row>
    <row r="51" spans="5:5">
      <c r="E51" s="405"/>
    </row>
    <row r="52" spans="5:5">
      <c r="E52" s="405"/>
    </row>
    <row r="53" spans="5:5">
      <c r="E53" s="405"/>
    </row>
    <row r="54" spans="5:5">
      <c r="E54" s="405"/>
    </row>
    <row r="55" spans="5:5">
      <c r="E55" s="405"/>
    </row>
    <row r="56" spans="5:5">
      <c r="E56" s="405"/>
    </row>
    <row r="57" spans="5:5">
      <c r="E57" s="405"/>
    </row>
    <row r="58" spans="5:5">
      <c r="E58" s="405"/>
    </row>
    <row r="59" spans="5:5">
      <c r="E59" s="405"/>
    </row>
    <row r="60" spans="5:5">
      <c r="E60" s="405"/>
    </row>
    <row r="61" spans="5:5">
      <c r="E61" s="405"/>
    </row>
    <row r="62" spans="5:5">
      <c r="E62" s="405"/>
    </row>
    <row r="63" spans="5:5">
      <c r="E63" s="405"/>
    </row>
    <row r="64" spans="5:5">
      <c r="E64" s="405"/>
    </row>
    <row r="65" spans="5:5">
      <c r="E65" s="405"/>
    </row>
    <row r="66" spans="5:5">
      <c r="E66" s="405"/>
    </row>
    <row r="67" spans="5:5">
      <c r="E67" s="405"/>
    </row>
    <row r="68" spans="5:5">
      <c r="E68" s="405"/>
    </row>
    <row r="69" spans="5:5">
      <c r="E69" s="405"/>
    </row>
    <row r="70" spans="5:5">
      <c r="E70" s="405"/>
    </row>
    <row r="71" spans="5:5">
      <c r="E71" s="405"/>
    </row>
    <row r="72" spans="5:5">
      <c r="E72" s="405"/>
    </row>
    <row r="73" spans="5:5">
      <c r="E73" s="405"/>
    </row>
    <row r="74" spans="5:5">
      <c r="E74" s="405"/>
    </row>
    <row r="75" spans="5:5">
      <c r="E75" s="405"/>
    </row>
    <row r="76" spans="5:5">
      <c r="E76" s="405"/>
    </row>
    <row r="77" spans="5:5">
      <c r="E77" s="405"/>
    </row>
    <row r="78" spans="5:5">
      <c r="E78" s="405"/>
    </row>
    <row r="79" spans="5:5">
      <c r="E79" s="405"/>
    </row>
    <row r="80" spans="5:5">
      <c r="E80" s="405"/>
    </row>
    <row r="81" spans="5:5">
      <c r="E81" s="405"/>
    </row>
    <row r="82" spans="5:5">
      <c r="E82" s="405"/>
    </row>
    <row r="83" spans="5:5">
      <c r="E83" s="405"/>
    </row>
    <row r="84" spans="5:5">
      <c r="E84" s="405"/>
    </row>
    <row r="85" spans="5:5">
      <c r="E85" s="405"/>
    </row>
    <row r="86" spans="5:5">
      <c r="E86" s="405"/>
    </row>
    <row r="87" spans="5:5">
      <c r="E87" s="405"/>
    </row>
    <row r="88" spans="5:5">
      <c r="E88" s="405"/>
    </row>
    <row r="89" spans="5:5">
      <c r="E89" s="405"/>
    </row>
    <row r="90" spans="5:5">
      <c r="E90" s="405"/>
    </row>
    <row r="91" spans="5:5">
      <c r="E91" s="405"/>
    </row>
    <row r="92" spans="5:5">
      <c r="E92" s="405"/>
    </row>
    <row r="93" spans="5:5">
      <c r="E93" s="405"/>
    </row>
    <row r="94" spans="5:5">
      <c r="E94" s="405"/>
    </row>
    <row r="95" spans="5:5">
      <c r="E95" s="405"/>
    </row>
    <row r="96" spans="5:5">
      <c r="E96" s="405"/>
    </row>
    <row r="97" spans="5:5">
      <c r="E97" s="405"/>
    </row>
    <row r="98" spans="5:5">
      <c r="E98" s="405"/>
    </row>
    <row r="99" spans="5:5">
      <c r="E99" s="405"/>
    </row>
    <row r="100" spans="5:5">
      <c r="E100" s="405"/>
    </row>
    <row r="101" spans="5:5">
      <c r="E101" s="405"/>
    </row>
    <row r="102" spans="5:5">
      <c r="E102" s="405"/>
    </row>
    <row r="103" spans="5:5">
      <c r="E103" s="405"/>
    </row>
    <row r="104" spans="5:5">
      <c r="E104" s="405"/>
    </row>
    <row r="105" spans="5:5">
      <c r="E105" s="405"/>
    </row>
    <row r="106" spans="5:5">
      <c r="E106" s="405"/>
    </row>
    <row r="107" spans="5:5">
      <c r="E107" s="405"/>
    </row>
    <row r="108" spans="5:5">
      <c r="E108" s="405"/>
    </row>
    <row r="109" spans="5:5">
      <c r="E109" s="405"/>
    </row>
    <row r="110" spans="5:5">
      <c r="E110" s="405"/>
    </row>
    <row r="111" spans="5:5">
      <c r="E111" s="405"/>
    </row>
    <row r="112" spans="5:5">
      <c r="E112" s="405"/>
    </row>
    <row r="113" spans="5:5">
      <c r="E113" s="405"/>
    </row>
    <row r="114" spans="5:5">
      <c r="E114" s="405"/>
    </row>
    <row r="115" spans="5:5">
      <c r="E115" s="405"/>
    </row>
    <row r="116" spans="5:5">
      <c r="E116" s="405"/>
    </row>
    <row r="117" spans="5:5">
      <c r="E117" s="405"/>
    </row>
    <row r="118" spans="5:5">
      <c r="E118" s="405"/>
    </row>
    <row r="119" spans="5:5">
      <c r="E119" s="405"/>
    </row>
    <row r="120" spans="5:5">
      <c r="E120" s="405"/>
    </row>
    <row r="121" spans="5:5">
      <c r="E121" s="405"/>
    </row>
    <row r="122" spans="5:5">
      <c r="E122" s="405"/>
    </row>
    <row r="123" spans="5:5">
      <c r="E123" s="405"/>
    </row>
    <row r="124" spans="5:5">
      <c r="E124" s="405"/>
    </row>
    <row r="125" spans="5:5">
      <c r="E125" s="405"/>
    </row>
    <row r="126" spans="5:5">
      <c r="E126" s="405"/>
    </row>
    <row r="127" spans="5:5">
      <c r="E127" s="405"/>
    </row>
    <row r="128" spans="5:5">
      <c r="E128" s="405"/>
    </row>
    <row r="129" spans="5:5">
      <c r="E129" s="405"/>
    </row>
    <row r="130" spans="5:5">
      <c r="E130" s="405"/>
    </row>
    <row r="131" spans="5:5">
      <c r="E131" s="405"/>
    </row>
    <row r="132" spans="5:5">
      <c r="E132" s="405"/>
    </row>
    <row r="133" spans="5:5">
      <c r="E133" s="405"/>
    </row>
    <row r="134" spans="5:5">
      <c r="E134" s="405"/>
    </row>
    <row r="135" spans="5:5">
      <c r="E135" s="405"/>
    </row>
    <row r="136" spans="5:5">
      <c r="E136" s="405"/>
    </row>
    <row r="137" spans="5:5">
      <c r="E137" s="405"/>
    </row>
    <row r="138" spans="5:5">
      <c r="E138" s="405"/>
    </row>
    <row r="139" spans="5:5">
      <c r="E139" s="405"/>
    </row>
    <row r="140" spans="5:5">
      <c r="E140" s="405"/>
    </row>
    <row r="141" spans="5:5">
      <c r="E141" s="405"/>
    </row>
    <row r="142" spans="5:5">
      <c r="E142" s="405"/>
    </row>
    <row r="143" spans="5:5">
      <c r="E143" s="405"/>
    </row>
    <row r="144" spans="5:5">
      <c r="E144" s="405"/>
    </row>
    <row r="145" spans="5:5">
      <c r="E145" s="405"/>
    </row>
    <row r="146" spans="5:5">
      <c r="E146" s="405"/>
    </row>
    <row r="147" spans="5:5">
      <c r="E147" s="405"/>
    </row>
    <row r="148" spans="5:5">
      <c r="E148" s="405"/>
    </row>
    <row r="149" spans="5:5">
      <c r="E149" s="405"/>
    </row>
    <row r="150" spans="5:5">
      <c r="E150" s="405"/>
    </row>
    <row r="151" spans="5:5">
      <c r="E151" s="405"/>
    </row>
    <row r="152" spans="5:5">
      <c r="E152" s="405"/>
    </row>
    <row r="153" spans="5:5">
      <c r="E153" s="405"/>
    </row>
    <row r="154" spans="5:5">
      <c r="E154" s="405"/>
    </row>
    <row r="155" spans="5:5">
      <c r="E155" s="405"/>
    </row>
    <row r="156" spans="5:5">
      <c r="E156" s="405"/>
    </row>
    <row r="157" spans="5:5">
      <c r="E157" s="405"/>
    </row>
    <row r="158" spans="5:5">
      <c r="E158" s="405"/>
    </row>
    <row r="159" spans="5:5">
      <c r="E159" s="405"/>
    </row>
    <row r="160" spans="5:5">
      <c r="E160" s="405"/>
    </row>
    <row r="161" spans="5:5">
      <c r="E161" s="405"/>
    </row>
    <row r="162" spans="5:5">
      <c r="E162" s="405"/>
    </row>
    <row r="163" spans="5:5">
      <c r="E163" s="405"/>
    </row>
    <row r="164" spans="5:5">
      <c r="E164" s="405"/>
    </row>
    <row r="165" spans="5:5">
      <c r="E165" s="405"/>
    </row>
    <row r="166" spans="5:5">
      <c r="E166" s="405"/>
    </row>
    <row r="167" spans="5:5">
      <c r="E167" s="405"/>
    </row>
    <row r="168" spans="5:5">
      <c r="E168" s="405"/>
    </row>
    <row r="169" spans="5:5">
      <c r="E169" s="405"/>
    </row>
    <row r="170" spans="5:5">
      <c r="E170" s="405"/>
    </row>
    <row r="171" spans="5:5">
      <c r="E171" s="405"/>
    </row>
    <row r="172" spans="5:5">
      <c r="E172" s="405"/>
    </row>
    <row r="173" spans="5:5">
      <c r="E173" s="405"/>
    </row>
    <row r="174" spans="5:5">
      <c r="E174" s="405"/>
    </row>
    <row r="175" spans="5:5">
      <c r="E175" s="405"/>
    </row>
    <row r="176" spans="5:5">
      <c r="E176" s="405"/>
    </row>
    <row r="177" spans="5:5">
      <c r="E177" s="405"/>
    </row>
    <row r="178" spans="5:5">
      <c r="E178" s="405"/>
    </row>
    <row r="179" spans="5:5">
      <c r="E179" s="405"/>
    </row>
    <row r="180" spans="5:5">
      <c r="E180" s="405"/>
    </row>
    <row r="181" spans="5:5">
      <c r="E181" s="405"/>
    </row>
    <row r="182" spans="5:5">
      <c r="E182" s="405"/>
    </row>
    <row r="183" spans="5:5">
      <c r="E183" s="405"/>
    </row>
    <row r="184" spans="5:5">
      <c r="E184" s="405"/>
    </row>
    <row r="185" spans="5:5">
      <c r="E185" s="405"/>
    </row>
    <row r="186" spans="5:5">
      <c r="E186" s="405"/>
    </row>
    <row r="187" spans="5:5">
      <c r="E187" s="405"/>
    </row>
    <row r="188" spans="5:5">
      <c r="E188" s="405"/>
    </row>
    <row r="189" spans="5:5">
      <c r="E189" s="405"/>
    </row>
    <row r="190" spans="5:5">
      <c r="E190" s="405"/>
    </row>
    <row r="191" spans="5:5">
      <c r="E191" s="405"/>
    </row>
    <row r="192" spans="5:5">
      <c r="E192" s="405"/>
    </row>
    <row r="193" spans="5:5">
      <c r="E193" s="405"/>
    </row>
    <row r="194" spans="5:5">
      <c r="E194" s="405"/>
    </row>
    <row r="195" spans="5:5">
      <c r="E195" s="405"/>
    </row>
    <row r="196" spans="5:5">
      <c r="E196" s="405"/>
    </row>
    <row r="197" spans="5:5">
      <c r="E197" s="405"/>
    </row>
    <row r="198" spans="5:5">
      <c r="E198" s="405"/>
    </row>
    <row r="199" spans="5:5">
      <c r="E199" s="405"/>
    </row>
    <row r="200" spans="5:5">
      <c r="E200" s="405"/>
    </row>
    <row r="201" spans="5:5">
      <c r="E201" s="405"/>
    </row>
    <row r="202" spans="5:5">
      <c r="E202" s="405"/>
    </row>
    <row r="203" spans="5:5">
      <c r="E203" s="405"/>
    </row>
    <row r="204" spans="5:5">
      <c r="E204" s="405"/>
    </row>
    <row r="205" spans="5:5">
      <c r="E205" s="405"/>
    </row>
    <row r="206" spans="5:5">
      <c r="E206" s="405"/>
    </row>
    <row r="207" spans="5:5">
      <c r="E207" s="405"/>
    </row>
    <row r="208" spans="5:5">
      <c r="E208" s="405"/>
    </row>
    <row r="209" spans="5:5">
      <c r="E209" s="405"/>
    </row>
    <row r="210" spans="5:5">
      <c r="E210" s="405"/>
    </row>
    <row r="211" spans="5:5">
      <c r="E211" s="405"/>
    </row>
    <row r="212" spans="5:5">
      <c r="E212" s="405"/>
    </row>
    <row r="213" spans="5:5">
      <c r="E213" s="405"/>
    </row>
    <row r="214" spans="5:5">
      <c r="E214" s="405"/>
    </row>
    <row r="215" spans="5:5">
      <c r="E215" s="405"/>
    </row>
    <row r="216" spans="5:5">
      <c r="E216" s="405"/>
    </row>
    <row r="217" spans="5:5">
      <c r="E217" s="405"/>
    </row>
    <row r="218" spans="5:5">
      <c r="E218" s="405"/>
    </row>
    <row r="219" spans="5:5">
      <c r="E219" s="405"/>
    </row>
    <row r="220" spans="5:5">
      <c r="E220" s="405"/>
    </row>
    <row r="221" spans="5:5">
      <c r="E221" s="405"/>
    </row>
    <row r="222" spans="5:5">
      <c r="E222" s="405"/>
    </row>
    <row r="223" spans="5:5">
      <c r="E223" s="405"/>
    </row>
    <row r="224" spans="5:5">
      <c r="E224" s="405"/>
    </row>
    <row r="225" spans="5:5">
      <c r="E225" s="405"/>
    </row>
    <row r="226" spans="5:5">
      <c r="E226" s="405"/>
    </row>
    <row r="227" spans="5:5">
      <c r="E227" s="405"/>
    </row>
    <row r="228" spans="5:5">
      <c r="E228" s="405"/>
    </row>
    <row r="229" spans="5:5">
      <c r="E229" s="405"/>
    </row>
    <row r="230" spans="5:5">
      <c r="E230" s="405"/>
    </row>
    <row r="231" spans="5:5">
      <c r="E231" s="405"/>
    </row>
    <row r="232" spans="5:5">
      <c r="E232" s="405"/>
    </row>
    <row r="233" spans="5:5">
      <c r="E233" s="405"/>
    </row>
    <row r="234" spans="5:5">
      <c r="E234" s="405"/>
    </row>
    <row r="235" spans="5:5">
      <c r="E235" s="405"/>
    </row>
    <row r="236" spans="5:5">
      <c r="E236" s="405"/>
    </row>
    <row r="237" spans="5:5">
      <c r="E237" s="405"/>
    </row>
    <row r="238" spans="5:5">
      <c r="E238" s="405"/>
    </row>
    <row r="239" spans="5:5">
      <c r="E239" s="405"/>
    </row>
    <row r="240" spans="5:5">
      <c r="E240" s="405"/>
    </row>
    <row r="241" spans="5:5">
      <c r="E241" s="405"/>
    </row>
    <row r="242" spans="5:5">
      <c r="E242" s="405"/>
    </row>
    <row r="243" spans="5:5">
      <c r="E243" s="405"/>
    </row>
    <row r="244" spans="5:5">
      <c r="E244" s="405"/>
    </row>
    <row r="245" spans="5:5">
      <c r="E245" s="405"/>
    </row>
    <row r="246" spans="5:5">
      <c r="E246" s="405"/>
    </row>
    <row r="247" spans="5:5">
      <c r="E247" s="405"/>
    </row>
    <row r="248" spans="5:5">
      <c r="E248" s="405"/>
    </row>
    <row r="249" spans="5:5">
      <c r="E249" s="405"/>
    </row>
    <row r="250" spans="5:5">
      <c r="E250" s="405"/>
    </row>
    <row r="251" spans="5:5">
      <c r="E251" s="405"/>
    </row>
    <row r="252" spans="5:5">
      <c r="E252" s="405"/>
    </row>
    <row r="253" spans="5:5">
      <c r="E253" s="405"/>
    </row>
    <row r="254" spans="5:5">
      <c r="E254" s="405"/>
    </row>
    <row r="255" spans="5:5">
      <c r="E255" s="405"/>
    </row>
    <row r="256" spans="5:5">
      <c r="E256" s="405"/>
    </row>
    <row r="257" spans="5:5">
      <c r="E257" s="405"/>
    </row>
    <row r="258" spans="5:5">
      <c r="E258" s="405"/>
    </row>
    <row r="259" spans="5:5">
      <c r="E259" s="405"/>
    </row>
    <row r="260" spans="5:5">
      <c r="E260" s="405"/>
    </row>
    <row r="261" spans="5:5">
      <c r="E261" s="405"/>
    </row>
    <row r="262" spans="5:5">
      <c r="E262" s="405"/>
    </row>
    <row r="263" spans="5:5">
      <c r="E263" s="405"/>
    </row>
    <row r="264" spans="5:5">
      <c r="E264" s="405"/>
    </row>
    <row r="265" spans="5:5">
      <c r="E265" s="405"/>
    </row>
    <row r="266" spans="5:5">
      <c r="E266" s="405"/>
    </row>
    <row r="267" spans="5:5">
      <c r="E267" s="405"/>
    </row>
    <row r="268" spans="5:5">
      <c r="E268" s="405"/>
    </row>
    <row r="269" spans="5:5">
      <c r="E269" s="405"/>
    </row>
    <row r="270" spans="5:5">
      <c r="E270" s="405"/>
    </row>
    <row r="271" spans="5:5">
      <c r="E271" s="405"/>
    </row>
    <row r="272" spans="5:5">
      <c r="E272" s="405"/>
    </row>
    <row r="273" spans="5:5">
      <c r="E273" s="405"/>
    </row>
    <row r="274" spans="5:5">
      <c r="E274" s="405"/>
    </row>
    <row r="275" spans="5:5">
      <c r="E275" s="405"/>
    </row>
    <row r="276" spans="5:5">
      <c r="E276" s="405"/>
    </row>
    <row r="277" spans="5:5">
      <c r="E277" s="405"/>
    </row>
    <row r="278" spans="5:5">
      <c r="E278" s="405"/>
    </row>
    <row r="279" spans="5:5">
      <c r="E279" s="405"/>
    </row>
    <row r="280" spans="5:5">
      <c r="E280" s="405"/>
    </row>
    <row r="281" spans="5:5">
      <c r="E281" s="405"/>
    </row>
    <row r="282" spans="5:5">
      <c r="E282" s="405"/>
    </row>
    <row r="283" spans="5:5">
      <c r="E283" s="405"/>
    </row>
    <row r="284" spans="5:5">
      <c r="E284" s="405"/>
    </row>
    <row r="285" spans="5:5">
      <c r="E285" s="405"/>
    </row>
    <row r="286" spans="5:5">
      <c r="E286" s="405"/>
    </row>
    <row r="287" spans="5:5">
      <c r="E287" s="405"/>
    </row>
    <row r="288" spans="5:5">
      <c r="E288" s="405"/>
    </row>
    <row r="289" spans="5:5">
      <c r="E289" s="405"/>
    </row>
    <row r="290" spans="5:5">
      <c r="E290" s="405"/>
    </row>
    <row r="291" spans="5:5">
      <c r="E291" s="405"/>
    </row>
    <row r="292" spans="5:5">
      <c r="E292" s="405"/>
    </row>
    <row r="293" spans="5:5">
      <c r="E293" s="405"/>
    </row>
    <row r="294" spans="5:5">
      <c r="E294" s="405"/>
    </row>
    <row r="295" spans="5:5">
      <c r="E295" s="405"/>
    </row>
    <row r="296" spans="5:5">
      <c r="E296" s="405"/>
    </row>
    <row r="297" spans="5:5">
      <c r="E297" s="405"/>
    </row>
    <row r="298" spans="5:5">
      <c r="E298" s="405"/>
    </row>
    <row r="299" spans="5:5">
      <c r="E299" s="405"/>
    </row>
    <row r="300" spans="5:5">
      <c r="E300" s="405"/>
    </row>
    <row r="301" spans="5:5">
      <c r="E301" s="405"/>
    </row>
    <row r="302" spans="5:5">
      <c r="E302" s="405"/>
    </row>
    <row r="303" spans="5:5">
      <c r="E303" s="405"/>
    </row>
    <row r="304" spans="5:5">
      <c r="E304" s="405"/>
    </row>
    <row r="305" spans="5:5">
      <c r="E305" s="405"/>
    </row>
    <row r="306" spans="5:5">
      <c r="E306" s="405"/>
    </row>
    <row r="307" spans="5:5">
      <c r="E307" s="405"/>
    </row>
    <row r="308" spans="5:5">
      <c r="E308" s="405"/>
    </row>
    <row r="309" spans="5:5">
      <c r="E309" s="405"/>
    </row>
    <row r="310" spans="5:5">
      <c r="E310" s="405"/>
    </row>
    <row r="311" spans="5:5">
      <c r="E311" s="405"/>
    </row>
    <row r="312" spans="5:5">
      <c r="E312" s="405"/>
    </row>
    <row r="313" spans="5:5">
      <c r="E313" s="405"/>
    </row>
    <row r="314" spans="5:5">
      <c r="E314" s="405"/>
    </row>
    <row r="315" spans="5:5">
      <c r="E315" s="405"/>
    </row>
    <row r="316" spans="5:5">
      <c r="E316" s="405"/>
    </row>
    <row r="317" spans="5:5">
      <c r="E317" s="405"/>
    </row>
    <row r="318" spans="5:5">
      <c r="E318" s="405"/>
    </row>
    <row r="319" spans="5:5">
      <c r="E319" s="405"/>
    </row>
    <row r="320" spans="5:5">
      <c r="E320" s="405"/>
    </row>
    <row r="321" spans="5:5">
      <c r="E321" s="405"/>
    </row>
    <row r="322" spans="5:5">
      <c r="E322" s="405"/>
    </row>
    <row r="323" spans="5:5">
      <c r="E323" s="405"/>
    </row>
    <row r="324" spans="5:5">
      <c r="E324" s="405"/>
    </row>
    <row r="325" spans="5:5">
      <c r="E325" s="405"/>
    </row>
    <row r="326" spans="5:5">
      <c r="E326" s="405"/>
    </row>
    <row r="327" spans="5:5">
      <c r="E327" s="405"/>
    </row>
    <row r="328" spans="5:5">
      <c r="E328" s="405"/>
    </row>
    <row r="329" spans="5:5">
      <c r="E329" s="405"/>
    </row>
    <row r="330" spans="5:5">
      <c r="E330" s="405"/>
    </row>
    <row r="331" spans="5:5">
      <c r="E331" s="405"/>
    </row>
    <row r="332" spans="5:5">
      <c r="E332" s="405"/>
    </row>
    <row r="333" spans="5:5">
      <c r="E333" s="405"/>
    </row>
    <row r="334" spans="5:5">
      <c r="E334" s="405"/>
    </row>
    <row r="335" spans="5:5">
      <c r="E335" s="405"/>
    </row>
    <row r="336" spans="5:5">
      <c r="E336" s="405"/>
    </row>
    <row r="337" spans="5:5">
      <c r="E337" s="405"/>
    </row>
    <row r="338" spans="5:5">
      <c r="E338" s="405"/>
    </row>
    <row r="339" spans="5:5">
      <c r="E339" s="405"/>
    </row>
    <row r="340" spans="5:5">
      <c r="E340" s="405"/>
    </row>
    <row r="341" spans="5:5">
      <c r="E341" s="405"/>
    </row>
    <row r="342" spans="5:5">
      <c r="E342" s="405"/>
    </row>
    <row r="343" spans="5:5">
      <c r="E343" s="405"/>
    </row>
    <row r="344" spans="5:5">
      <c r="E344" s="405"/>
    </row>
    <row r="345" spans="5:5">
      <c r="E345" s="405"/>
    </row>
    <row r="346" spans="5:5">
      <c r="E346" s="405"/>
    </row>
    <row r="347" spans="5:5">
      <c r="E347" s="405"/>
    </row>
    <row r="348" spans="5:5">
      <c r="E348" s="405"/>
    </row>
    <row r="349" spans="5:5">
      <c r="E349" s="405"/>
    </row>
    <row r="350" spans="5:5">
      <c r="E350" s="405"/>
    </row>
    <row r="351" spans="5:5">
      <c r="E351" s="405"/>
    </row>
    <row r="352" spans="5:5">
      <c r="E352" s="405"/>
    </row>
    <row r="353" spans="5:5">
      <c r="E353" s="405"/>
    </row>
    <row r="354" spans="5:5">
      <c r="E354" s="405"/>
    </row>
    <row r="355" spans="5:5">
      <c r="E355" s="405"/>
    </row>
    <row r="356" spans="5:5">
      <c r="E356" s="405"/>
    </row>
    <row r="357" spans="5:5">
      <c r="E357" s="405"/>
    </row>
    <row r="358" spans="5:5">
      <c r="E358" s="405"/>
    </row>
    <row r="359" spans="5:5">
      <c r="E359" s="405"/>
    </row>
    <row r="360" spans="5:5">
      <c r="E360" s="405"/>
    </row>
    <row r="361" spans="5:5">
      <c r="E361" s="405"/>
    </row>
    <row r="362" spans="5:5">
      <c r="E362" s="405"/>
    </row>
    <row r="363" spans="5:5">
      <c r="E363" s="405"/>
    </row>
    <row r="364" spans="5:5">
      <c r="E364" s="405"/>
    </row>
    <row r="365" spans="5:5">
      <c r="E365" s="405"/>
    </row>
    <row r="366" spans="5:5">
      <c r="E366" s="405"/>
    </row>
    <row r="367" spans="5:5">
      <c r="E367" s="405"/>
    </row>
    <row r="368" spans="5:5">
      <c r="E368" s="405"/>
    </row>
    <row r="369" spans="5:5">
      <c r="E369" s="405"/>
    </row>
    <row r="370" spans="5:5">
      <c r="E370" s="405"/>
    </row>
    <row r="371" spans="5:5">
      <c r="E371" s="405"/>
    </row>
    <row r="372" spans="5:5">
      <c r="E372" s="405"/>
    </row>
    <row r="373" spans="5:5">
      <c r="E373" s="405"/>
    </row>
    <row r="374" spans="5:5">
      <c r="E374" s="405"/>
    </row>
    <row r="375" spans="5:5">
      <c r="E375" s="405"/>
    </row>
    <row r="376" spans="5:5">
      <c r="E376" s="405"/>
    </row>
    <row r="377" spans="5:5">
      <c r="E377" s="405"/>
    </row>
    <row r="378" spans="5:5">
      <c r="E378" s="405"/>
    </row>
    <row r="379" spans="5:5">
      <c r="E379" s="405"/>
    </row>
    <row r="380" spans="5:5">
      <c r="E380" s="405"/>
    </row>
    <row r="381" spans="5:5">
      <c r="E381" s="405"/>
    </row>
    <row r="382" spans="5:5">
      <c r="E382" s="405"/>
    </row>
    <row r="383" spans="5:5">
      <c r="E383" s="405"/>
    </row>
    <row r="384" spans="5:5">
      <c r="E384" s="405"/>
    </row>
    <row r="385" spans="5:5">
      <c r="E385" s="405"/>
    </row>
    <row r="386" spans="5:5">
      <c r="E386" s="405"/>
    </row>
    <row r="387" spans="5:5">
      <c r="E387" s="405"/>
    </row>
    <row r="388" spans="5:5">
      <c r="E388" s="405"/>
    </row>
    <row r="389" spans="5:5">
      <c r="E389" s="405"/>
    </row>
    <row r="390" spans="5:5">
      <c r="E390" s="405"/>
    </row>
    <row r="391" spans="5:5">
      <c r="E391" s="405"/>
    </row>
    <row r="392" spans="5:5">
      <c r="E392" s="405"/>
    </row>
    <row r="393" spans="5:5">
      <c r="E393" s="405"/>
    </row>
    <row r="394" spans="5:5">
      <c r="E394" s="405"/>
    </row>
    <row r="395" spans="5:5">
      <c r="E395" s="405"/>
    </row>
    <row r="396" spans="5:5">
      <c r="E396" s="405"/>
    </row>
    <row r="397" spans="5:5">
      <c r="E397" s="405"/>
    </row>
    <row r="398" spans="5:5">
      <c r="E398" s="405"/>
    </row>
    <row r="399" spans="5:5">
      <c r="E399" s="405"/>
    </row>
    <row r="400" spans="5:5">
      <c r="E400" s="405"/>
    </row>
    <row r="401" spans="5:5">
      <c r="E401" s="405"/>
    </row>
    <row r="402" spans="5:5">
      <c r="E402" s="405"/>
    </row>
    <row r="403" spans="5:5">
      <c r="E403" s="405"/>
    </row>
    <row r="404" spans="5:5">
      <c r="E404" s="405"/>
    </row>
    <row r="405" spans="5:5">
      <c r="E405" s="405"/>
    </row>
    <row r="406" spans="5:5">
      <c r="E406" s="405"/>
    </row>
    <row r="407" spans="5:5">
      <c r="E407" s="405"/>
    </row>
    <row r="408" spans="5:5">
      <c r="E408" s="405"/>
    </row>
    <row r="409" spans="5:5">
      <c r="E409" s="405"/>
    </row>
    <row r="410" spans="5:5">
      <c r="E410" s="405"/>
    </row>
    <row r="411" spans="5:5">
      <c r="E411" s="405"/>
    </row>
    <row r="412" spans="5:5">
      <c r="E412" s="405"/>
    </row>
    <row r="413" spans="5:5">
      <c r="E413" s="405"/>
    </row>
    <row r="414" spans="5:5">
      <c r="E414" s="405"/>
    </row>
    <row r="415" spans="5:5">
      <c r="E415" s="405"/>
    </row>
    <row r="416" spans="5:5">
      <c r="E416" s="405"/>
    </row>
    <row r="417" spans="5:5">
      <c r="E417" s="405"/>
    </row>
    <row r="418" spans="5:5">
      <c r="E418" s="405"/>
    </row>
    <row r="419" spans="5:5">
      <c r="E419" s="405"/>
    </row>
    <row r="420" spans="5:5">
      <c r="E420" s="405"/>
    </row>
    <row r="421" spans="5:5">
      <c r="E421" s="405"/>
    </row>
    <row r="422" spans="5:5">
      <c r="E422" s="405"/>
    </row>
    <row r="423" spans="5:5">
      <c r="E423" s="405"/>
    </row>
    <row r="424" spans="5:5">
      <c r="E424" s="405"/>
    </row>
    <row r="425" spans="5:5">
      <c r="E425" s="405"/>
    </row>
    <row r="426" spans="5:5">
      <c r="E426" s="405"/>
    </row>
    <row r="427" spans="5:5">
      <c r="E427" s="405"/>
    </row>
    <row r="428" spans="5:5">
      <c r="E428" s="405"/>
    </row>
    <row r="429" spans="5:5">
      <c r="E429" s="405"/>
    </row>
    <row r="430" spans="5:5">
      <c r="E430" s="405"/>
    </row>
    <row r="431" spans="5:5">
      <c r="E431" s="405"/>
    </row>
    <row r="432" spans="5:5">
      <c r="E432" s="405"/>
    </row>
    <row r="433" spans="5:5">
      <c r="E433" s="405"/>
    </row>
    <row r="434" spans="5:5">
      <c r="E434" s="405"/>
    </row>
    <row r="435" spans="5:5">
      <c r="E435" s="405"/>
    </row>
    <row r="436" spans="5:5">
      <c r="E436" s="405"/>
    </row>
    <row r="437" spans="5:5">
      <c r="E437" s="405"/>
    </row>
    <row r="438" spans="5:5">
      <c r="E438" s="405"/>
    </row>
    <row r="439" spans="5:5">
      <c r="E439" s="405"/>
    </row>
    <row r="440" spans="5:5">
      <c r="E440" s="405"/>
    </row>
    <row r="441" spans="5:5">
      <c r="E441" s="405"/>
    </row>
    <row r="442" spans="5:5">
      <c r="E442" s="405"/>
    </row>
    <row r="443" spans="5:5">
      <c r="E443" s="405"/>
    </row>
    <row r="444" spans="5:5">
      <c r="E444" s="405"/>
    </row>
    <row r="445" spans="5:5">
      <c r="E445" s="405"/>
    </row>
    <row r="446" spans="5:5">
      <c r="E446" s="405"/>
    </row>
    <row r="447" spans="5:5">
      <c r="E447" s="405"/>
    </row>
    <row r="448" spans="5:5">
      <c r="E448" s="405"/>
    </row>
    <row r="449" spans="5:5">
      <c r="E449" s="405"/>
    </row>
    <row r="450" spans="5:5">
      <c r="E450" s="405"/>
    </row>
    <row r="451" spans="5:5">
      <c r="E451" s="405"/>
    </row>
    <row r="452" spans="5:5">
      <c r="E452" s="405"/>
    </row>
    <row r="453" spans="5:5">
      <c r="E453" s="405"/>
    </row>
    <row r="454" spans="5:5">
      <c r="E454" s="405"/>
    </row>
    <row r="455" spans="5:5">
      <c r="E455" s="405"/>
    </row>
    <row r="456" spans="5:5">
      <c r="E456" s="405"/>
    </row>
    <row r="457" spans="5:5">
      <c r="E457" s="405"/>
    </row>
    <row r="458" spans="5:5">
      <c r="E458" s="405"/>
    </row>
    <row r="459" spans="5:5">
      <c r="E459" s="405"/>
    </row>
    <row r="460" spans="5:5">
      <c r="E460" s="405"/>
    </row>
    <row r="461" spans="5:5">
      <c r="E461" s="405"/>
    </row>
    <row r="462" spans="5:5">
      <c r="E462" s="405"/>
    </row>
    <row r="463" spans="5:5">
      <c r="E463" s="405"/>
    </row>
    <row r="464" spans="5:5">
      <c r="E464" s="405"/>
    </row>
    <row r="465" spans="5:5">
      <c r="E465" s="405"/>
    </row>
    <row r="466" spans="5:5">
      <c r="E466" s="405"/>
    </row>
    <row r="467" spans="5:5">
      <c r="E467" s="405"/>
    </row>
    <row r="468" spans="5:5">
      <c r="E468" s="405"/>
    </row>
    <row r="469" spans="5:5">
      <c r="E469" s="405"/>
    </row>
    <row r="470" spans="5:5">
      <c r="E470" s="405"/>
    </row>
    <row r="471" spans="5:5">
      <c r="E471" s="405"/>
    </row>
    <row r="472" spans="5:5">
      <c r="E472" s="405"/>
    </row>
    <row r="473" spans="5:5">
      <c r="E473" s="405"/>
    </row>
    <row r="474" spans="5:5">
      <c r="E474" s="405"/>
    </row>
    <row r="475" spans="5:5">
      <c r="E475" s="405"/>
    </row>
    <row r="476" spans="5:5">
      <c r="E476" s="405"/>
    </row>
    <row r="477" spans="5:5">
      <c r="E477" s="405"/>
    </row>
    <row r="478" spans="5:5">
      <c r="E478" s="405"/>
    </row>
    <row r="479" spans="5:5">
      <c r="E479" s="405"/>
    </row>
    <row r="480" spans="5:5">
      <c r="E480" s="405"/>
    </row>
    <row r="481" spans="5:5">
      <c r="E481" s="405"/>
    </row>
    <row r="482" spans="5:5">
      <c r="E482" s="405"/>
    </row>
    <row r="483" spans="5:5">
      <c r="E483" s="405"/>
    </row>
    <row r="484" spans="5:5">
      <c r="E484" s="405"/>
    </row>
    <row r="485" spans="5:5">
      <c r="E485" s="405"/>
    </row>
    <row r="486" spans="5:5">
      <c r="E486" s="405"/>
    </row>
    <row r="487" spans="5:5">
      <c r="E487" s="405"/>
    </row>
    <row r="488" spans="5:5">
      <c r="E488" s="405"/>
    </row>
    <row r="489" spans="5:5">
      <c r="E489" s="405"/>
    </row>
    <row r="490" spans="5:5">
      <c r="E490" s="405"/>
    </row>
    <row r="491" spans="5:5">
      <c r="E491" s="405"/>
    </row>
    <row r="492" spans="5:5">
      <c r="E492" s="405"/>
    </row>
    <row r="493" spans="5:5">
      <c r="E493" s="405"/>
    </row>
    <row r="494" spans="5:5">
      <c r="E494" s="405"/>
    </row>
    <row r="495" spans="5:5">
      <c r="E495" s="405"/>
    </row>
    <row r="496" spans="5:5">
      <c r="E496" s="405"/>
    </row>
    <row r="497" spans="5:5">
      <c r="E497" s="405"/>
    </row>
    <row r="498" spans="5:5">
      <c r="E498" s="405"/>
    </row>
    <row r="499" spans="5:5">
      <c r="E499" s="405"/>
    </row>
    <row r="500" spans="5:5">
      <c r="E500" s="405"/>
    </row>
    <row r="501" spans="5:5">
      <c r="E501" s="405"/>
    </row>
    <row r="502" spans="5:5">
      <c r="E502" s="405"/>
    </row>
    <row r="503" spans="5:5">
      <c r="E503" s="405"/>
    </row>
    <row r="504" spans="5:5">
      <c r="E504" s="405"/>
    </row>
    <row r="505" spans="5:5">
      <c r="E505" s="405"/>
    </row>
    <row r="506" spans="5:5">
      <c r="E506" s="405"/>
    </row>
    <row r="507" spans="5:5">
      <c r="E507" s="405"/>
    </row>
    <row r="508" spans="5:5">
      <c r="E508" s="405"/>
    </row>
    <row r="509" spans="5:5">
      <c r="E509" s="405"/>
    </row>
    <row r="510" spans="5:5">
      <c r="E510" s="405"/>
    </row>
    <row r="511" spans="5:5">
      <c r="E511" s="405"/>
    </row>
    <row r="512" spans="5:5">
      <c r="E512" s="405"/>
    </row>
    <row r="513" spans="5:5">
      <c r="E513" s="405"/>
    </row>
    <row r="514" spans="5:5">
      <c r="E514" s="405"/>
    </row>
    <row r="515" spans="5:5">
      <c r="E515" s="405"/>
    </row>
    <row r="516" spans="5:5">
      <c r="E516" s="405"/>
    </row>
    <row r="517" spans="5:5">
      <c r="E517" s="405"/>
    </row>
    <row r="518" spans="5:5">
      <c r="E518" s="405"/>
    </row>
    <row r="519" spans="5:5">
      <c r="E519" s="405"/>
    </row>
    <row r="520" spans="5:5">
      <c r="E520" s="405"/>
    </row>
    <row r="521" spans="5:5">
      <c r="E521" s="405"/>
    </row>
    <row r="522" spans="5:5">
      <c r="E522" s="405"/>
    </row>
    <row r="523" spans="5:5">
      <c r="E523" s="405"/>
    </row>
    <row r="524" spans="5:5">
      <c r="E524" s="405"/>
    </row>
    <row r="525" spans="5:5">
      <c r="E525" s="405"/>
    </row>
    <row r="526" spans="5:5">
      <c r="E526" s="405"/>
    </row>
    <row r="527" spans="5:5">
      <c r="E527" s="405"/>
    </row>
    <row r="528" spans="5:5">
      <c r="E528" s="405"/>
    </row>
    <row r="529" spans="5:5">
      <c r="E529" s="405"/>
    </row>
    <row r="530" spans="5:5">
      <c r="E530" s="405"/>
    </row>
    <row r="531" spans="5:5">
      <c r="E531" s="405"/>
    </row>
    <row r="532" spans="5:5">
      <c r="E532" s="405"/>
    </row>
    <row r="533" spans="5:5">
      <c r="E533" s="405"/>
    </row>
    <row r="534" spans="5:5">
      <c r="E534" s="405"/>
    </row>
    <row r="535" spans="5:5">
      <c r="E535" s="405"/>
    </row>
    <row r="536" spans="5:5">
      <c r="E536" s="405"/>
    </row>
    <row r="537" spans="5:5">
      <c r="E537" s="405"/>
    </row>
    <row r="538" spans="5:5">
      <c r="E538" s="405"/>
    </row>
    <row r="539" spans="5:5">
      <c r="E539" s="405"/>
    </row>
    <row r="540" spans="5:5">
      <c r="E540" s="405"/>
    </row>
    <row r="541" spans="5:5">
      <c r="E541" s="405"/>
    </row>
    <row r="542" spans="5:5">
      <c r="E542" s="405"/>
    </row>
    <row r="543" spans="5:5">
      <c r="E543" s="405"/>
    </row>
    <row r="544" spans="5:5">
      <c r="E544" s="405"/>
    </row>
    <row r="545" spans="5:5">
      <c r="E545" s="405"/>
    </row>
    <row r="546" spans="5:5">
      <c r="E546" s="405"/>
    </row>
    <row r="547" spans="5:5">
      <c r="E547" s="405"/>
    </row>
    <row r="548" spans="5:5">
      <c r="E548" s="405"/>
    </row>
    <row r="549" spans="5:5">
      <c r="E549" s="405"/>
    </row>
    <row r="550" spans="5:5">
      <c r="E550" s="405"/>
    </row>
    <row r="551" spans="5:5">
      <c r="E551" s="405"/>
    </row>
    <row r="552" spans="5:5">
      <c r="E552" s="405"/>
    </row>
    <row r="553" spans="5:5">
      <c r="E553" s="405"/>
    </row>
    <row r="554" spans="5:5">
      <c r="E554" s="405"/>
    </row>
    <row r="555" spans="5:5">
      <c r="E555" s="405"/>
    </row>
    <row r="556" spans="5:5">
      <c r="E556" s="405"/>
    </row>
    <row r="557" spans="5:5">
      <c r="E557" s="405"/>
    </row>
    <row r="558" spans="5:5">
      <c r="E558" s="405"/>
    </row>
    <row r="559" spans="5:5">
      <c r="E559" s="405"/>
    </row>
    <row r="560" spans="5:5">
      <c r="E560" s="405"/>
    </row>
    <row r="561" spans="5:5">
      <c r="E561" s="405"/>
    </row>
    <row r="562" spans="5:5">
      <c r="E562" s="405"/>
    </row>
    <row r="563" spans="5:5">
      <c r="E563" s="405"/>
    </row>
    <row r="564" spans="5:5">
      <c r="E564" s="405"/>
    </row>
    <row r="565" spans="5:5">
      <c r="E565" s="405"/>
    </row>
    <row r="566" spans="5:5">
      <c r="E566" s="405"/>
    </row>
    <row r="567" spans="5:5">
      <c r="E567" s="405"/>
    </row>
    <row r="568" spans="5:5">
      <c r="E568" s="405"/>
    </row>
    <row r="569" spans="5:5">
      <c r="E569" s="405"/>
    </row>
    <row r="570" spans="5:5">
      <c r="E570" s="405"/>
    </row>
    <row r="571" spans="5:5">
      <c r="E571" s="405"/>
    </row>
    <row r="572" spans="5:5">
      <c r="E572" s="405"/>
    </row>
    <row r="573" spans="5:5">
      <c r="E573" s="405"/>
    </row>
    <row r="574" spans="5:5">
      <c r="E574" s="405"/>
    </row>
    <row r="575" spans="5:5">
      <c r="E575" s="405"/>
    </row>
    <row r="576" spans="5:5">
      <c r="E576" s="405"/>
    </row>
    <row r="577" spans="5:5">
      <c r="E577" s="405"/>
    </row>
    <row r="578" spans="5:5">
      <c r="E578" s="405"/>
    </row>
    <row r="579" spans="5:5">
      <c r="E579" s="405"/>
    </row>
    <row r="580" spans="5:5">
      <c r="E580" s="405"/>
    </row>
    <row r="581" spans="5:5">
      <c r="E581" s="405"/>
    </row>
    <row r="582" spans="5:5">
      <c r="E582" s="405"/>
    </row>
    <row r="583" spans="5:5">
      <c r="E583" s="405"/>
    </row>
    <row r="584" spans="5:5">
      <c r="E584" s="405"/>
    </row>
    <row r="585" spans="5:5">
      <c r="E585" s="405"/>
    </row>
    <row r="586" spans="5:5">
      <c r="E586" s="405"/>
    </row>
    <row r="587" spans="5:5">
      <c r="E587" s="405"/>
    </row>
    <row r="588" spans="5:5">
      <c r="E588" s="405"/>
    </row>
    <row r="589" spans="5:5">
      <c r="E589" s="405"/>
    </row>
    <row r="590" spans="5:5">
      <c r="E590" s="405"/>
    </row>
    <row r="591" spans="5:5">
      <c r="E591" s="405"/>
    </row>
    <row r="592" spans="5:5">
      <c r="E592" s="405"/>
    </row>
    <row r="593" spans="5:5">
      <c r="E593" s="405"/>
    </row>
    <row r="594" spans="5:5">
      <c r="E594" s="405"/>
    </row>
    <row r="595" spans="5:5">
      <c r="E595" s="405"/>
    </row>
    <row r="596" spans="5:5">
      <c r="E596" s="405"/>
    </row>
    <row r="597" spans="5:5">
      <c r="E597" s="405"/>
    </row>
    <row r="598" spans="5:5">
      <c r="E598" s="405"/>
    </row>
    <row r="599" spans="5:5">
      <c r="E599" s="405"/>
    </row>
    <row r="600" spans="5:5">
      <c r="E600" s="405"/>
    </row>
    <row r="601" spans="5:5">
      <c r="E601" s="405"/>
    </row>
    <row r="602" spans="5:5">
      <c r="E602" s="405"/>
    </row>
    <row r="603" spans="5:5">
      <c r="E603" s="405"/>
    </row>
    <row r="604" spans="5:5">
      <c r="E604" s="405"/>
    </row>
    <row r="605" spans="5:5">
      <c r="E605" s="405"/>
    </row>
    <row r="606" spans="5:5">
      <c r="E606" s="405"/>
    </row>
    <row r="607" spans="5:5">
      <c r="E607" s="405"/>
    </row>
    <row r="608" spans="5:5">
      <c r="E608" s="405"/>
    </row>
    <row r="609" spans="5:5">
      <c r="E609" s="405"/>
    </row>
    <row r="610" spans="5:5">
      <c r="E610" s="405"/>
    </row>
    <row r="611" spans="5:5">
      <c r="E611" s="405"/>
    </row>
    <row r="612" spans="5:5">
      <c r="E612" s="405"/>
    </row>
    <row r="613" spans="5:5">
      <c r="E613" s="405"/>
    </row>
    <row r="614" spans="5:5">
      <c r="E614" s="405"/>
    </row>
    <row r="615" spans="5:5">
      <c r="E615" s="405"/>
    </row>
    <row r="616" spans="5:5">
      <c r="E616" s="405"/>
    </row>
    <row r="617" spans="5:5">
      <c r="E617" s="405"/>
    </row>
    <row r="618" spans="5:5">
      <c r="E618" s="405"/>
    </row>
    <row r="619" spans="5:5">
      <c r="E619" s="405"/>
    </row>
    <row r="620" spans="5:5">
      <c r="E620" s="405"/>
    </row>
    <row r="621" spans="5:5">
      <c r="E621" s="405"/>
    </row>
    <row r="622" spans="5:5">
      <c r="E622" s="405"/>
    </row>
    <row r="623" spans="5:5">
      <c r="E623" s="405"/>
    </row>
    <row r="624" spans="5:5">
      <c r="E624" s="405"/>
    </row>
    <row r="625" spans="5:5">
      <c r="E625" s="405"/>
    </row>
    <row r="626" spans="5:5">
      <c r="E626" s="405"/>
    </row>
    <row r="627" spans="5:5">
      <c r="E627" s="405"/>
    </row>
    <row r="628" spans="5:5">
      <c r="E628" s="405"/>
    </row>
    <row r="629" spans="5:5">
      <c r="E629" s="405"/>
    </row>
    <row r="630" spans="5:5">
      <c r="E630" s="405"/>
    </row>
    <row r="631" spans="5:5">
      <c r="E631" s="405"/>
    </row>
    <row r="632" spans="5:5">
      <c r="E632" s="405"/>
    </row>
    <row r="633" spans="5:5">
      <c r="E633" s="405"/>
    </row>
    <row r="634" spans="5:5">
      <c r="E634" s="405"/>
    </row>
    <row r="635" spans="5:5">
      <c r="E635" s="405"/>
    </row>
    <row r="636" spans="5:5">
      <c r="E636" s="405"/>
    </row>
    <row r="637" spans="5:5">
      <c r="E637" s="405"/>
    </row>
    <row r="638" spans="5:5">
      <c r="E638" s="405"/>
    </row>
    <row r="639" spans="5:5">
      <c r="E639" s="405"/>
    </row>
    <row r="640" spans="5:5">
      <c r="E640" s="405"/>
    </row>
    <row r="641" spans="5:5">
      <c r="E641" s="405"/>
    </row>
    <row r="642" spans="5:5">
      <c r="E642" s="405"/>
    </row>
    <row r="643" spans="5:5">
      <c r="E643" s="405"/>
    </row>
    <row r="644" spans="5:5">
      <c r="E644" s="405"/>
    </row>
    <row r="645" spans="5:5">
      <c r="E645" s="405"/>
    </row>
    <row r="646" spans="5:5">
      <c r="E646" s="405"/>
    </row>
    <row r="647" spans="5:5">
      <c r="E647" s="405"/>
    </row>
    <row r="648" spans="5:5">
      <c r="E648" s="405"/>
    </row>
    <row r="649" spans="5:5">
      <c r="E649" s="405"/>
    </row>
    <row r="650" spans="5:5">
      <c r="E650" s="405"/>
    </row>
    <row r="651" spans="5:5">
      <c r="E651" s="405"/>
    </row>
    <row r="652" spans="5:5">
      <c r="E652" s="405"/>
    </row>
    <row r="653" spans="5:5">
      <c r="E653" s="405"/>
    </row>
    <row r="654" spans="5:5">
      <c r="E654" s="405"/>
    </row>
    <row r="655" spans="5:5">
      <c r="E655" s="405"/>
    </row>
    <row r="656" spans="5:5">
      <c r="E656" s="405"/>
    </row>
    <row r="657" spans="5:5">
      <c r="E657" s="405"/>
    </row>
    <row r="658" spans="5:5">
      <c r="E658" s="405"/>
    </row>
    <row r="659" spans="5:5">
      <c r="E659" s="405"/>
    </row>
    <row r="660" spans="5:5">
      <c r="E660" s="405"/>
    </row>
    <row r="661" spans="5:5">
      <c r="E661" s="405"/>
    </row>
    <row r="662" spans="5:5">
      <c r="E662" s="405"/>
    </row>
    <row r="663" spans="5:5">
      <c r="E663" s="405"/>
    </row>
    <row r="664" spans="5:5">
      <c r="E664" s="405"/>
    </row>
    <row r="665" spans="5:5">
      <c r="E665" s="405"/>
    </row>
    <row r="666" spans="5:5">
      <c r="E666" s="405"/>
    </row>
    <row r="667" spans="5:5">
      <c r="E667" s="405"/>
    </row>
    <row r="668" spans="5:5">
      <c r="E668" s="405"/>
    </row>
    <row r="669" spans="5:5">
      <c r="E669" s="405"/>
    </row>
    <row r="670" spans="5:5">
      <c r="E670" s="405"/>
    </row>
    <row r="671" spans="5:5">
      <c r="E671" s="405"/>
    </row>
    <row r="672" spans="5:5">
      <c r="E672" s="405"/>
    </row>
    <row r="673" spans="5:5">
      <c r="E673" s="405"/>
    </row>
    <row r="674" spans="5:5">
      <c r="E674" s="405"/>
    </row>
    <row r="675" spans="5:5">
      <c r="E675" s="405"/>
    </row>
    <row r="676" spans="5:5">
      <c r="E676" s="405"/>
    </row>
    <row r="677" spans="5:5">
      <c r="E677" s="405"/>
    </row>
    <row r="678" spans="5:5">
      <c r="E678" s="405"/>
    </row>
    <row r="679" spans="5:5">
      <c r="E679" s="405"/>
    </row>
    <row r="680" spans="5:5">
      <c r="E680" s="405"/>
    </row>
    <row r="681" spans="5:5">
      <c r="E681" s="405"/>
    </row>
    <row r="682" spans="5:5">
      <c r="E682" s="405"/>
    </row>
    <row r="683" spans="5:5">
      <c r="E683" s="405"/>
    </row>
    <row r="684" spans="5:5">
      <c r="E684" s="405"/>
    </row>
    <row r="685" spans="5:5">
      <c r="E685" s="405"/>
    </row>
    <row r="686" spans="5:5">
      <c r="E686" s="405"/>
    </row>
    <row r="687" spans="5:5">
      <c r="E687" s="405"/>
    </row>
    <row r="688" spans="5:5">
      <c r="E688" s="405"/>
    </row>
    <row r="689" spans="5:5">
      <c r="E689" s="405"/>
    </row>
    <row r="690" spans="5:5">
      <c r="E690" s="405"/>
    </row>
    <row r="691" spans="5:5">
      <c r="E691" s="405"/>
    </row>
    <row r="692" spans="5:5">
      <c r="E692" s="405"/>
    </row>
    <row r="693" spans="5:5">
      <c r="E693" s="405"/>
    </row>
    <row r="694" spans="5:5">
      <c r="E694" s="405"/>
    </row>
    <row r="695" spans="5:5">
      <c r="E695" s="405"/>
    </row>
    <row r="696" spans="5:5">
      <c r="E696" s="405"/>
    </row>
    <row r="697" spans="5:5">
      <c r="E697" s="405"/>
    </row>
    <row r="698" spans="5:5">
      <c r="E698" s="405"/>
    </row>
    <row r="699" spans="5:5">
      <c r="E699" s="405"/>
    </row>
    <row r="700" spans="5:5">
      <c r="E700" s="405"/>
    </row>
    <row r="701" spans="5:5">
      <c r="E701" s="405"/>
    </row>
    <row r="702" spans="5:5">
      <c r="E702" s="405"/>
    </row>
    <row r="703" spans="5:5">
      <c r="E703" s="405"/>
    </row>
    <row r="704" spans="5:5">
      <c r="E704" s="405"/>
    </row>
    <row r="705" spans="5:5">
      <c r="E705" s="405"/>
    </row>
    <row r="706" spans="5:5">
      <c r="E706" s="405"/>
    </row>
    <row r="707" spans="5:5">
      <c r="E707" s="405"/>
    </row>
    <row r="708" spans="5:5">
      <c r="E708" s="405"/>
    </row>
    <row r="709" spans="5:5">
      <c r="E709" s="405"/>
    </row>
    <row r="710" spans="5:5">
      <c r="E710" s="405"/>
    </row>
    <row r="711" spans="5:5">
      <c r="E711" s="405"/>
    </row>
    <row r="712" spans="5:5">
      <c r="E712" s="405"/>
    </row>
    <row r="713" spans="5:5">
      <c r="E713" s="405"/>
    </row>
    <row r="714" spans="5:5">
      <c r="E714" s="405"/>
    </row>
    <row r="715" spans="5:5">
      <c r="E715" s="405"/>
    </row>
    <row r="716" spans="5:5">
      <c r="E716" s="405"/>
    </row>
    <row r="717" spans="5:5">
      <c r="E717" s="405"/>
    </row>
    <row r="718" spans="5:5">
      <c r="E718" s="405"/>
    </row>
    <row r="719" spans="5:5">
      <c r="E719" s="405"/>
    </row>
    <row r="720" spans="5:5">
      <c r="E720" s="405"/>
    </row>
    <row r="721" spans="5:5">
      <c r="E721" s="405"/>
    </row>
    <row r="722" spans="5:5">
      <c r="E722" s="405"/>
    </row>
    <row r="723" spans="5:5">
      <c r="E723" s="405"/>
    </row>
    <row r="724" spans="5:5">
      <c r="E724" s="405"/>
    </row>
    <row r="725" spans="5:5">
      <c r="E725" s="405"/>
    </row>
    <row r="726" spans="5:5">
      <c r="E726" s="405"/>
    </row>
    <row r="727" spans="5:5">
      <c r="E727" s="405"/>
    </row>
    <row r="728" spans="5:5">
      <c r="E728" s="405"/>
    </row>
    <row r="729" spans="5:5">
      <c r="E729" s="405"/>
    </row>
    <row r="730" spans="5:5">
      <c r="E730" s="405"/>
    </row>
    <row r="731" spans="5:5">
      <c r="E731" s="405"/>
    </row>
    <row r="732" spans="5:5">
      <c r="E732" s="405"/>
    </row>
    <row r="733" spans="5:5">
      <c r="E733" s="405"/>
    </row>
    <row r="734" spans="5:5">
      <c r="E734" s="405"/>
    </row>
    <row r="735" spans="5:5">
      <c r="E735" s="405"/>
    </row>
    <row r="736" spans="5:5">
      <c r="E736" s="405"/>
    </row>
    <row r="737" spans="5:5">
      <c r="E737" s="405"/>
    </row>
    <row r="738" spans="5:5">
      <c r="E738" s="405"/>
    </row>
    <row r="739" spans="5:5">
      <c r="E739" s="405"/>
    </row>
    <row r="740" spans="5:5">
      <c r="E740" s="405"/>
    </row>
    <row r="741" spans="5:5">
      <c r="E741" s="405"/>
    </row>
    <row r="742" spans="5:5">
      <c r="E742" s="405"/>
    </row>
    <row r="743" spans="5:5">
      <c r="E743" s="405"/>
    </row>
    <row r="744" spans="5:5">
      <c r="E744" s="405"/>
    </row>
    <row r="745" spans="5:5">
      <c r="E745" s="405"/>
    </row>
    <row r="746" spans="5:5">
      <c r="E746" s="405"/>
    </row>
    <row r="747" spans="5:5">
      <c r="E747" s="405"/>
    </row>
    <row r="748" spans="5:5">
      <c r="E748" s="405"/>
    </row>
    <row r="749" spans="5:5">
      <c r="E749" s="405"/>
    </row>
    <row r="750" spans="5:5">
      <c r="E750" s="405"/>
    </row>
    <row r="751" spans="5:5">
      <c r="E751" s="405"/>
    </row>
    <row r="752" spans="5:5">
      <c r="E752" s="405"/>
    </row>
    <row r="753" spans="5:5">
      <c r="E753" s="405"/>
    </row>
    <row r="754" spans="5:5">
      <c r="E754" s="405"/>
    </row>
    <row r="755" spans="5:5">
      <c r="E755" s="405"/>
    </row>
    <row r="756" spans="5:5">
      <c r="E756" s="405"/>
    </row>
    <row r="757" spans="5:5">
      <c r="E757" s="405"/>
    </row>
    <row r="758" spans="5:5">
      <c r="E758" s="405"/>
    </row>
    <row r="759" spans="5:5">
      <c r="E759" s="405"/>
    </row>
    <row r="760" spans="5:5">
      <c r="E760" s="405"/>
    </row>
    <row r="761" spans="5:5">
      <c r="E761" s="405"/>
    </row>
    <row r="762" spans="5:5">
      <c r="E762" s="405"/>
    </row>
    <row r="763" spans="5:5">
      <c r="E763" s="405"/>
    </row>
    <row r="764" spans="5:5">
      <c r="E764" s="405"/>
    </row>
    <row r="765" spans="5:5">
      <c r="E765" s="405"/>
    </row>
    <row r="766" spans="5:5">
      <c r="E766" s="405"/>
    </row>
    <row r="767" spans="5:5">
      <c r="E767" s="405"/>
    </row>
    <row r="768" spans="5:5">
      <c r="E768" s="405"/>
    </row>
    <row r="769" spans="5:5">
      <c r="E769" s="405"/>
    </row>
    <row r="770" spans="5:5">
      <c r="E770" s="405"/>
    </row>
    <row r="771" spans="5:5">
      <c r="E771" s="405"/>
    </row>
    <row r="772" spans="5:5">
      <c r="E772" s="405"/>
    </row>
    <row r="773" spans="5:5">
      <c r="E773" s="405"/>
    </row>
    <row r="774" spans="5:5">
      <c r="E774" s="405"/>
    </row>
    <row r="775" spans="5:5">
      <c r="E775" s="405"/>
    </row>
    <row r="776" spans="5:5">
      <c r="E776" s="405"/>
    </row>
    <row r="777" spans="5:5">
      <c r="E777" s="405"/>
    </row>
    <row r="778" spans="5:5">
      <c r="E778" s="405"/>
    </row>
    <row r="779" spans="5:5">
      <c r="E779" s="405"/>
    </row>
    <row r="780" spans="5:5">
      <c r="E780" s="405"/>
    </row>
    <row r="781" spans="5:5">
      <c r="E781" s="405"/>
    </row>
    <row r="782" spans="5:5">
      <c r="E782" s="405"/>
    </row>
    <row r="783" spans="5:5">
      <c r="E783" s="405"/>
    </row>
    <row r="784" spans="5:5">
      <c r="E784" s="405"/>
    </row>
    <row r="785" spans="5:5">
      <c r="E785" s="405"/>
    </row>
    <row r="786" spans="5:5">
      <c r="E786" s="405"/>
    </row>
    <row r="787" spans="5:5">
      <c r="E787" s="405"/>
    </row>
    <row r="788" spans="5:5">
      <c r="E788" s="405"/>
    </row>
    <row r="789" spans="5:5">
      <c r="E789" s="405"/>
    </row>
    <row r="790" spans="5:5">
      <c r="E790" s="405"/>
    </row>
    <row r="791" spans="5:5">
      <c r="E791" s="405"/>
    </row>
    <row r="792" spans="5:5">
      <c r="E792" s="405"/>
    </row>
    <row r="793" spans="5:5">
      <c r="E793" s="405"/>
    </row>
    <row r="794" spans="5:5">
      <c r="E794" s="405"/>
    </row>
    <row r="795" spans="5:5">
      <c r="E795" s="405"/>
    </row>
    <row r="796" spans="5:5">
      <c r="E796" s="405"/>
    </row>
    <row r="797" spans="5:5">
      <c r="E797" s="405"/>
    </row>
    <row r="798" spans="5:5">
      <c r="E798" s="405"/>
    </row>
    <row r="799" spans="5:5">
      <c r="E799" s="405"/>
    </row>
    <row r="800" spans="5:5">
      <c r="E800" s="405"/>
    </row>
    <row r="801" spans="5:5">
      <c r="E801" s="405"/>
    </row>
    <row r="802" spans="5:5">
      <c r="E802" s="405"/>
    </row>
    <row r="803" spans="5:5">
      <c r="E803" s="405"/>
    </row>
    <row r="804" spans="5:5">
      <c r="E804" s="405"/>
    </row>
    <row r="805" spans="5:5">
      <c r="E805" s="405"/>
    </row>
    <row r="806" spans="5:5">
      <c r="E806" s="405"/>
    </row>
    <row r="807" spans="5:5">
      <c r="E807" s="405"/>
    </row>
    <row r="808" spans="5:5">
      <c r="E808" s="405"/>
    </row>
    <row r="809" spans="5:5">
      <c r="E809" s="405"/>
    </row>
    <row r="810" spans="5:5">
      <c r="E810" s="405"/>
    </row>
    <row r="811" spans="5:5">
      <c r="E811" s="405"/>
    </row>
    <row r="812" spans="5:5">
      <c r="E812" s="405"/>
    </row>
    <row r="813" spans="5:5">
      <c r="E813" s="405"/>
    </row>
    <row r="814" spans="5:5">
      <c r="E814" s="405"/>
    </row>
    <row r="815" spans="5:5">
      <c r="E815" s="405"/>
    </row>
    <row r="816" spans="5:5">
      <c r="E816" s="405"/>
    </row>
    <row r="817" spans="5:5">
      <c r="E817" s="405"/>
    </row>
    <row r="818" spans="5:5">
      <c r="E818" s="405"/>
    </row>
    <row r="819" spans="5:5">
      <c r="E819" s="405"/>
    </row>
    <row r="820" spans="5:5">
      <c r="E820" s="405"/>
    </row>
    <row r="821" spans="5:5">
      <c r="E821" s="405"/>
    </row>
    <row r="822" spans="5:5">
      <c r="E822" s="405"/>
    </row>
    <row r="823" spans="5:5">
      <c r="E823" s="405"/>
    </row>
    <row r="824" spans="5:5">
      <c r="E824" s="405"/>
    </row>
    <row r="825" spans="5:5">
      <c r="E825" s="405"/>
    </row>
    <row r="826" spans="5:5">
      <c r="E826" s="405"/>
    </row>
    <row r="827" spans="5:5">
      <c r="E827" s="405"/>
    </row>
    <row r="828" spans="5:5">
      <c r="E828" s="405"/>
    </row>
    <row r="829" spans="5:5">
      <c r="E829" s="405"/>
    </row>
    <row r="830" spans="5:5">
      <c r="E830" s="405"/>
    </row>
    <row r="831" spans="5:5">
      <c r="E831" s="405"/>
    </row>
    <row r="832" spans="5:5">
      <c r="E832" s="405"/>
    </row>
    <row r="833" spans="5:5">
      <c r="E833" s="405"/>
    </row>
    <row r="834" spans="5:5">
      <c r="E834" s="405"/>
    </row>
    <row r="835" spans="5:5">
      <c r="E835" s="405"/>
    </row>
    <row r="836" spans="5:5">
      <c r="E836" s="405"/>
    </row>
    <row r="837" spans="5:5">
      <c r="E837" s="405"/>
    </row>
    <row r="838" spans="5:5">
      <c r="E838" s="405"/>
    </row>
    <row r="839" spans="5:5">
      <c r="E839" s="405"/>
    </row>
    <row r="840" spans="5:5">
      <c r="E840" s="405"/>
    </row>
    <row r="841" spans="5:5">
      <c r="E841" s="405"/>
    </row>
    <row r="842" spans="5:5">
      <c r="E842" s="405"/>
    </row>
    <row r="843" spans="5:5">
      <c r="E843" s="405"/>
    </row>
    <row r="844" spans="5:5">
      <c r="E844" s="405"/>
    </row>
    <row r="845" spans="5:5">
      <c r="E845" s="405"/>
    </row>
    <row r="846" spans="5:5">
      <c r="E846" s="405"/>
    </row>
    <row r="847" spans="5:5">
      <c r="E847" s="405"/>
    </row>
    <row r="848" spans="5:5">
      <c r="E848" s="405"/>
    </row>
    <row r="849" spans="5:5">
      <c r="E849" s="405"/>
    </row>
    <row r="850" spans="5:5">
      <c r="E850" s="405"/>
    </row>
    <row r="851" spans="5:5">
      <c r="E851" s="405"/>
    </row>
    <row r="852" spans="5:5">
      <c r="E852" s="405"/>
    </row>
    <row r="853" spans="5:5">
      <c r="E853" s="405"/>
    </row>
    <row r="854" spans="5:5">
      <c r="E854" s="405"/>
    </row>
    <row r="855" spans="5:5">
      <c r="E855" s="405"/>
    </row>
    <row r="856" spans="5:5">
      <c r="E856" s="405"/>
    </row>
    <row r="857" spans="5:5">
      <c r="E857" s="405"/>
    </row>
    <row r="858" spans="5:5">
      <c r="E858" s="405"/>
    </row>
    <row r="859" spans="5:5">
      <c r="E859" s="405"/>
    </row>
    <row r="860" spans="5:5">
      <c r="E860" s="405"/>
    </row>
    <row r="861" spans="5:5">
      <c r="E861" s="405"/>
    </row>
    <row r="862" spans="5:5">
      <c r="E862" s="405"/>
    </row>
    <row r="863" spans="5:5">
      <c r="E863" s="405"/>
    </row>
    <row r="864" spans="5:5">
      <c r="E864" s="405"/>
    </row>
    <row r="865" spans="5:5">
      <c r="E865" s="405"/>
    </row>
    <row r="866" spans="5:5">
      <c r="E866" s="405"/>
    </row>
    <row r="867" spans="5:5">
      <c r="E867" s="405"/>
    </row>
    <row r="868" spans="5:5">
      <c r="E868" s="405"/>
    </row>
    <row r="869" spans="5:5">
      <c r="E869" s="405"/>
    </row>
    <row r="870" spans="5:5">
      <c r="E870" s="405"/>
    </row>
    <row r="871" spans="5:5">
      <c r="E871" s="405"/>
    </row>
    <row r="872" spans="5:5">
      <c r="E872" s="405"/>
    </row>
    <row r="873" spans="5:5">
      <c r="E873" s="405"/>
    </row>
    <row r="874" spans="5:5">
      <c r="E874" s="405"/>
    </row>
    <row r="875" spans="5:5">
      <c r="E875" s="405"/>
    </row>
    <row r="876" spans="5:5">
      <c r="E876" s="405"/>
    </row>
    <row r="877" spans="5:5">
      <c r="E877" s="405"/>
    </row>
    <row r="878" spans="5:5">
      <c r="E878" s="405"/>
    </row>
    <row r="879" spans="5:5">
      <c r="E879" s="405"/>
    </row>
    <row r="880" spans="5:5">
      <c r="E880" s="405"/>
    </row>
    <row r="881" spans="5:5">
      <c r="E881" s="405"/>
    </row>
    <row r="882" spans="5:5">
      <c r="E882" s="405"/>
    </row>
    <row r="883" spans="5:5">
      <c r="E883" s="405"/>
    </row>
    <row r="884" spans="5:5">
      <c r="E884" s="405"/>
    </row>
    <row r="885" spans="5:5">
      <c r="E885" s="405"/>
    </row>
    <row r="886" spans="5:5">
      <c r="E886" s="405"/>
    </row>
    <row r="887" spans="5:5">
      <c r="E887" s="405"/>
    </row>
    <row r="888" spans="5:5">
      <c r="E888" s="405"/>
    </row>
    <row r="889" spans="5:5">
      <c r="E889" s="405"/>
    </row>
    <row r="890" spans="5:5">
      <c r="E890" s="405"/>
    </row>
    <row r="891" spans="5:5">
      <c r="E891" s="405"/>
    </row>
    <row r="892" spans="5:5">
      <c r="E892" s="405"/>
    </row>
    <row r="893" spans="5:5">
      <c r="E893" s="405"/>
    </row>
    <row r="894" spans="5:5">
      <c r="E894" s="405"/>
    </row>
    <row r="895" spans="5:5">
      <c r="E895" s="405"/>
    </row>
    <row r="896" spans="5:5">
      <c r="E896" s="405"/>
    </row>
    <row r="897" spans="5:5">
      <c r="E897" s="405"/>
    </row>
    <row r="898" spans="5:5">
      <c r="E898" s="405"/>
    </row>
    <row r="899" spans="5:5">
      <c r="E899" s="405"/>
    </row>
    <row r="900" spans="5:5">
      <c r="E900" s="405"/>
    </row>
    <row r="901" spans="5:5">
      <c r="E901" s="405"/>
    </row>
    <row r="902" spans="5:5">
      <c r="E902" s="405"/>
    </row>
    <row r="903" spans="5:5">
      <c r="E903" s="405"/>
    </row>
    <row r="904" spans="5:5">
      <c r="E904" s="405"/>
    </row>
    <row r="905" spans="5:5">
      <c r="E905" s="405"/>
    </row>
    <row r="906" spans="5:5">
      <c r="E906" s="405"/>
    </row>
    <row r="907" spans="5:5">
      <c r="E907" s="405"/>
    </row>
    <row r="908" spans="5:5">
      <c r="E908" s="405"/>
    </row>
    <row r="909" spans="5:5">
      <c r="E909" s="405"/>
    </row>
    <row r="910" spans="5:5">
      <c r="E910" s="405"/>
    </row>
    <row r="911" spans="5:5">
      <c r="E911" s="405"/>
    </row>
    <row r="912" spans="5:5">
      <c r="E912" s="405"/>
    </row>
    <row r="913" spans="5:5">
      <c r="E913" s="405"/>
    </row>
    <row r="914" spans="5:5">
      <c r="E914" s="405"/>
    </row>
    <row r="915" spans="5:5">
      <c r="E915" s="405"/>
    </row>
    <row r="916" spans="5:5">
      <c r="E916" s="405"/>
    </row>
    <row r="917" spans="5:5">
      <c r="E917" s="405"/>
    </row>
    <row r="918" spans="5:5">
      <c r="E918" s="405"/>
    </row>
    <row r="919" spans="5:5">
      <c r="E919" s="405"/>
    </row>
    <row r="920" spans="5:5">
      <c r="E920" s="405"/>
    </row>
    <row r="921" spans="5:5">
      <c r="E921" s="405"/>
    </row>
    <row r="922" spans="5:5">
      <c r="E922" s="405"/>
    </row>
    <row r="923" spans="5:5">
      <c r="E923" s="405"/>
    </row>
    <row r="924" spans="5:5">
      <c r="E924" s="405"/>
    </row>
    <row r="925" spans="5:5">
      <c r="E925" s="405"/>
    </row>
    <row r="926" spans="5:5">
      <c r="E926" s="405"/>
    </row>
    <row r="927" spans="5:5">
      <c r="E927" s="405"/>
    </row>
    <row r="928" spans="5:5">
      <c r="E928" s="405"/>
    </row>
    <row r="929" spans="5:5">
      <c r="E929" s="405"/>
    </row>
    <row r="930" spans="5:5">
      <c r="E930" s="405"/>
    </row>
    <row r="931" spans="5:5">
      <c r="E931" s="405"/>
    </row>
    <row r="932" spans="5:5">
      <c r="E932" s="405"/>
    </row>
    <row r="933" spans="5:5">
      <c r="E933" s="405"/>
    </row>
    <row r="934" spans="5:5">
      <c r="E934" s="405"/>
    </row>
    <row r="935" spans="5:5">
      <c r="E935" s="405"/>
    </row>
    <row r="936" spans="5:5">
      <c r="E936" s="405"/>
    </row>
    <row r="937" spans="5:5">
      <c r="E937" s="405"/>
    </row>
    <row r="938" spans="5:5">
      <c r="E938" s="405"/>
    </row>
    <row r="939" spans="5:5">
      <c r="E939" s="405"/>
    </row>
    <row r="940" spans="5:5">
      <c r="E940" s="405"/>
    </row>
    <row r="941" spans="5:5">
      <c r="E941" s="405"/>
    </row>
    <row r="942" spans="5:5">
      <c r="E942" s="405"/>
    </row>
    <row r="943" spans="5:5">
      <c r="E943" s="405"/>
    </row>
    <row r="944" spans="5:5">
      <c r="E944" s="405"/>
    </row>
    <row r="945" spans="5:5">
      <c r="E945" s="405"/>
    </row>
    <row r="946" spans="5:5">
      <c r="E946" s="405"/>
    </row>
    <row r="947" spans="5:5">
      <c r="E947" s="405"/>
    </row>
    <row r="948" spans="5:5">
      <c r="E948" s="405"/>
    </row>
    <row r="949" spans="5:5">
      <c r="E949" s="405"/>
    </row>
    <row r="950" spans="5:5">
      <c r="E950" s="405"/>
    </row>
    <row r="951" spans="5:5">
      <c r="E951" s="405"/>
    </row>
    <row r="952" spans="5:5">
      <c r="E952" s="405"/>
    </row>
    <row r="953" spans="5:5">
      <c r="E953" s="405"/>
    </row>
    <row r="954" spans="5:5">
      <c r="E954" s="405"/>
    </row>
    <row r="955" spans="5:5">
      <c r="E955" s="405"/>
    </row>
    <row r="956" spans="5:5">
      <c r="E956" s="405"/>
    </row>
    <row r="957" spans="5:5">
      <c r="E957" s="405"/>
    </row>
    <row r="958" spans="5:5">
      <c r="E958" s="405"/>
    </row>
    <row r="959" spans="5:5">
      <c r="E959" s="405"/>
    </row>
    <row r="960" spans="5:5">
      <c r="E960" s="405"/>
    </row>
    <row r="961" spans="5:5">
      <c r="E961" s="405"/>
    </row>
    <row r="962" spans="5:5">
      <c r="E962" s="405"/>
    </row>
    <row r="963" spans="5:5">
      <c r="E963" s="405"/>
    </row>
    <row r="964" spans="5:5">
      <c r="E964" s="405"/>
    </row>
    <row r="965" spans="5:5">
      <c r="E965" s="405"/>
    </row>
    <row r="966" spans="5:5">
      <c r="E966" s="405"/>
    </row>
    <row r="967" spans="5:5">
      <c r="E967" s="405"/>
    </row>
    <row r="968" spans="5:5">
      <c r="E968" s="405"/>
    </row>
    <row r="969" spans="5:5">
      <c r="E969" s="405"/>
    </row>
    <row r="970" spans="5:5">
      <c r="E970" s="405"/>
    </row>
    <row r="971" spans="5:5">
      <c r="E971" s="405"/>
    </row>
    <row r="972" spans="5:5">
      <c r="E972" s="405"/>
    </row>
    <row r="973" spans="5:5">
      <c r="E973" s="405"/>
    </row>
    <row r="974" spans="5:5">
      <c r="E974" s="405"/>
    </row>
    <row r="975" spans="5:5">
      <c r="E975" s="405"/>
    </row>
    <row r="976" spans="5:5">
      <c r="E976" s="405"/>
    </row>
    <row r="977" spans="5:5">
      <c r="E977" s="405"/>
    </row>
    <row r="978" spans="5:5">
      <c r="E978" s="405"/>
    </row>
    <row r="979" spans="5:5">
      <c r="E979" s="405"/>
    </row>
    <row r="980" spans="5:5">
      <c r="E980" s="405"/>
    </row>
    <row r="981" spans="5:5">
      <c r="E981" s="405"/>
    </row>
    <row r="982" spans="5:5">
      <c r="E982" s="405"/>
    </row>
    <row r="983" spans="5:5">
      <c r="E983" s="405"/>
    </row>
    <row r="984" spans="5:5">
      <c r="E984" s="405"/>
    </row>
    <row r="985" spans="5:5">
      <c r="E985" s="405"/>
    </row>
    <row r="986" spans="5:5">
      <c r="E986" s="405"/>
    </row>
    <row r="987" spans="5:5">
      <c r="E987" s="405"/>
    </row>
    <row r="988" spans="5:5">
      <c r="E988" s="405"/>
    </row>
    <row r="989" spans="5:5">
      <c r="E989" s="405"/>
    </row>
    <row r="990" spans="5:5">
      <c r="E990" s="405"/>
    </row>
    <row r="991" spans="5:5">
      <c r="E991" s="405"/>
    </row>
    <row r="992" spans="5:5">
      <c r="E992" s="405"/>
    </row>
    <row r="993" spans="5:5">
      <c r="E993" s="405"/>
    </row>
    <row r="994" spans="5:5">
      <c r="E994" s="405"/>
    </row>
    <row r="995" spans="5:5">
      <c r="E995" s="405"/>
    </row>
    <row r="996" spans="5:5">
      <c r="E996" s="405"/>
    </row>
    <row r="997" spans="5:5">
      <c r="E997" s="405"/>
    </row>
    <row r="998" spans="5:5">
      <c r="E998" s="405"/>
    </row>
    <row r="999" spans="5:5">
      <c r="E999" s="405"/>
    </row>
    <row r="1000" spans="5:5">
      <c r="E1000" s="405"/>
    </row>
    <row r="1001" spans="5:5">
      <c r="E1001" s="405"/>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L1000"/>
  <sheetViews>
    <sheetView workbookViewId="0"/>
  </sheetViews>
  <sheetFormatPr defaultColWidth="12.5703125" defaultRowHeight="15" customHeight="1"/>
  <cols>
    <col min="2" max="2" width="17.140625" customWidth="1"/>
  </cols>
  <sheetData>
    <row r="1" spans="2:8" ht="24.75" customHeight="1">
      <c r="B1" s="412" t="s">
        <v>1364</v>
      </c>
      <c r="C1" s="413"/>
      <c r="E1" s="413" t="s">
        <v>1365</v>
      </c>
      <c r="F1" s="413"/>
      <c r="G1" s="409"/>
      <c r="H1" s="409"/>
    </row>
    <row r="2" spans="2:8" ht="15.75" customHeight="1">
      <c r="B2" s="414" t="s">
        <v>1366</v>
      </c>
      <c r="C2" s="415"/>
      <c r="E2" s="413" t="s">
        <v>39</v>
      </c>
      <c r="F2" s="413"/>
      <c r="G2" s="409"/>
      <c r="H2" s="409"/>
    </row>
    <row r="3" spans="2:8" ht="15.75" customHeight="1">
      <c r="B3" s="415" t="s">
        <v>1367</v>
      </c>
      <c r="C3" s="415"/>
      <c r="E3" s="413" t="s">
        <v>1368</v>
      </c>
      <c r="F3" s="413"/>
      <c r="G3" s="409"/>
      <c r="H3" s="409"/>
    </row>
    <row r="4" spans="2:8" ht="15.75" customHeight="1">
      <c r="B4" s="415" t="s">
        <v>1369</v>
      </c>
      <c r="C4" s="415"/>
    </row>
    <row r="5" spans="2:8" ht="15.75" customHeight="1"/>
    <row r="6" spans="2:8" ht="15.75" customHeight="1">
      <c r="B6" s="413" t="s">
        <v>104</v>
      </c>
      <c r="C6" s="413"/>
    </row>
    <row r="7" spans="2:8" ht="15.75" customHeight="1">
      <c r="B7" s="413" t="s">
        <v>40</v>
      </c>
      <c r="C7" s="413"/>
    </row>
    <row r="8" spans="2:8" ht="15.75" customHeight="1">
      <c r="B8" s="413" t="s">
        <v>627</v>
      </c>
      <c r="C8" s="413"/>
    </row>
    <row r="9" spans="2:8" ht="15.75" customHeight="1"/>
    <row r="10" spans="2:8" ht="15.75" customHeight="1">
      <c r="B10" s="413" t="s">
        <v>1370</v>
      </c>
      <c r="C10" s="415"/>
    </row>
    <row r="11" spans="2:8" ht="15.75" customHeight="1">
      <c r="B11" s="413" t="s">
        <v>41</v>
      </c>
      <c r="C11" s="415"/>
    </row>
    <row r="12" spans="2:8" ht="15.75" customHeight="1">
      <c r="B12" s="413" t="s">
        <v>79</v>
      </c>
      <c r="C12" s="415"/>
    </row>
    <row r="13" spans="2:8" ht="15.75" customHeight="1">
      <c r="B13" s="413" t="s">
        <v>1371</v>
      </c>
      <c r="C13" s="413"/>
    </row>
    <row r="14" spans="2:8" ht="15.75" customHeight="1">
      <c r="B14" s="413" t="s">
        <v>1372</v>
      </c>
      <c r="C14" s="413"/>
    </row>
    <row r="15" spans="2:8" ht="15.75" customHeight="1">
      <c r="B15" s="413" t="s">
        <v>1373</v>
      </c>
      <c r="C15" s="413"/>
    </row>
    <row r="16" spans="2:8" ht="15.75" customHeight="1">
      <c r="B16" s="413" t="s">
        <v>1374</v>
      </c>
      <c r="C16" s="413"/>
    </row>
    <row r="17" spans="2:8" ht="15.75" customHeight="1">
      <c r="B17" s="413" t="s">
        <v>1375</v>
      </c>
      <c r="C17" s="413"/>
      <c r="E17" s="409"/>
    </row>
    <row r="18" spans="2:8" ht="15.75" customHeight="1"/>
    <row r="19" spans="2:8" ht="15.75" customHeight="1"/>
    <row r="20" spans="2:8" ht="15.75" customHeight="1"/>
    <row r="21" spans="2:8" ht="39.75" customHeight="1">
      <c r="B21" s="413" t="s">
        <v>1376</v>
      </c>
      <c r="C21" s="416" t="s">
        <v>1377</v>
      </c>
      <c r="D21" s="417" t="s">
        <v>1378</v>
      </c>
      <c r="E21" s="409"/>
      <c r="F21" s="409"/>
      <c r="G21" s="409"/>
    </row>
    <row r="22" spans="2:8" ht="15.75" customHeight="1">
      <c r="B22" s="413" t="s">
        <v>1379</v>
      </c>
      <c r="C22" s="413">
        <v>1</v>
      </c>
      <c r="D22" s="418"/>
    </row>
    <row r="23" spans="2:8" ht="15.75" customHeight="1">
      <c r="B23" s="413" t="s">
        <v>772</v>
      </c>
      <c r="C23" s="413">
        <v>2</v>
      </c>
      <c r="D23" s="418"/>
    </row>
    <row r="24" spans="2:8" ht="15.75" customHeight="1">
      <c r="B24" s="413" t="s">
        <v>80</v>
      </c>
      <c r="C24" s="413">
        <v>35</v>
      </c>
      <c r="D24" s="418"/>
    </row>
    <row r="25" spans="2:8" ht="15.75" customHeight="1">
      <c r="B25" s="413" t="s">
        <v>1034</v>
      </c>
      <c r="C25" s="413">
        <v>7</v>
      </c>
      <c r="D25" s="418"/>
    </row>
    <row r="26" spans="2:8" ht="15.75" customHeight="1">
      <c r="B26" s="413" t="s">
        <v>1091</v>
      </c>
      <c r="C26" s="413">
        <v>2</v>
      </c>
      <c r="D26" s="418"/>
    </row>
    <row r="27" spans="2:8" ht="15.75" customHeight="1">
      <c r="B27" s="413" t="s">
        <v>1380</v>
      </c>
      <c r="C27" s="413">
        <v>19</v>
      </c>
      <c r="D27" s="418"/>
    </row>
    <row r="28" spans="2:8" ht="15.75" customHeight="1"/>
    <row r="29" spans="2:8" ht="15.75" customHeight="1"/>
    <row r="30" spans="2:8" ht="15.75" customHeight="1">
      <c r="B30" s="419" t="s">
        <v>1381</v>
      </c>
      <c r="C30" s="409">
        <v>53</v>
      </c>
      <c r="D30" s="420">
        <v>1</v>
      </c>
      <c r="E30" s="419" t="s">
        <v>1382</v>
      </c>
      <c r="F30" s="419">
        <v>66</v>
      </c>
      <c r="G30" s="420"/>
      <c r="H30" s="420">
        <v>1</v>
      </c>
    </row>
    <row r="31" spans="2:8" ht="15.75" customHeight="1">
      <c r="B31" s="419" t="s">
        <v>1383</v>
      </c>
      <c r="C31" s="409">
        <v>37</v>
      </c>
      <c r="D31" s="420">
        <v>0.70499999999999996</v>
      </c>
      <c r="E31" s="419" t="s">
        <v>1384</v>
      </c>
      <c r="F31" s="419">
        <v>53</v>
      </c>
      <c r="G31" s="421"/>
      <c r="H31" s="421">
        <v>0.81499999999999995</v>
      </c>
    </row>
    <row r="32" spans="2:8" ht="15.75" customHeight="1">
      <c r="B32" s="419" t="s">
        <v>1385</v>
      </c>
      <c r="C32" s="409">
        <v>14</v>
      </c>
      <c r="D32" s="422">
        <v>0.39</v>
      </c>
      <c r="E32" s="419" t="s">
        <v>1002</v>
      </c>
      <c r="F32" s="419">
        <v>5</v>
      </c>
      <c r="G32" s="422"/>
      <c r="H32" s="422">
        <v>0.08</v>
      </c>
    </row>
    <row r="33" spans="2:8" ht="15.75" customHeight="1">
      <c r="B33" s="419" t="s">
        <v>1386</v>
      </c>
      <c r="C33" s="409">
        <v>1</v>
      </c>
      <c r="D33" s="420">
        <v>7.0999999999999994E-2</v>
      </c>
      <c r="E33" s="419" t="s">
        <v>1387</v>
      </c>
      <c r="F33" s="419">
        <v>6</v>
      </c>
      <c r="G33" s="422"/>
      <c r="H33" s="422">
        <v>0.08</v>
      </c>
    </row>
    <row r="34" spans="2:8" ht="15.75" customHeight="1">
      <c r="B34" s="419" t="s">
        <v>1388</v>
      </c>
      <c r="C34" s="409">
        <v>2</v>
      </c>
      <c r="D34" s="422">
        <v>0.04</v>
      </c>
      <c r="E34" s="419" t="s">
        <v>1389</v>
      </c>
      <c r="F34" s="419">
        <v>2</v>
      </c>
      <c r="G34" s="422"/>
      <c r="H34" s="422">
        <v>0.04</v>
      </c>
    </row>
    <row r="35" spans="2:8" ht="15.75" customHeight="1">
      <c r="B35" s="419" t="s">
        <v>1002</v>
      </c>
      <c r="C35" s="409">
        <v>5</v>
      </c>
      <c r="G35" s="419"/>
      <c r="H35" s="419"/>
    </row>
    <row r="36" spans="2:8" ht="15.75" customHeight="1">
      <c r="B36" s="419" t="s">
        <v>1387</v>
      </c>
      <c r="C36" s="409">
        <v>5</v>
      </c>
      <c r="G36" s="419"/>
      <c r="H36" s="419"/>
    </row>
    <row r="37" spans="2:8" ht="15.75" customHeight="1">
      <c r="B37" s="419" t="s">
        <v>1389</v>
      </c>
      <c r="C37" s="409">
        <v>2</v>
      </c>
      <c r="G37" s="419"/>
      <c r="H37" s="419"/>
    </row>
    <row r="38" spans="2:8" ht="15.75" customHeight="1"/>
    <row r="39" spans="2:8" ht="15.75" customHeight="1"/>
    <row r="40" spans="2:8" ht="15.75" customHeight="1"/>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spans="10:12" ht="15.75" customHeight="1">
      <c r="J49" s="419" t="s">
        <v>1381</v>
      </c>
      <c r="K49" s="419">
        <v>51</v>
      </c>
      <c r="L49" s="422">
        <v>0.85</v>
      </c>
    </row>
    <row r="50" spans="10:12" ht="15.75" customHeight="1">
      <c r="J50" s="419" t="s">
        <v>1002</v>
      </c>
      <c r="K50" s="419">
        <v>6</v>
      </c>
      <c r="L50" s="420"/>
    </row>
    <row r="51" spans="10:12" ht="15.75" customHeight="1">
      <c r="J51" s="419" t="s">
        <v>1387</v>
      </c>
      <c r="K51" s="419">
        <v>5</v>
      </c>
      <c r="L51" s="422"/>
    </row>
    <row r="52" spans="10:12" ht="15.75" customHeight="1">
      <c r="J52" s="419" t="s">
        <v>99</v>
      </c>
      <c r="K52" s="419">
        <v>2</v>
      </c>
      <c r="L52" s="420"/>
    </row>
    <row r="53" spans="10:12" ht="15.75" customHeight="1">
      <c r="J53" s="419"/>
      <c r="K53" s="419"/>
      <c r="L53" s="422"/>
    </row>
    <row r="54" spans="10:12" ht="15.75" customHeight="1">
      <c r="L54" s="419"/>
    </row>
    <row r="55" spans="10:12" ht="15.75" customHeight="1">
      <c r="L55" s="419"/>
    </row>
    <row r="56" spans="10:12" ht="15.75" customHeight="1">
      <c r="L56" s="419"/>
    </row>
    <row r="57" spans="10:12" ht="15.75" customHeight="1"/>
    <row r="58" spans="10:12" ht="15.75" customHeight="1"/>
    <row r="59" spans="10:12" ht="15.75" customHeight="1"/>
    <row r="60" spans="10:12" ht="15.75" customHeight="1"/>
    <row r="61" spans="10:12" ht="15.75" customHeight="1"/>
    <row r="62" spans="10:12" ht="15.75" customHeight="1"/>
    <row r="63" spans="10:12" ht="15.75" customHeight="1"/>
    <row r="64" spans="10: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499999996" bottom="0.78740157499999996"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G999"/>
  <sheetViews>
    <sheetView workbookViewId="0"/>
  </sheetViews>
  <sheetFormatPr defaultColWidth="12.5703125" defaultRowHeight="15" customHeight="1"/>
  <cols>
    <col min="1" max="1" width="33.28515625" customWidth="1"/>
    <col min="2" max="5" width="21.28515625" customWidth="1"/>
    <col min="6" max="8" width="17.5703125" customWidth="1"/>
  </cols>
  <sheetData>
    <row r="1" spans="1:33">
      <c r="A1" s="423" t="s">
        <v>1390</v>
      </c>
      <c r="B1" s="423" t="s">
        <v>1245</v>
      </c>
      <c r="C1" s="423" t="s">
        <v>1246</v>
      </c>
      <c r="D1" s="423" t="s">
        <v>1247</v>
      </c>
      <c r="E1" s="423" t="s">
        <v>1248</v>
      </c>
      <c r="F1" s="423" t="s">
        <v>1391</v>
      </c>
      <c r="G1" s="423" t="s">
        <v>1250</v>
      </c>
      <c r="H1" s="423" t="s">
        <v>1251</v>
      </c>
      <c r="I1" s="423" t="s">
        <v>1392</v>
      </c>
      <c r="J1" s="423" t="s">
        <v>1253</v>
      </c>
      <c r="K1" s="423" t="s">
        <v>1255</v>
      </c>
      <c r="L1" s="468" t="s">
        <v>1256</v>
      </c>
      <c r="M1" s="459"/>
      <c r="N1" s="459"/>
    </row>
    <row r="2" spans="1:33" ht="53.25" customHeight="1">
      <c r="A2" s="399" t="s">
        <v>1393</v>
      </c>
      <c r="B2" s="399" t="s">
        <v>1394</v>
      </c>
      <c r="C2" s="399" t="s">
        <v>79</v>
      </c>
      <c r="D2" s="399" t="s">
        <v>104</v>
      </c>
      <c r="E2" s="399" t="s">
        <v>1395</v>
      </c>
      <c r="F2" s="399" t="s">
        <v>105</v>
      </c>
      <c r="G2" s="399" t="s">
        <v>1396</v>
      </c>
      <c r="H2" s="399"/>
      <c r="I2" s="399">
        <v>6</v>
      </c>
      <c r="J2" s="399"/>
      <c r="K2" s="399"/>
      <c r="L2" s="416"/>
      <c r="M2" s="459"/>
      <c r="N2" s="459"/>
    </row>
    <row r="3" spans="1:33" ht="53.25" customHeight="1">
      <c r="A3" s="399" t="s">
        <v>1397</v>
      </c>
      <c r="B3" s="399" t="s">
        <v>1398</v>
      </c>
      <c r="C3" s="399" t="s">
        <v>79</v>
      </c>
      <c r="D3" s="399" t="s">
        <v>1399</v>
      </c>
      <c r="E3" s="399"/>
      <c r="F3" s="399" t="s">
        <v>1400</v>
      </c>
      <c r="G3" s="399" t="s">
        <v>627</v>
      </c>
      <c r="H3" s="399"/>
      <c r="I3" s="399">
        <v>5</v>
      </c>
      <c r="J3" s="424"/>
      <c r="K3" s="424">
        <v>45505</v>
      </c>
      <c r="L3" s="416"/>
      <c r="M3" s="459"/>
      <c r="N3" s="459"/>
    </row>
    <row r="4" spans="1:33" ht="53.25" customHeight="1">
      <c r="A4" s="399" t="s">
        <v>1401</v>
      </c>
      <c r="B4" s="399" t="s">
        <v>1402</v>
      </c>
      <c r="C4" s="399" t="s">
        <v>1403</v>
      </c>
      <c r="D4" s="399" t="s">
        <v>1399</v>
      </c>
      <c r="E4" s="399"/>
      <c r="F4" s="399" t="s">
        <v>1404</v>
      </c>
      <c r="G4" s="399" t="s">
        <v>1405</v>
      </c>
      <c r="H4" s="399"/>
      <c r="I4" s="399"/>
      <c r="J4" s="399"/>
      <c r="K4" s="399" t="s">
        <v>1406</v>
      </c>
      <c r="L4" s="416"/>
      <c r="M4" s="459"/>
      <c r="N4" s="459"/>
    </row>
    <row r="5" spans="1:33" ht="53.25" customHeight="1">
      <c r="A5" s="399" t="s">
        <v>1407</v>
      </c>
      <c r="B5" s="399" t="s">
        <v>1408</v>
      </c>
      <c r="C5" s="399" t="s">
        <v>1409</v>
      </c>
      <c r="D5" s="399" t="s">
        <v>1399</v>
      </c>
      <c r="E5" s="399"/>
      <c r="F5" s="399" t="s">
        <v>1045</v>
      </c>
      <c r="G5" s="399" t="s">
        <v>1045</v>
      </c>
      <c r="H5" s="399"/>
      <c r="I5" s="399" t="s">
        <v>1410</v>
      </c>
      <c r="J5" s="399"/>
      <c r="K5" s="399" t="s">
        <v>1411</v>
      </c>
      <c r="L5" s="416"/>
      <c r="M5" s="459"/>
      <c r="N5" s="459"/>
    </row>
    <row r="6" spans="1:33" ht="53.25" customHeight="1">
      <c r="A6" s="425" t="s">
        <v>1412</v>
      </c>
      <c r="B6" s="399" t="s">
        <v>1413</v>
      </c>
      <c r="C6" s="399" t="s">
        <v>79</v>
      </c>
      <c r="D6" s="399" t="s">
        <v>1399</v>
      </c>
      <c r="E6" s="399"/>
      <c r="F6" s="399" t="s">
        <v>1414</v>
      </c>
      <c r="G6" s="399"/>
      <c r="H6" s="399"/>
      <c r="I6" s="399" t="s">
        <v>1415</v>
      </c>
      <c r="J6" s="399"/>
      <c r="K6" s="399"/>
      <c r="L6" s="416"/>
      <c r="M6" s="459"/>
      <c r="N6" s="459"/>
    </row>
    <row r="7" spans="1:33">
      <c r="A7" s="426" t="s">
        <v>1416</v>
      </c>
      <c r="B7" s="399" t="s">
        <v>1417</v>
      </c>
      <c r="C7" s="399" t="s">
        <v>225</v>
      </c>
      <c r="D7" s="399" t="s">
        <v>40</v>
      </c>
      <c r="E7" s="399"/>
      <c r="F7" s="399" t="s">
        <v>1418</v>
      </c>
      <c r="G7" s="399" t="s">
        <v>1419</v>
      </c>
      <c r="H7" s="427">
        <v>45537</v>
      </c>
      <c r="I7" s="399">
        <v>4</v>
      </c>
      <c r="J7" s="399" t="s">
        <v>1420</v>
      </c>
      <c r="K7" s="399" t="s">
        <v>1421</v>
      </c>
      <c r="L7" s="416" t="s">
        <v>1422</v>
      </c>
      <c r="M7" s="416"/>
      <c r="N7" s="416"/>
      <c r="O7" s="413"/>
      <c r="P7" s="413"/>
      <c r="Q7" s="413"/>
      <c r="R7" s="413"/>
      <c r="S7" s="413"/>
      <c r="T7" s="413"/>
      <c r="U7" s="413"/>
      <c r="V7" s="413"/>
      <c r="W7" s="413"/>
      <c r="X7" s="413"/>
      <c r="Y7" s="413"/>
      <c r="Z7" s="413"/>
      <c r="AA7" s="413"/>
      <c r="AB7" s="413"/>
      <c r="AC7" s="413"/>
      <c r="AD7" s="413"/>
      <c r="AE7" s="413"/>
      <c r="AF7" s="413"/>
      <c r="AG7" s="413"/>
    </row>
    <row r="8" spans="1:33">
      <c r="A8" s="416" t="s">
        <v>1423</v>
      </c>
      <c r="B8" s="416" t="s">
        <v>1424</v>
      </c>
      <c r="C8" s="416" t="s">
        <v>1425</v>
      </c>
      <c r="D8" s="416" t="s">
        <v>40</v>
      </c>
      <c r="E8" s="416"/>
      <c r="F8" s="416"/>
      <c r="G8" s="416"/>
      <c r="H8" s="416"/>
      <c r="I8" s="416">
        <v>1</v>
      </c>
      <c r="J8" s="416"/>
      <c r="K8" s="416"/>
      <c r="L8" s="416"/>
      <c r="M8" s="416"/>
      <c r="N8" s="416"/>
      <c r="O8" s="413"/>
      <c r="P8" s="413"/>
      <c r="Q8" s="413"/>
      <c r="R8" s="413"/>
      <c r="S8" s="413"/>
      <c r="T8" s="413"/>
      <c r="U8" s="413"/>
      <c r="V8" s="413"/>
      <c r="W8" s="413"/>
      <c r="X8" s="413"/>
      <c r="Y8" s="413"/>
      <c r="Z8" s="413"/>
      <c r="AA8" s="413"/>
      <c r="AB8" s="413"/>
      <c r="AC8" s="413"/>
      <c r="AD8" s="413"/>
      <c r="AE8" s="413"/>
      <c r="AF8" s="413"/>
      <c r="AG8" s="413"/>
    </row>
    <row r="9" spans="1:33">
      <c r="A9" s="416" t="s">
        <v>1426</v>
      </c>
      <c r="B9" s="86" t="s">
        <v>1427</v>
      </c>
      <c r="C9" s="416" t="s">
        <v>79</v>
      </c>
      <c r="D9" s="416" t="s">
        <v>104</v>
      </c>
      <c r="E9" s="416" t="s">
        <v>1428</v>
      </c>
      <c r="F9" s="416" t="s">
        <v>1429</v>
      </c>
      <c r="G9" s="416" t="s">
        <v>1430</v>
      </c>
      <c r="H9" s="416"/>
      <c r="I9" s="416" t="s">
        <v>1431</v>
      </c>
      <c r="J9" s="416" t="s">
        <v>1432</v>
      </c>
      <c r="K9" s="416" t="s">
        <v>1433</v>
      </c>
      <c r="L9" s="416" t="s">
        <v>1434</v>
      </c>
      <c r="M9" s="416"/>
      <c r="N9" s="416"/>
      <c r="O9" s="413"/>
      <c r="P9" s="413"/>
      <c r="Q9" s="413"/>
      <c r="R9" s="413"/>
      <c r="S9" s="413"/>
      <c r="T9" s="413"/>
      <c r="U9" s="413"/>
      <c r="V9" s="413"/>
      <c r="W9" s="413"/>
      <c r="X9" s="413"/>
      <c r="Y9" s="413"/>
      <c r="Z9" s="413"/>
      <c r="AA9" s="413"/>
      <c r="AB9" s="413"/>
      <c r="AC9" s="413"/>
      <c r="AD9" s="413"/>
      <c r="AE9" s="413"/>
      <c r="AF9" s="413"/>
      <c r="AG9" s="413"/>
    </row>
    <row r="10" spans="1:33">
      <c r="A10" s="416" t="s">
        <v>1435</v>
      </c>
      <c r="B10" s="416"/>
      <c r="C10" s="416" t="s">
        <v>79</v>
      </c>
      <c r="D10" s="416" t="s">
        <v>1436</v>
      </c>
      <c r="E10" s="416" t="s">
        <v>1437</v>
      </c>
      <c r="F10" s="416" t="s">
        <v>1438</v>
      </c>
      <c r="G10" s="416"/>
      <c r="H10" s="416"/>
      <c r="I10" s="416">
        <v>2</v>
      </c>
      <c r="J10" s="416"/>
      <c r="K10" s="416"/>
      <c r="L10" s="416"/>
      <c r="M10" s="416"/>
      <c r="N10" s="416"/>
      <c r="O10" s="413"/>
      <c r="P10" s="413"/>
      <c r="Q10" s="413"/>
      <c r="R10" s="413"/>
      <c r="S10" s="413"/>
      <c r="T10" s="413"/>
      <c r="U10" s="413"/>
      <c r="V10" s="413"/>
      <c r="W10" s="413"/>
      <c r="X10" s="413"/>
      <c r="Y10" s="413"/>
      <c r="Z10" s="413"/>
      <c r="AA10" s="413"/>
      <c r="AB10" s="413"/>
      <c r="AC10" s="413"/>
      <c r="AD10" s="413"/>
      <c r="AE10" s="413"/>
      <c r="AF10" s="413"/>
      <c r="AG10" s="413"/>
    </row>
    <row r="11" spans="1:33">
      <c r="A11" s="416" t="s">
        <v>1439</v>
      </c>
      <c r="B11" s="416" t="s">
        <v>1440</v>
      </c>
      <c r="C11" s="416" t="s">
        <v>79</v>
      </c>
      <c r="D11" s="416" t="s">
        <v>40</v>
      </c>
      <c r="E11" s="459" t="s">
        <v>1441</v>
      </c>
      <c r="F11" s="428" t="s">
        <v>1442</v>
      </c>
      <c r="G11" s="428" t="s">
        <v>1442</v>
      </c>
      <c r="H11" s="416" t="s">
        <v>1443</v>
      </c>
      <c r="I11" s="416">
        <v>1</v>
      </c>
      <c r="J11" s="416" t="s">
        <v>1444</v>
      </c>
      <c r="K11" s="469">
        <v>45627</v>
      </c>
      <c r="L11" s="416"/>
      <c r="M11" s="416" t="s">
        <v>1445</v>
      </c>
      <c r="N11" s="416"/>
      <c r="O11" s="416"/>
      <c r="P11" s="416"/>
      <c r="Q11" s="416"/>
      <c r="R11" s="416"/>
      <c r="S11" s="416"/>
      <c r="T11" s="416"/>
      <c r="U11" s="416"/>
      <c r="V11" s="416"/>
      <c r="W11" s="416"/>
      <c r="X11" s="416"/>
      <c r="Y11" s="416"/>
      <c r="Z11" s="416"/>
      <c r="AA11" s="416"/>
      <c r="AB11" s="416"/>
      <c r="AC11" s="416"/>
      <c r="AD11" s="416"/>
      <c r="AE11" s="416"/>
      <c r="AF11" s="416"/>
      <c r="AG11" s="416"/>
    </row>
    <row r="12" spans="1:33">
      <c r="A12" s="459"/>
      <c r="B12" s="459"/>
      <c r="C12" s="459"/>
      <c r="D12" s="459"/>
      <c r="E12" s="459"/>
      <c r="F12" s="459"/>
      <c r="G12" s="459"/>
      <c r="H12" s="459"/>
      <c r="I12" s="459"/>
      <c r="J12" s="459"/>
      <c r="K12" s="459"/>
      <c r="L12" s="416"/>
      <c r="M12" s="459"/>
      <c r="N12" s="459"/>
    </row>
    <row r="13" spans="1:33">
      <c r="A13" s="459"/>
      <c r="B13" s="459"/>
      <c r="C13" s="459"/>
      <c r="D13" s="459"/>
      <c r="E13" s="459"/>
      <c r="F13" s="459"/>
      <c r="G13" s="459"/>
      <c r="H13" s="459"/>
      <c r="I13" s="459"/>
      <c r="J13" s="459"/>
      <c r="K13" s="459"/>
      <c r="L13" s="416"/>
      <c r="M13" s="459"/>
      <c r="N13" s="459"/>
    </row>
    <row r="14" spans="1:33">
      <c r="A14" s="459"/>
      <c r="B14" s="459"/>
      <c r="C14" s="459"/>
      <c r="D14" s="459"/>
      <c r="E14" s="459"/>
      <c r="F14" s="459"/>
      <c r="G14" s="459"/>
      <c r="H14" s="459"/>
      <c r="I14" s="459"/>
      <c r="J14" s="459"/>
      <c r="K14" s="459"/>
      <c r="L14" s="416"/>
      <c r="M14" s="459"/>
      <c r="N14" s="459"/>
    </row>
    <row r="15" spans="1:33">
      <c r="A15" s="459"/>
      <c r="B15" s="459"/>
      <c r="C15" s="459"/>
      <c r="D15" s="459"/>
      <c r="E15" s="459"/>
      <c r="F15" s="459"/>
      <c r="G15" s="459"/>
      <c r="H15" s="459"/>
      <c r="I15" s="459"/>
      <c r="J15" s="459"/>
      <c r="K15" s="459"/>
      <c r="L15" s="416"/>
      <c r="M15" s="459"/>
      <c r="N15" s="459"/>
    </row>
    <row r="16" spans="1:33">
      <c r="A16" s="459"/>
      <c r="B16" s="459"/>
      <c r="C16" s="459"/>
      <c r="D16" s="459"/>
      <c r="E16" s="459"/>
      <c r="F16" s="459"/>
      <c r="G16" s="459"/>
      <c r="H16" s="459"/>
      <c r="I16" s="459"/>
      <c r="J16" s="459"/>
      <c r="K16" s="459"/>
      <c r="L16" s="416"/>
      <c r="M16" s="459"/>
      <c r="N16" s="459"/>
    </row>
    <row r="17" spans="1:14">
      <c r="A17" s="459"/>
      <c r="B17" s="459"/>
      <c r="C17" s="459"/>
      <c r="D17" s="459"/>
      <c r="E17" s="459"/>
      <c r="F17" s="459"/>
      <c r="G17" s="459"/>
      <c r="H17" s="459"/>
      <c r="I17" s="459"/>
      <c r="J17" s="459"/>
      <c r="K17" s="459"/>
      <c r="L17" s="416"/>
      <c r="M17" s="459"/>
      <c r="N17" s="459"/>
    </row>
    <row r="18" spans="1:14">
      <c r="A18" s="459"/>
      <c r="B18" s="459"/>
      <c r="C18" s="459"/>
      <c r="D18" s="459"/>
      <c r="E18" s="459"/>
      <c r="F18" s="459"/>
      <c r="G18" s="459"/>
      <c r="H18" s="459"/>
      <c r="I18" s="459"/>
      <c r="J18" s="459"/>
      <c r="K18" s="459"/>
      <c r="L18" s="416"/>
      <c r="M18" s="459"/>
      <c r="N18" s="459"/>
    </row>
    <row r="19" spans="1:14">
      <c r="A19" s="459"/>
      <c r="B19" s="459"/>
      <c r="C19" s="459"/>
      <c r="D19" s="459"/>
      <c r="E19" s="459"/>
      <c r="F19" s="459"/>
      <c r="G19" s="459"/>
      <c r="H19" s="459"/>
      <c r="I19" s="459"/>
      <c r="J19" s="459"/>
      <c r="K19" s="459"/>
      <c r="L19" s="416"/>
      <c r="M19" s="459"/>
      <c r="N19" s="459"/>
    </row>
    <row r="20" spans="1:14">
      <c r="A20" s="459"/>
      <c r="B20" s="459"/>
      <c r="C20" s="459"/>
      <c r="D20" s="459"/>
      <c r="E20" s="459"/>
      <c r="F20" s="459"/>
      <c r="G20" s="459"/>
      <c r="H20" s="459"/>
      <c r="I20" s="459"/>
      <c r="J20" s="459"/>
      <c r="K20" s="459"/>
      <c r="L20" s="416"/>
      <c r="M20" s="459"/>
      <c r="N20" s="459"/>
    </row>
    <row r="21" spans="1:14">
      <c r="A21" s="459"/>
      <c r="B21" s="459"/>
      <c r="C21" s="459"/>
      <c r="D21" s="459"/>
      <c r="E21" s="459"/>
      <c r="F21" s="459"/>
      <c r="G21" s="459"/>
      <c r="H21" s="459"/>
      <c r="I21" s="459"/>
      <c r="J21" s="459"/>
      <c r="K21" s="459"/>
      <c r="L21" s="416"/>
      <c r="M21" s="459"/>
      <c r="N21" s="459"/>
    </row>
    <row r="22" spans="1:14">
      <c r="A22" s="459"/>
      <c r="B22" s="459"/>
      <c r="C22" s="459"/>
      <c r="D22" s="459"/>
      <c r="E22" s="459"/>
      <c r="F22" s="459"/>
      <c r="G22" s="459"/>
      <c r="H22" s="459"/>
      <c r="I22" s="459"/>
      <c r="J22" s="459"/>
      <c r="K22" s="459"/>
      <c r="L22" s="416"/>
      <c r="M22" s="459"/>
      <c r="N22" s="459"/>
    </row>
    <row r="23" spans="1:14">
      <c r="A23" s="459"/>
      <c r="B23" s="459"/>
      <c r="C23" s="459"/>
      <c r="D23" s="459"/>
      <c r="E23" s="459"/>
      <c r="F23" s="459"/>
      <c r="G23" s="459"/>
      <c r="H23" s="459"/>
      <c r="I23" s="459"/>
      <c r="J23" s="459"/>
      <c r="K23" s="459"/>
      <c r="L23" s="416"/>
      <c r="M23" s="459"/>
      <c r="N23" s="459"/>
    </row>
    <row r="24" spans="1:14">
      <c r="A24" s="459"/>
      <c r="B24" s="459"/>
      <c r="C24" s="459"/>
      <c r="D24" s="459"/>
      <c r="E24" s="459"/>
      <c r="F24" s="459"/>
      <c r="G24" s="459"/>
      <c r="H24" s="459"/>
      <c r="I24" s="459"/>
      <c r="J24" s="459"/>
      <c r="K24" s="459"/>
      <c r="L24" s="416"/>
      <c r="M24" s="459"/>
      <c r="N24" s="459"/>
    </row>
    <row r="25" spans="1:14">
      <c r="A25" s="459"/>
      <c r="B25" s="459"/>
      <c r="C25" s="459"/>
      <c r="D25" s="459"/>
      <c r="E25" s="459"/>
      <c r="F25" s="459"/>
      <c r="G25" s="459"/>
      <c r="H25" s="459"/>
      <c r="I25" s="459"/>
      <c r="J25" s="459"/>
      <c r="K25" s="459"/>
      <c r="L25" s="416"/>
      <c r="M25" s="459"/>
      <c r="N25" s="459"/>
    </row>
    <row r="26" spans="1:14">
      <c r="A26" s="459"/>
      <c r="B26" s="459"/>
      <c r="C26" s="459"/>
      <c r="D26" s="459"/>
      <c r="E26" s="459"/>
      <c r="F26" s="459"/>
      <c r="G26" s="459"/>
      <c r="H26" s="459"/>
      <c r="I26" s="459"/>
      <c r="J26" s="459"/>
      <c r="K26" s="459"/>
      <c r="L26" s="416"/>
      <c r="M26" s="459"/>
      <c r="N26" s="459"/>
    </row>
    <row r="27" spans="1:14">
      <c r="A27" s="459"/>
      <c r="B27" s="459"/>
      <c r="C27" s="459"/>
      <c r="D27" s="459"/>
      <c r="E27" s="459"/>
      <c r="F27" s="459"/>
      <c r="G27" s="459"/>
      <c r="H27" s="459"/>
      <c r="I27" s="459"/>
      <c r="J27" s="459"/>
      <c r="K27" s="459"/>
      <c r="L27" s="416"/>
      <c r="M27" s="459"/>
      <c r="N27" s="459"/>
    </row>
    <row r="28" spans="1:14">
      <c r="A28" s="459"/>
      <c r="B28" s="459"/>
      <c r="C28" s="459"/>
      <c r="D28" s="459"/>
      <c r="E28" s="459"/>
      <c r="F28" s="459"/>
      <c r="G28" s="459"/>
      <c r="H28" s="459"/>
      <c r="I28" s="459"/>
      <c r="J28" s="459"/>
      <c r="K28" s="459"/>
      <c r="L28" s="416"/>
      <c r="M28" s="459"/>
      <c r="N28" s="459"/>
    </row>
    <row r="29" spans="1:14">
      <c r="A29" s="459"/>
      <c r="B29" s="459"/>
      <c r="C29" s="459"/>
      <c r="D29" s="459"/>
      <c r="E29" s="459"/>
      <c r="F29" s="459"/>
      <c r="G29" s="459"/>
      <c r="H29" s="459"/>
      <c r="I29" s="459"/>
      <c r="J29" s="459"/>
      <c r="K29" s="459"/>
      <c r="L29" s="416"/>
      <c r="M29" s="459"/>
      <c r="N29" s="459"/>
    </row>
    <row r="30" spans="1:14">
      <c r="A30" s="459"/>
      <c r="B30" s="459"/>
      <c r="C30" s="459"/>
      <c r="D30" s="459"/>
      <c r="E30" s="459"/>
      <c r="F30" s="459"/>
      <c r="G30" s="459"/>
      <c r="H30" s="459"/>
      <c r="I30" s="459"/>
      <c r="J30" s="459"/>
      <c r="K30" s="459"/>
      <c r="L30" s="416"/>
      <c r="M30" s="459"/>
      <c r="N30" s="459"/>
    </row>
    <row r="31" spans="1:14">
      <c r="A31" s="459"/>
      <c r="B31" s="459"/>
      <c r="C31" s="459"/>
      <c r="D31" s="459"/>
      <c r="E31" s="459"/>
      <c r="F31" s="459"/>
      <c r="G31" s="459"/>
      <c r="H31" s="459"/>
      <c r="I31" s="459"/>
      <c r="J31" s="459"/>
      <c r="K31" s="459"/>
      <c r="L31" s="416"/>
      <c r="M31" s="459"/>
      <c r="N31" s="459"/>
    </row>
    <row r="32" spans="1:14">
      <c r="A32" s="459"/>
      <c r="B32" s="459"/>
      <c r="C32" s="459"/>
      <c r="D32" s="459"/>
      <c r="E32" s="459"/>
      <c r="F32" s="459"/>
      <c r="G32" s="459"/>
      <c r="H32" s="459"/>
      <c r="I32" s="459"/>
      <c r="J32" s="459"/>
      <c r="K32" s="459"/>
      <c r="L32" s="416"/>
      <c r="M32" s="459"/>
      <c r="N32" s="459"/>
    </row>
    <row r="33" spans="1:14">
      <c r="A33" s="459"/>
      <c r="B33" s="459"/>
      <c r="C33" s="459"/>
      <c r="D33" s="459"/>
      <c r="E33" s="459"/>
      <c r="F33" s="459"/>
      <c r="G33" s="459"/>
      <c r="H33" s="459"/>
      <c r="I33" s="459"/>
      <c r="J33" s="459"/>
      <c r="K33" s="459"/>
      <c r="L33" s="416"/>
      <c r="M33" s="459"/>
      <c r="N33" s="459"/>
    </row>
    <row r="34" spans="1:14">
      <c r="A34" s="459"/>
      <c r="B34" s="459"/>
      <c r="C34" s="459"/>
      <c r="D34" s="459"/>
      <c r="E34" s="459"/>
      <c r="F34" s="459"/>
      <c r="G34" s="459"/>
      <c r="H34" s="459"/>
      <c r="I34" s="459"/>
      <c r="J34" s="459"/>
      <c r="K34" s="459"/>
      <c r="L34" s="416"/>
      <c r="M34" s="459"/>
      <c r="N34" s="459"/>
    </row>
    <row r="35" spans="1:14">
      <c r="A35" s="459"/>
      <c r="B35" s="459"/>
      <c r="C35" s="459"/>
      <c r="D35" s="459"/>
      <c r="E35" s="459"/>
      <c r="F35" s="459"/>
      <c r="G35" s="459"/>
      <c r="H35" s="459"/>
      <c r="I35" s="459"/>
      <c r="J35" s="459"/>
      <c r="K35" s="459"/>
      <c r="L35" s="416"/>
      <c r="M35" s="459"/>
      <c r="N35" s="459"/>
    </row>
    <row r="36" spans="1:14">
      <c r="A36" s="459"/>
      <c r="B36" s="459"/>
      <c r="C36" s="459"/>
      <c r="D36" s="459"/>
      <c r="E36" s="459"/>
      <c r="F36" s="459"/>
      <c r="G36" s="459"/>
      <c r="H36" s="459"/>
      <c r="I36" s="459"/>
      <c r="J36" s="459"/>
      <c r="K36" s="459"/>
      <c r="L36" s="416"/>
      <c r="M36" s="459"/>
      <c r="N36" s="459"/>
    </row>
    <row r="37" spans="1:14">
      <c r="A37" s="459"/>
      <c r="B37" s="459"/>
      <c r="C37" s="459"/>
      <c r="D37" s="459"/>
      <c r="E37" s="459"/>
      <c r="F37" s="459"/>
      <c r="G37" s="459"/>
      <c r="H37" s="459"/>
      <c r="I37" s="459"/>
      <c r="J37" s="459"/>
      <c r="K37" s="459"/>
      <c r="L37" s="416"/>
      <c r="M37" s="459"/>
      <c r="N37" s="459"/>
    </row>
    <row r="38" spans="1:14">
      <c r="A38" s="459"/>
      <c r="B38" s="459"/>
      <c r="C38" s="459"/>
      <c r="D38" s="459"/>
      <c r="E38" s="459"/>
      <c r="F38" s="459"/>
      <c r="G38" s="459"/>
      <c r="H38" s="459"/>
      <c r="I38" s="459"/>
      <c r="J38" s="459"/>
      <c r="K38" s="459"/>
      <c r="L38" s="416"/>
      <c r="M38" s="459"/>
      <c r="N38" s="459"/>
    </row>
    <row r="39" spans="1:14">
      <c r="A39" s="459"/>
      <c r="B39" s="459"/>
      <c r="C39" s="459"/>
      <c r="D39" s="459"/>
      <c r="E39" s="459"/>
      <c r="F39" s="459"/>
      <c r="G39" s="459"/>
      <c r="H39" s="459"/>
      <c r="I39" s="459"/>
      <c r="J39" s="459"/>
      <c r="K39" s="459"/>
      <c r="L39" s="416"/>
      <c r="M39" s="459"/>
      <c r="N39" s="459"/>
    </row>
    <row r="40" spans="1:14">
      <c r="A40" s="459"/>
      <c r="B40" s="459"/>
      <c r="C40" s="459"/>
      <c r="D40" s="459"/>
      <c r="E40" s="459"/>
      <c r="F40" s="459"/>
      <c r="G40" s="459"/>
      <c r="H40" s="459"/>
      <c r="I40" s="459"/>
      <c r="J40" s="459"/>
      <c r="K40" s="459"/>
      <c r="L40" s="416"/>
      <c r="M40" s="459"/>
      <c r="N40" s="459"/>
    </row>
    <row r="41" spans="1:14">
      <c r="A41" s="459"/>
      <c r="B41" s="459"/>
      <c r="C41" s="459"/>
      <c r="D41" s="459"/>
      <c r="E41" s="459"/>
      <c r="F41" s="459"/>
      <c r="G41" s="459"/>
      <c r="H41" s="459"/>
      <c r="I41" s="459"/>
      <c r="J41" s="459"/>
      <c r="K41" s="459"/>
      <c r="L41" s="416"/>
      <c r="M41" s="459"/>
      <c r="N41" s="459"/>
    </row>
    <row r="42" spans="1:14">
      <c r="A42" s="459"/>
      <c r="B42" s="459"/>
      <c r="C42" s="459"/>
      <c r="D42" s="459"/>
      <c r="E42" s="459"/>
      <c r="F42" s="459"/>
      <c r="G42" s="459"/>
      <c r="H42" s="459"/>
      <c r="I42" s="459"/>
      <c r="J42" s="459"/>
      <c r="K42" s="459"/>
      <c r="L42" s="416"/>
      <c r="M42" s="459"/>
      <c r="N42" s="459"/>
    </row>
    <row r="43" spans="1:14">
      <c r="A43" s="459"/>
      <c r="B43" s="459"/>
      <c r="C43" s="459"/>
      <c r="D43" s="459"/>
      <c r="E43" s="459"/>
      <c r="F43" s="459"/>
      <c r="G43" s="459"/>
      <c r="H43" s="459"/>
      <c r="I43" s="459"/>
      <c r="J43" s="459"/>
      <c r="K43" s="459"/>
      <c r="L43" s="416"/>
      <c r="M43" s="459"/>
      <c r="N43" s="459"/>
    </row>
    <row r="44" spans="1:14">
      <c r="A44" s="459"/>
      <c r="B44" s="459"/>
      <c r="C44" s="459"/>
      <c r="D44" s="459"/>
      <c r="E44" s="459"/>
      <c r="F44" s="459"/>
      <c r="G44" s="459"/>
      <c r="H44" s="459"/>
      <c r="I44" s="459"/>
      <c r="J44" s="459"/>
      <c r="K44" s="459"/>
      <c r="L44" s="416"/>
      <c r="M44" s="459"/>
      <c r="N44" s="459"/>
    </row>
    <row r="45" spans="1:14">
      <c r="A45" s="459"/>
      <c r="B45" s="459"/>
      <c r="C45" s="459"/>
      <c r="D45" s="459"/>
      <c r="E45" s="459"/>
      <c r="F45" s="459"/>
      <c r="G45" s="459"/>
      <c r="H45" s="459"/>
      <c r="I45" s="459"/>
      <c r="J45" s="459"/>
      <c r="K45" s="459"/>
      <c r="L45" s="416"/>
      <c r="M45" s="459"/>
      <c r="N45" s="459"/>
    </row>
    <row r="46" spans="1:14">
      <c r="A46" s="459"/>
      <c r="B46" s="459"/>
      <c r="C46" s="459"/>
      <c r="D46" s="459"/>
      <c r="E46" s="459"/>
      <c r="F46" s="459"/>
      <c r="G46" s="459"/>
      <c r="H46" s="459"/>
      <c r="I46" s="459"/>
      <c r="J46" s="459"/>
      <c r="K46" s="459"/>
      <c r="L46" s="416"/>
      <c r="M46" s="459"/>
      <c r="N46" s="459"/>
    </row>
    <row r="47" spans="1:14">
      <c r="A47" s="459"/>
      <c r="B47" s="459"/>
      <c r="C47" s="459"/>
      <c r="D47" s="459"/>
      <c r="E47" s="459"/>
      <c r="F47" s="459"/>
      <c r="G47" s="459"/>
      <c r="H47" s="459"/>
      <c r="I47" s="459"/>
      <c r="J47" s="459"/>
      <c r="K47" s="459"/>
      <c r="L47" s="416"/>
      <c r="M47" s="459"/>
      <c r="N47" s="459"/>
    </row>
    <row r="48" spans="1:14">
      <c r="A48" s="459"/>
      <c r="B48" s="459"/>
      <c r="C48" s="459"/>
      <c r="D48" s="459"/>
      <c r="E48" s="459"/>
      <c r="F48" s="459"/>
      <c r="G48" s="459"/>
      <c r="H48" s="459"/>
      <c r="I48" s="459"/>
      <c r="J48" s="459"/>
      <c r="K48" s="459"/>
      <c r="L48" s="416"/>
      <c r="M48" s="459"/>
      <c r="N48" s="459"/>
    </row>
    <row r="49" spans="1:14">
      <c r="A49" s="459"/>
      <c r="B49" s="459"/>
      <c r="C49" s="459"/>
      <c r="D49" s="459"/>
      <c r="E49" s="459"/>
      <c r="F49" s="459"/>
      <c r="G49" s="459"/>
      <c r="H49" s="459"/>
      <c r="I49" s="459"/>
      <c r="J49" s="459"/>
      <c r="K49" s="459"/>
      <c r="L49" s="416"/>
      <c r="M49" s="459"/>
      <c r="N49" s="459"/>
    </row>
    <row r="50" spans="1:14">
      <c r="A50" s="459"/>
      <c r="B50" s="459"/>
      <c r="C50" s="459"/>
      <c r="D50" s="459"/>
      <c r="E50" s="459"/>
      <c r="F50" s="459"/>
      <c r="G50" s="459"/>
      <c r="H50" s="459"/>
      <c r="I50" s="459"/>
      <c r="J50" s="459"/>
      <c r="K50" s="459"/>
      <c r="L50" s="416"/>
      <c r="M50" s="459"/>
      <c r="N50" s="459"/>
    </row>
    <row r="51" spans="1:14">
      <c r="A51" s="459"/>
      <c r="B51" s="459"/>
      <c r="C51" s="459"/>
      <c r="D51" s="459"/>
      <c r="E51" s="459"/>
      <c r="F51" s="459"/>
      <c r="G51" s="459"/>
      <c r="H51" s="459"/>
      <c r="I51" s="459"/>
      <c r="J51" s="459"/>
      <c r="K51" s="459"/>
      <c r="L51" s="416"/>
      <c r="M51" s="459"/>
      <c r="N51" s="459"/>
    </row>
    <row r="52" spans="1:14">
      <c r="A52" s="459"/>
      <c r="B52" s="459"/>
      <c r="C52" s="459"/>
      <c r="D52" s="459"/>
      <c r="E52" s="459"/>
      <c r="F52" s="459"/>
      <c r="G52" s="459"/>
      <c r="H52" s="459"/>
      <c r="I52" s="459"/>
      <c r="J52" s="459"/>
      <c r="K52" s="459"/>
      <c r="L52" s="416"/>
      <c r="M52" s="459"/>
      <c r="N52" s="459"/>
    </row>
    <row r="53" spans="1:14">
      <c r="A53" s="459"/>
      <c r="B53" s="459"/>
      <c r="C53" s="459"/>
      <c r="D53" s="459"/>
      <c r="E53" s="459"/>
      <c r="F53" s="459"/>
      <c r="G53" s="459"/>
      <c r="H53" s="459"/>
      <c r="I53" s="459"/>
      <c r="J53" s="459"/>
      <c r="K53" s="459"/>
      <c r="L53" s="416"/>
      <c r="M53" s="459"/>
      <c r="N53" s="459"/>
    </row>
    <row r="54" spans="1:14">
      <c r="A54" s="459"/>
      <c r="B54" s="459"/>
      <c r="C54" s="459"/>
      <c r="D54" s="459"/>
      <c r="E54" s="459"/>
      <c r="F54" s="459"/>
      <c r="G54" s="459"/>
      <c r="H54" s="459"/>
      <c r="I54" s="459"/>
      <c r="J54" s="459"/>
      <c r="K54" s="459"/>
      <c r="L54" s="416"/>
      <c r="M54" s="459"/>
      <c r="N54" s="459"/>
    </row>
    <row r="55" spans="1:14">
      <c r="A55" s="459"/>
      <c r="B55" s="459"/>
      <c r="C55" s="459"/>
      <c r="D55" s="459"/>
      <c r="E55" s="459"/>
      <c r="F55" s="459"/>
      <c r="G55" s="459"/>
      <c r="H55" s="459"/>
      <c r="I55" s="459"/>
      <c r="J55" s="459"/>
      <c r="K55" s="459"/>
      <c r="L55" s="416"/>
      <c r="M55" s="459"/>
      <c r="N55" s="459"/>
    </row>
    <row r="56" spans="1:14">
      <c r="A56" s="459"/>
      <c r="B56" s="459"/>
      <c r="C56" s="459"/>
      <c r="D56" s="459"/>
      <c r="E56" s="459"/>
      <c r="F56" s="459"/>
      <c r="G56" s="459"/>
      <c r="H56" s="459"/>
      <c r="I56" s="459"/>
      <c r="J56" s="459"/>
      <c r="K56" s="459"/>
      <c r="L56" s="416"/>
      <c r="M56" s="459"/>
      <c r="N56" s="459"/>
    </row>
    <row r="57" spans="1:14">
      <c r="A57" s="459"/>
      <c r="B57" s="459"/>
      <c r="C57" s="459"/>
      <c r="D57" s="459"/>
      <c r="E57" s="459"/>
      <c r="F57" s="459"/>
      <c r="G57" s="459"/>
      <c r="H57" s="459"/>
      <c r="I57" s="459"/>
      <c r="J57" s="459"/>
      <c r="K57" s="459"/>
      <c r="L57" s="416"/>
      <c r="M57" s="459"/>
      <c r="N57" s="459"/>
    </row>
    <row r="58" spans="1:14">
      <c r="A58" s="459"/>
      <c r="B58" s="459"/>
      <c r="C58" s="459"/>
      <c r="D58" s="459"/>
      <c r="E58" s="459"/>
      <c r="F58" s="459"/>
      <c r="G58" s="459"/>
      <c r="H58" s="459"/>
      <c r="I58" s="459"/>
      <c r="J58" s="459"/>
      <c r="K58" s="459"/>
      <c r="L58" s="416"/>
      <c r="M58" s="459"/>
      <c r="N58" s="459"/>
    </row>
    <row r="59" spans="1:14">
      <c r="A59" s="459"/>
      <c r="B59" s="459"/>
      <c r="C59" s="459"/>
      <c r="D59" s="459"/>
      <c r="E59" s="459"/>
      <c r="F59" s="459"/>
      <c r="G59" s="459"/>
      <c r="H59" s="459"/>
      <c r="I59" s="459"/>
      <c r="J59" s="459"/>
      <c r="K59" s="459"/>
      <c r="L59" s="416"/>
      <c r="M59" s="459"/>
      <c r="N59" s="459"/>
    </row>
    <row r="60" spans="1:14">
      <c r="A60" s="459"/>
      <c r="B60" s="459"/>
      <c r="C60" s="459"/>
      <c r="D60" s="459"/>
      <c r="E60" s="459"/>
      <c r="F60" s="459"/>
      <c r="G60" s="459"/>
      <c r="H60" s="459"/>
      <c r="I60" s="459"/>
      <c r="J60" s="459"/>
      <c r="K60" s="459"/>
      <c r="L60" s="416"/>
      <c r="M60" s="459"/>
      <c r="N60" s="459"/>
    </row>
    <row r="61" spans="1:14">
      <c r="A61" s="459"/>
      <c r="B61" s="459"/>
      <c r="C61" s="459"/>
      <c r="D61" s="459"/>
      <c r="E61" s="459"/>
      <c r="F61" s="459"/>
      <c r="G61" s="459"/>
      <c r="H61" s="459"/>
      <c r="I61" s="459"/>
      <c r="J61" s="459"/>
      <c r="K61" s="459"/>
      <c r="L61" s="416"/>
      <c r="M61" s="459"/>
      <c r="N61" s="459"/>
    </row>
    <row r="62" spans="1:14">
      <c r="A62" s="459"/>
      <c r="B62" s="459"/>
      <c r="C62" s="459"/>
      <c r="D62" s="459"/>
      <c r="E62" s="459"/>
      <c r="F62" s="459"/>
      <c r="G62" s="459"/>
      <c r="H62" s="459"/>
      <c r="I62" s="459"/>
      <c r="J62" s="459"/>
      <c r="K62" s="459"/>
      <c r="L62" s="416"/>
      <c r="M62" s="459"/>
      <c r="N62" s="459"/>
    </row>
    <row r="63" spans="1:14">
      <c r="A63" s="459"/>
      <c r="B63" s="459"/>
      <c r="C63" s="459"/>
      <c r="D63" s="459"/>
      <c r="E63" s="459"/>
      <c r="F63" s="459"/>
      <c r="G63" s="459"/>
      <c r="H63" s="459"/>
      <c r="I63" s="459"/>
      <c r="J63" s="459"/>
      <c r="K63" s="459"/>
      <c r="L63" s="416"/>
      <c r="M63" s="459"/>
      <c r="N63" s="459"/>
    </row>
    <row r="64" spans="1:14">
      <c r="A64" s="459"/>
      <c r="B64" s="459"/>
      <c r="C64" s="459"/>
      <c r="D64" s="459"/>
      <c r="E64" s="459"/>
      <c r="F64" s="459"/>
      <c r="G64" s="459"/>
      <c r="H64" s="459"/>
      <c r="I64" s="459"/>
      <c r="J64" s="459"/>
      <c r="K64" s="459"/>
      <c r="L64" s="416"/>
      <c r="M64" s="459"/>
      <c r="N64" s="459"/>
    </row>
    <row r="65" spans="1:14">
      <c r="A65" s="459"/>
      <c r="B65" s="459"/>
      <c r="C65" s="459"/>
      <c r="D65" s="459"/>
      <c r="E65" s="459"/>
      <c r="F65" s="459"/>
      <c r="G65" s="459"/>
      <c r="H65" s="459"/>
      <c r="I65" s="459"/>
      <c r="J65" s="459"/>
      <c r="K65" s="459"/>
      <c r="L65" s="416"/>
      <c r="M65" s="459"/>
      <c r="N65" s="459"/>
    </row>
    <row r="66" spans="1:14">
      <c r="A66" s="459"/>
      <c r="B66" s="459"/>
      <c r="C66" s="459"/>
      <c r="D66" s="459"/>
      <c r="E66" s="459"/>
      <c r="F66" s="459"/>
      <c r="G66" s="459"/>
      <c r="H66" s="459"/>
      <c r="I66" s="459"/>
      <c r="J66" s="459"/>
      <c r="K66" s="459"/>
      <c r="L66" s="416"/>
      <c r="M66" s="459"/>
      <c r="N66" s="459"/>
    </row>
    <row r="67" spans="1:14">
      <c r="A67" s="459"/>
      <c r="B67" s="459"/>
      <c r="C67" s="459"/>
      <c r="D67" s="459"/>
      <c r="E67" s="459"/>
      <c r="F67" s="459"/>
      <c r="G67" s="459"/>
      <c r="H67" s="459"/>
      <c r="I67" s="459"/>
      <c r="J67" s="459"/>
      <c r="K67" s="459"/>
      <c r="L67" s="416"/>
      <c r="M67" s="459"/>
      <c r="N67" s="459"/>
    </row>
    <row r="68" spans="1:14">
      <c r="A68" s="459"/>
      <c r="B68" s="459"/>
      <c r="C68" s="459"/>
      <c r="D68" s="459"/>
      <c r="E68" s="459"/>
      <c r="F68" s="459"/>
      <c r="G68" s="459"/>
      <c r="H68" s="459"/>
      <c r="I68" s="459"/>
      <c r="J68" s="459"/>
      <c r="K68" s="459"/>
      <c r="L68" s="416"/>
      <c r="M68" s="459"/>
      <c r="N68" s="459"/>
    </row>
    <row r="69" spans="1:14">
      <c r="A69" s="459"/>
      <c r="B69" s="459"/>
      <c r="C69" s="459"/>
      <c r="D69" s="459"/>
      <c r="E69" s="459"/>
      <c r="F69" s="459"/>
      <c r="G69" s="459"/>
      <c r="H69" s="459"/>
      <c r="I69" s="459"/>
      <c r="J69" s="459"/>
      <c r="K69" s="459"/>
      <c r="L69" s="416"/>
      <c r="M69" s="459"/>
      <c r="N69" s="459"/>
    </row>
    <row r="70" spans="1:14">
      <c r="A70" s="459"/>
      <c r="B70" s="459"/>
      <c r="C70" s="459"/>
      <c r="D70" s="459"/>
      <c r="E70" s="459"/>
      <c r="F70" s="459"/>
      <c r="G70" s="459"/>
      <c r="H70" s="459"/>
      <c r="I70" s="459"/>
      <c r="J70" s="459"/>
      <c r="K70" s="459"/>
      <c r="L70" s="416"/>
      <c r="M70" s="459"/>
      <c r="N70" s="459"/>
    </row>
    <row r="71" spans="1:14">
      <c r="A71" s="459"/>
      <c r="B71" s="459"/>
      <c r="C71" s="459"/>
      <c r="D71" s="459"/>
      <c r="E71" s="459"/>
      <c r="F71" s="459"/>
      <c r="G71" s="459"/>
      <c r="H71" s="459"/>
      <c r="I71" s="459"/>
      <c r="J71" s="459"/>
      <c r="K71" s="459"/>
      <c r="L71" s="416"/>
      <c r="M71" s="459"/>
      <c r="N71" s="459"/>
    </row>
    <row r="72" spans="1:14">
      <c r="A72" s="459"/>
      <c r="B72" s="459"/>
      <c r="C72" s="459"/>
      <c r="D72" s="459"/>
      <c r="E72" s="459"/>
      <c r="F72" s="459"/>
      <c r="G72" s="459"/>
      <c r="H72" s="459"/>
      <c r="I72" s="459"/>
      <c r="J72" s="459"/>
      <c r="K72" s="459"/>
      <c r="L72" s="416"/>
      <c r="M72" s="459"/>
      <c r="N72" s="459"/>
    </row>
    <row r="73" spans="1:14">
      <c r="A73" s="459"/>
      <c r="B73" s="459"/>
      <c r="C73" s="459"/>
      <c r="D73" s="459"/>
      <c r="E73" s="459"/>
      <c r="F73" s="459"/>
      <c r="G73" s="459"/>
      <c r="H73" s="459"/>
      <c r="I73" s="459"/>
      <c r="J73" s="459"/>
      <c r="K73" s="459"/>
      <c r="L73" s="416"/>
      <c r="M73" s="459"/>
      <c r="N73" s="459"/>
    </row>
    <row r="74" spans="1:14">
      <c r="A74" s="459"/>
      <c r="B74" s="459"/>
      <c r="C74" s="459"/>
      <c r="D74" s="459"/>
      <c r="E74" s="459"/>
      <c r="F74" s="459"/>
      <c r="G74" s="459"/>
      <c r="H74" s="459"/>
      <c r="I74" s="459"/>
      <c r="J74" s="459"/>
      <c r="K74" s="459"/>
      <c r="L74" s="416"/>
      <c r="M74" s="459"/>
      <c r="N74" s="459"/>
    </row>
    <row r="75" spans="1:14">
      <c r="A75" s="459"/>
      <c r="B75" s="459"/>
      <c r="C75" s="459"/>
      <c r="D75" s="459"/>
      <c r="E75" s="459"/>
      <c r="F75" s="459"/>
      <c r="G75" s="459"/>
      <c r="H75" s="459"/>
      <c r="I75" s="459"/>
      <c r="J75" s="459"/>
      <c r="K75" s="459"/>
      <c r="L75" s="416"/>
      <c r="M75" s="459"/>
      <c r="N75" s="459"/>
    </row>
    <row r="76" spans="1:14">
      <c r="A76" s="459"/>
      <c r="B76" s="459"/>
      <c r="C76" s="459"/>
      <c r="D76" s="459"/>
      <c r="E76" s="459"/>
      <c r="F76" s="459"/>
      <c r="G76" s="459"/>
      <c r="H76" s="459"/>
      <c r="I76" s="459"/>
      <c r="J76" s="459"/>
      <c r="K76" s="459"/>
      <c r="L76" s="416"/>
      <c r="M76" s="459"/>
      <c r="N76" s="459"/>
    </row>
    <row r="77" spans="1:14">
      <c r="A77" s="459"/>
      <c r="B77" s="459"/>
      <c r="C77" s="459"/>
      <c r="D77" s="459"/>
      <c r="E77" s="459"/>
      <c r="F77" s="459"/>
      <c r="G77" s="459"/>
      <c r="H77" s="459"/>
      <c r="I77" s="459"/>
      <c r="J77" s="459"/>
      <c r="K77" s="459"/>
      <c r="L77" s="416"/>
      <c r="M77" s="459"/>
      <c r="N77" s="459"/>
    </row>
    <row r="78" spans="1:14">
      <c r="A78" s="459"/>
      <c r="B78" s="459"/>
      <c r="C78" s="459"/>
      <c r="D78" s="459"/>
      <c r="E78" s="459"/>
      <c r="F78" s="459"/>
      <c r="G78" s="459"/>
      <c r="H78" s="459"/>
      <c r="I78" s="459"/>
      <c r="J78" s="459"/>
      <c r="K78" s="459"/>
      <c r="L78" s="416"/>
      <c r="M78" s="459"/>
      <c r="N78" s="459"/>
    </row>
    <row r="79" spans="1:14">
      <c r="A79" s="459"/>
      <c r="B79" s="459"/>
      <c r="C79" s="459"/>
      <c r="D79" s="459"/>
      <c r="E79" s="459"/>
      <c r="F79" s="459"/>
      <c r="G79" s="459"/>
      <c r="H79" s="459"/>
      <c r="I79" s="459"/>
      <c r="J79" s="459"/>
      <c r="K79" s="459"/>
      <c r="L79" s="416"/>
      <c r="M79" s="459"/>
      <c r="N79" s="459"/>
    </row>
    <row r="80" spans="1:14">
      <c r="A80" s="459"/>
      <c r="B80" s="459"/>
      <c r="C80" s="459"/>
      <c r="D80" s="459"/>
      <c r="E80" s="459"/>
      <c r="F80" s="459"/>
      <c r="G80" s="459"/>
      <c r="H80" s="459"/>
      <c r="I80" s="459"/>
      <c r="J80" s="459"/>
      <c r="K80" s="459"/>
      <c r="L80" s="416"/>
      <c r="M80" s="459"/>
      <c r="N80" s="459"/>
    </row>
    <row r="81" spans="1:14">
      <c r="A81" s="459"/>
      <c r="B81" s="459"/>
      <c r="C81" s="459"/>
      <c r="D81" s="459"/>
      <c r="E81" s="459"/>
      <c r="F81" s="459"/>
      <c r="G81" s="459"/>
      <c r="H81" s="459"/>
      <c r="I81" s="459"/>
      <c r="J81" s="459"/>
      <c r="K81" s="459"/>
      <c r="L81" s="416"/>
      <c r="M81" s="459"/>
      <c r="N81" s="459"/>
    </row>
    <row r="82" spans="1:14">
      <c r="A82" s="459"/>
      <c r="B82" s="459"/>
      <c r="C82" s="459"/>
      <c r="D82" s="459"/>
      <c r="E82" s="459"/>
      <c r="F82" s="459"/>
      <c r="G82" s="459"/>
      <c r="H82" s="459"/>
      <c r="I82" s="459"/>
      <c r="J82" s="459"/>
      <c r="K82" s="459"/>
      <c r="L82" s="416"/>
      <c r="M82" s="459"/>
      <c r="N82" s="459"/>
    </row>
    <row r="83" spans="1:14">
      <c r="A83" s="459"/>
      <c r="B83" s="459"/>
      <c r="C83" s="459"/>
      <c r="D83" s="459"/>
      <c r="E83" s="459"/>
      <c r="F83" s="459"/>
      <c r="G83" s="459"/>
      <c r="H83" s="459"/>
      <c r="I83" s="459"/>
      <c r="J83" s="459"/>
      <c r="K83" s="459"/>
      <c r="L83" s="416"/>
      <c r="M83" s="459"/>
      <c r="N83" s="459"/>
    </row>
    <row r="84" spans="1:14">
      <c r="A84" s="459"/>
      <c r="B84" s="459"/>
      <c r="C84" s="459"/>
      <c r="D84" s="459"/>
      <c r="E84" s="459"/>
      <c r="F84" s="459"/>
      <c r="G84" s="459"/>
      <c r="H84" s="459"/>
      <c r="I84" s="459"/>
      <c r="J84" s="459"/>
      <c r="K84" s="459"/>
      <c r="L84" s="416"/>
      <c r="M84" s="459"/>
      <c r="N84" s="459"/>
    </row>
    <row r="85" spans="1:14">
      <c r="A85" s="459"/>
      <c r="B85" s="459"/>
      <c r="C85" s="459"/>
      <c r="D85" s="459"/>
      <c r="E85" s="459"/>
      <c r="F85" s="459"/>
      <c r="G85" s="459"/>
      <c r="H85" s="459"/>
      <c r="I85" s="459"/>
      <c r="J85" s="459"/>
      <c r="K85" s="459"/>
      <c r="L85" s="416"/>
      <c r="M85" s="459"/>
      <c r="N85" s="459"/>
    </row>
    <row r="86" spans="1:14">
      <c r="A86" s="459"/>
      <c r="B86" s="459"/>
      <c r="C86" s="459"/>
      <c r="D86" s="459"/>
      <c r="E86" s="459"/>
      <c r="F86" s="459"/>
      <c r="G86" s="459"/>
      <c r="H86" s="459"/>
      <c r="I86" s="459"/>
      <c r="J86" s="459"/>
      <c r="K86" s="459"/>
      <c r="L86" s="416"/>
      <c r="M86" s="459"/>
      <c r="N86" s="459"/>
    </row>
    <row r="87" spans="1:14">
      <c r="A87" s="459"/>
      <c r="B87" s="459"/>
      <c r="C87" s="459"/>
      <c r="D87" s="459"/>
      <c r="E87" s="459"/>
      <c r="F87" s="459"/>
      <c r="G87" s="459"/>
      <c r="H87" s="459"/>
      <c r="I87" s="459"/>
      <c r="J87" s="459"/>
      <c r="K87" s="459"/>
      <c r="L87" s="416"/>
      <c r="M87" s="459"/>
      <c r="N87" s="459"/>
    </row>
    <row r="88" spans="1:14">
      <c r="A88" s="459"/>
      <c r="B88" s="459"/>
      <c r="C88" s="459"/>
      <c r="D88" s="459"/>
      <c r="E88" s="459"/>
      <c r="F88" s="459"/>
      <c r="G88" s="459"/>
      <c r="H88" s="459"/>
      <c r="I88" s="459"/>
      <c r="J88" s="459"/>
      <c r="K88" s="459"/>
      <c r="L88" s="416"/>
      <c r="M88" s="459"/>
      <c r="N88" s="459"/>
    </row>
    <row r="89" spans="1:14">
      <c r="A89" s="459"/>
      <c r="B89" s="459"/>
      <c r="C89" s="459"/>
      <c r="D89" s="459"/>
      <c r="E89" s="459"/>
      <c r="F89" s="459"/>
      <c r="G89" s="459"/>
      <c r="H89" s="459"/>
      <c r="I89" s="459"/>
      <c r="J89" s="459"/>
      <c r="K89" s="459"/>
      <c r="L89" s="416"/>
      <c r="M89" s="459"/>
      <c r="N89" s="459"/>
    </row>
    <row r="90" spans="1:14">
      <c r="A90" s="459"/>
      <c r="B90" s="459"/>
      <c r="C90" s="459"/>
      <c r="D90" s="459"/>
      <c r="E90" s="459"/>
      <c r="F90" s="459"/>
      <c r="G90" s="459"/>
      <c r="H90" s="459"/>
      <c r="I90" s="459"/>
      <c r="J90" s="459"/>
      <c r="K90" s="459"/>
      <c r="L90" s="416"/>
      <c r="M90" s="459"/>
      <c r="N90" s="459"/>
    </row>
    <row r="91" spans="1:14">
      <c r="A91" s="459"/>
      <c r="B91" s="459"/>
      <c r="C91" s="459"/>
      <c r="D91" s="459"/>
      <c r="E91" s="459"/>
      <c r="F91" s="459"/>
      <c r="G91" s="459"/>
      <c r="H91" s="459"/>
      <c r="I91" s="459"/>
      <c r="J91" s="459"/>
      <c r="K91" s="459"/>
      <c r="L91" s="416"/>
      <c r="M91" s="459"/>
      <c r="N91" s="459"/>
    </row>
    <row r="92" spans="1:14">
      <c r="A92" s="459"/>
      <c r="B92" s="459"/>
      <c r="C92" s="459"/>
      <c r="D92" s="459"/>
      <c r="E92" s="459"/>
      <c r="F92" s="459"/>
      <c r="G92" s="459"/>
      <c r="H92" s="459"/>
      <c r="I92" s="459"/>
      <c r="J92" s="459"/>
      <c r="K92" s="459"/>
      <c r="L92" s="416"/>
      <c r="M92" s="459"/>
      <c r="N92" s="459"/>
    </row>
    <row r="93" spans="1:14">
      <c r="A93" s="459"/>
      <c r="B93" s="459"/>
      <c r="C93" s="459"/>
      <c r="D93" s="459"/>
      <c r="E93" s="459"/>
      <c r="F93" s="459"/>
      <c r="G93" s="459"/>
      <c r="H93" s="459"/>
      <c r="I93" s="459"/>
      <c r="J93" s="459"/>
      <c r="K93" s="459"/>
      <c r="L93" s="416"/>
      <c r="M93" s="459"/>
      <c r="N93" s="459"/>
    </row>
    <row r="94" spans="1:14">
      <c r="A94" s="459"/>
      <c r="B94" s="459"/>
      <c r="C94" s="459"/>
      <c r="D94" s="459"/>
      <c r="E94" s="459"/>
      <c r="F94" s="459"/>
      <c r="G94" s="459"/>
      <c r="H94" s="459"/>
      <c r="I94" s="459"/>
      <c r="J94" s="459"/>
      <c r="K94" s="459"/>
      <c r="L94" s="416"/>
      <c r="M94" s="459"/>
      <c r="N94" s="459"/>
    </row>
    <row r="95" spans="1:14">
      <c r="A95" s="459"/>
      <c r="B95" s="459"/>
      <c r="C95" s="459"/>
      <c r="D95" s="459"/>
      <c r="E95" s="459"/>
      <c r="F95" s="459"/>
      <c r="G95" s="459"/>
      <c r="H95" s="459"/>
      <c r="I95" s="459"/>
      <c r="J95" s="459"/>
      <c r="K95" s="459"/>
      <c r="L95" s="416"/>
      <c r="M95" s="459"/>
      <c r="N95" s="459"/>
    </row>
    <row r="96" spans="1:14">
      <c r="A96" s="459"/>
      <c r="B96" s="459"/>
      <c r="C96" s="459"/>
      <c r="D96" s="459"/>
      <c r="E96" s="459"/>
      <c r="F96" s="459"/>
      <c r="G96" s="459"/>
      <c r="H96" s="459"/>
      <c r="I96" s="459"/>
      <c r="J96" s="459"/>
      <c r="K96" s="459"/>
      <c r="L96" s="416"/>
      <c r="M96" s="459"/>
      <c r="N96" s="459"/>
    </row>
    <row r="97" spans="1:14">
      <c r="A97" s="459"/>
      <c r="B97" s="459"/>
      <c r="C97" s="459"/>
      <c r="D97" s="459"/>
      <c r="E97" s="459"/>
      <c r="F97" s="459"/>
      <c r="G97" s="459"/>
      <c r="H97" s="459"/>
      <c r="I97" s="459"/>
      <c r="J97" s="459"/>
      <c r="K97" s="459"/>
      <c r="L97" s="416"/>
      <c r="M97" s="459"/>
      <c r="N97" s="459"/>
    </row>
    <row r="98" spans="1:14">
      <c r="A98" s="459"/>
      <c r="B98" s="459"/>
      <c r="C98" s="459"/>
      <c r="D98" s="459"/>
      <c r="E98" s="459"/>
      <c r="F98" s="459"/>
      <c r="G98" s="459"/>
      <c r="H98" s="459"/>
      <c r="I98" s="459"/>
      <c r="J98" s="459"/>
      <c r="K98" s="459"/>
      <c r="L98" s="416"/>
      <c r="M98" s="459"/>
      <c r="N98" s="459"/>
    </row>
    <row r="99" spans="1:14">
      <c r="A99" s="459"/>
      <c r="B99" s="459"/>
      <c r="C99" s="459"/>
      <c r="D99" s="459"/>
      <c r="E99" s="459"/>
      <c r="F99" s="459"/>
      <c r="G99" s="459"/>
      <c r="H99" s="459"/>
      <c r="I99" s="459"/>
      <c r="J99" s="459"/>
      <c r="K99" s="459"/>
      <c r="L99" s="416"/>
      <c r="M99" s="459"/>
      <c r="N99" s="459"/>
    </row>
    <row r="100" spans="1:14">
      <c r="A100" s="459"/>
      <c r="B100" s="459"/>
      <c r="C100" s="459"/>
      <c r="D100" s="459"/>
      <c r="E100" s="459"/>
      <c r="F100" s="459"/>
      <c r="G100" s="459"/>
      <c r="H100" s="459"/>
      <c r="I100" s="459"/>
      <c r="J100" s="459"/>
      <c r="K100" s="459"/>
      <c r="L100" s="416"/>
      <c r="M100" s="459"/>
      <c r="N100" s="459"/>
    </row>
    <row r="101" spans="1:14">
      <c r="A101" s="459"/>
      <c r="B101" s="459"/>
      <c r="C101" s="459"/>
      <c r="D101" s="459"/>
      <c r="E101" s="459"/>
      <c r="F101" s="459"/>
      <c r="G101" s="459"/>
      <c r="H101" s="459"/>
      <c r="I101" s="459"/>
      <c r="J101" s="459"/>
      <c r="K101" s="459"/>
      <c r="L101" s="416"/>
      <c r="M101" s="459"/>
      <c r="N101" s="459"/>
    </row>
    <row r="102" spans="1:14">
      <c r="A102" s="459"/>
      <c r="B102" s="459"/>
      <c r="C102" s="459"/>
      <c r="D102" s="459"/>
      <c r="E102" s="459"/>
      <c r="F102" s="459"/>
      <c r="G102" s="459"/>
      <c r="H102" s="459"/>
      <c r="I102" s="459"/>
      <c r="J102" s="459"/>
      <c r="K102" s="459"/>
      <c r="L102" s="416"/>
      <c r="M102" s="459"/>
      <c r="N102" s="459"/>
    </row>
    <row r="103" spans="1:14">
      <c r="A103" s="459"/>
      <c r="B103" s="459"/>
      <c r="C103" s="459"/>
      <c r="D103" s="459"/>
      <c r="E103" s="459"/>
      <c r="F103" s="459"/>
      <c r="G103" s="459"/>
      <c r="H103" s="459"/>
      <c r="I103" s="459"/>
      <c r="J103" s="459"/>
      <c r="K103" s="459"/>
      <c r="L103" s="416"/>
      <c r="M103" s="459"/>
      <c r="N103" s="459"/>
    </row>
    <row r="104" spans="1:14">
      <c r="A104" s="459"/>
      <c r="B104" s="459"/>
      <c r="C104" s="459"/>
      <c r="D104" s="459"/>
      <c r="E104" s="459"/>
      <c r="F104" s="459"/>
      <c r="G104" s="459"/>
      <c r="H104" s="459"/>
      <c r="I104" s="459"/>
      <c r="J104" s="459"/>
      <c r="K104" s="459"/>
      <c r="L104" s="416"/>
      <c r="M104" s="459"/>
      <c r="N104" s="459"/>
    </row>
    <row r="105" spans="1:14">
      <c r="A105" s="459"/>
      <c r="B105" s="459"/>
      <c r="C105" s="459"/>
      <c r="D105" s="459"/>
      <c r="E105" s="459"/>
      <c r="F105" s="459"/>
      <c r="G105" s="459"/>
      <c r="H105" s="459"/>
      <c r="I105" s="459"/>
      <c r="J105" s="459"/>
      <c r="K105" s="459"/>
      <c r="L105" s="416"/>
      <c r="M105" s="459"/>
      <c r="N105" s="459"/>
    </row>
    <row r="106" spans="1:14">
      <c r="A106" s="459"/>
      <c r="B106" s="459"/>
      <c r="C106" s="459"/>
      <c r="D106" s="459"/>
      <c r="E106" s="459"/>
      <c r="F106" s="459"/>
      <c r="G106" s="459"/>
      <c r="H106" s="459"/>
      <c r="I106" s="459"/>
      <c r="J106" s="459"/>
      <c r="K106" s="459"/>
      <c r="L106" s="416"/>
      <c r="M106" s="459"/>
      <c r="N106" s="459"/>
    </row>
    <row r="107" spans="1:14">
      <c r="A107" s="459"/>
      <c r="B107" s="459"/>
      <c r="C107" s="459"/>
      <c r="D107" s="459"/>
      <c r="E107" s="459"/>
      <c r="F107" s="459"/>
      <c r="G107" s="459"/>
      <c r="H107" s="459"/>
      <c r="I107" s="459"/>
      <c r="J107" s="459"/>
      <c r="K107" s="459"/>
      <c r="L107" s="416"/>
      <c r="M107" s="459"/>
      <c r="N107" s="459"/>
    </row>
    <row r="108" spans="1:14">
      <c r="A108" s="459"/>
      <c r="B108" s="459"/>
      <c r="C108" s="459"/>
      <c r="D108" s="459"/>
      <c r="E108" s="459"/>
      <c r="F108" s="459"/>
      <c r="G108" s="459"/>
      <c r="H108" s="459"/>
      <c r="I108" s="459"/>
      <c r="J108" s="459"/>
      <c r="K108" s="459"/>
      <c r="L108" s="416"/>
      <c r="M108" s="459"/>
      <c r="N108" s="459"/>
    </row>
    <row r="109" spans="1:14">
      <c r="A109" s="459"/>
      <c r="B109" s="459"/>
      <c r="C109" s="459"/>
      <c r="D109" s="459"/>
      <c r="E109" s="459"/>
      <c r="F109" s="459"/>
      <c r="G109" s="459"/>
      <c r="H109" s="459"/>
      <c r="I109" s="459"/>
      <c r="J109" s="459"/>
      <c r="K109" s="459"/>
      <c r="L109" s="416"/>
      <c r="M109" s="459"/>
      <c r="N109" s="459"/>
    </row>
    <row r="110" spans="1:14">
      <c r="A110" s="459"/>
      <c r="B110" s="459"/>
      <c r="C110" s="459"/>
      <c r="D110" s="459"/>
      <c r="E110" s="459"/>
      <c r="F110" s="459"/>
      <c r="G110" s="459"/>
      <c r="H110" s="459"/>
      <c r="I110" s="459"/>
      <c r="J110" s="459"/>
      <c r="K110" s="459"/>
      <c r="L110" s="416"/>
      <c r="M110" s="459"/>
      <c r="N110" s="459"/>
    </row>
    <row r="111" spans="1:14">
      <c r="A111" s="459"/>
      <c r="B111" s="459"/>
      <c r="C111" s="459"/>
      <c r="D111" s="459"/>
      <c r="E111" s="459"/>
      <c r="F111" s="459"/>
      <c r="G111" s="459"/>
      <c r="H111" s="459"/>
      <c r="I111" s="459"/>
      <c r="J111" s="459"/>
      <c r="K111" s="459"/>
      <c r="L111" s="416"/>
      <c r="M111" s="459"/>
      <c r="N111" s="459"/>
    </row>
    <row r="112" spans="1:14">
      <c r="A112" s="459"/>
      <c r="B112" s="459"/>
      <c r="C112" s="459"/>
      <c r="D112" s="459"/>
      <c r="E112" s="459"/>
      <c r="F112" s="459"/>
      <c r="G112" s="459"/>
      <c r="H112" s="459"/>
      <c r="I112" s="459"/>
      <c r="J112" s="459"/>
      <c r="K112" s="459"/>
      <c r="L112" s="416"/>
      <c r="M112" s="459"/>
      <c r="N112" s="459"/>
    </row>
    <row r="113" spans="1:14">
      <c r="A113" s="459"/>
      <c r="B113" s="459"/>
      <c r="C113" s="459"/>
      <c r="D113" s="459"/>
      <c r="E113" s="459"/>
      <c r="F113" s="459"/>
      <c r="G113" s="459"/>
      <c r="H113" s="459"/>
      <c r="I113" s="459"/>
      <c r="J113" s="459"/>
      <c r="K113" s="459"/>
      <c r="L113" s="416"/>
      <c r="M113" s="459"/>
      <c r="N113" s="459"/>
    </row>
    <row r="114" spans="1:14">
      <c r="A114" s="459"/>
      <c r="B114" s="459"/>
      <c r="C114" s="459"/>
      <c r="D114" s="459"/>
      <c r="E114" s="459"/>
      <c r="F114" s="459"/>
      <c r="G114" s="459"/>
      <c r="H114" s="459"/>
      <c r="I114" s="459"/>
      <c r="J114" s="459"/>
      <c r="K114" s="459"/>
      <c r="L114" s="416"/>
      <c r="M114" s="459"/>
      <c r="N114" s="459"/>
    </row>
    <row r="115" spans="1:14">
      <c r="A115" s="459"/>
      <c r="B115" s="459"/>
      <c r="C115" s="459"/>
      <c r="D115" s="459"/>
      <c r="E115" s="459"/>
      <c r="F115" s="459"/>
      <c r="G115" s="459"/>
      <c r="H115" s="459"/>
      <c r="I115" s="459"/>
      <c r="J115" s="459"/>
      <c r="K115" s="459"/>
      <c r="L115" s="416"/>
      <c r="M115" s="459"/>
      <c r="N115" s="459"/>
    </row>
    <row r="116" spans="1:14">
      <c r="A116" s="459"/>
      <c r="B116" s="459"/>
      <c r="C116" s="459"/>
      <c r="D116" s="459"/>
      <c r="E116" s="459"/>
      <c r="F116" s="459"/>
      <c r="G116" s="459"/>
      <c r="H116" s="459"/>
      <c r="I116" s="459"/>
      <c r="J116" s="459"/>
      <c r="K116" s="459"/>
      <c r="L116" s="416"/>
      <c r="M116" s="459"/>
      <c r="N116" s="459"/>
    </row>
    <row r="117" spans="1:14">
      <c r="A117" s="459"/>
      <c r="B117" s="459"/>
      <c r="C117" s="459"/>
      <c r="D117" s="459"/>
      <c r="E117" s="459"/>
      <c r="F117" s="459"/>
      <c r="G117" s="459"/>
      <c r="H117" s="459"/>
      <c r="I117" s="459"/>
      <c r="J117" s="459"/>
      <c r="K117" s="459"/>
      <c r="L117" s="416"/>
      <c r="M117" s="459"/>
      <c r="N117" s="459"/>
    </row>
    <row r="118" spans="1:14">
      <c r="A118" s="459"/>
      <c r="B118" s="459"/>
      <c r="C118" s="459"/>
      <c r="D118" s="459"/>
      <c r="E118" s="459"/>
      <c r="F118" s="459"/>
      <c r="G118" s="459"/>
      <c r="H118" s="459"/>
      <c r="I118" s="459"/>
      <c r="J118" s="459"/>
      <c r="K118" s="459"/>
      <c r="L118" s="416"/>
      <c r="M118" s="459"/>
      <c r="N118" s="459"/>
    </row>
    <row r="119" spans="1:14">
      <c r="A119" s="459"/>
      <c r="B119" s="459"/>
      <c r="C119" s="459"/>
      <c r="D119" s="459"/>
      <c r="E119" s="459"/>
      <c r="F119" s="459"/>
      <c r="G119" s="459"/>
      <c r="H119" s="459"/>
      <c r="I119" s="459"/>
      <c r="J119" s="459"/>
      <c r="K119" s="459"/>
      <c r="L119" s="416"/>
      <c r="M119" s="459"/>
      <c r="N119" s="459"/>
    </row>
    <row r="120" spans="1:14">
      <c r="A120" s="459"/>
      <c r="B120" s="459"/>
      <c r="C120" s="459"/>
      <c r="D120" s="459"/>
      <c r="E120" s="459"/>
      <c r="F120" s="459"/>
      <c r="G120" s="459"/>
      <c r="H120" s="459"/>
      <c r="I120" s="459"/>
      <c r="J120" s="459"/>
      <c r="K120" s="459"/>
      <c r="L120" s="416"/>
      <c r="M120" s="459"/>
      <c r="N120" s="459"/>
    </row>
    <row r="121" spans="1:14">
      <c r="A121" s="459"/>
      <c r="B121" s="459"/>
      <c r="C121" s="459"/>
      <c r="D121" s="459"/>
      <c r="E121" s="459"/>
      <c r="F121" s="459"/>
      <c r="G121" s="459"/>
      <c r="H121" s="459"/>
      <c r="I121" s="459"/>
      <c r="J121" s="459"/>
      <c r="K121" s="459"/>
      <c r="L121" s="416"/>
      <c r="M121" s="459"/>
      <c r="N121" s="459"/>
    </row>
    <row r="122" spans="1:14">
      <c r="A122" s="459"/>
      <c r="B122" s="459"/>
      <c r="C122" s="459"/>
      <c r="D122" s="459"/>
      <c r="E122" s="459"/>
      <c r="F122" s="459"/>
      <c r="G122" s="459"/>
      <c r="H122" s="459"/>
      <c r="I122" s="459"/>
      <c r="J122" s="459"/>
      <c r="K122" s="459"/>
      <c r="L122" s="416"/>
      <c r="M122" s="459"/>
      <c r="N122" s="459"/>
    </row>
    <row r="123" spans="1:14">
      <c r="A123" s="459"/>
      <c r="B123" s="459"/>
      <c r="C123" s="459"/>
      <c r="D123" s="459"/>
      <c r="E123" s="459"/>
      <c r="F123" s="459"/>
      <c r="G123" s="459"/>
      <c r="H123" s="459"/>
      <c r="I123" s="459"/>
      <c r="J123" s="459"/>
      <c r="K123" s="459"/>
      <c r="L123" s="416"/>
      <c r="M123" s="459"/>
      <c r="N123" s="459"/>
    </row>
    <row r="124" spans="1:14">
      <c r="A124" s="459"/>
      <c r="B124" s="459"/>
      <c r="C124" s="459"/>
      <c r="D124" s="459"/>
      <c r="E124" s="459"/>
      <c r="F124" s="459"/>
      <c r="G124" s="459"/>
      <c r="H124" s="459"/>
      <c r="I124" s="459"/>
      <c r="J124" s="459"/>
      <c r="K124" s="459"/>
      <c r="L124" s="416"/>
      <c r="M124" s="459"/>
      <c r="N124" s="459"/>
    </row>
    <row r="125" spans="1:14">
      <c r="A125" s="459"/>
      <c r="B125" s="459"/>
      <c r="C125" s="459"/>
      <c r="D125" s="459"/>
      <c r="E125" s="459"/>
      <c r="F125" s="459"/>
      <c r="G125" s="459"/>
      <c r="H125" s="459"/>
      <c r="I125" s="459"/>
      <c r="J125" s="459"/>
      <c r="K125" s="459"/>
      <c r="L125" s="416"/>
      <c r="M125" s="459"/>
      <c r="N125" s="459"/>
    </row>
    <row r="126" spans="1:14">
      <c r="A126" s="459"/>
      <c r="B126" s="459"/>
      <c r="C126" s="459"/>
      <c r="D126" s="459"/>
      <c r="E126" s="459"/>
      <c r="F126" s="459"/>
      <c r="G126" s="459"/>
      <c r="H126" s="459"/>
      <c r="I126" s="459"/>
      <c r="J126" s="459"/>
      <c r="K126" s="459"/>
      <c r="L126" s="416"/>
      <c r="M126" s="459"/>
      <c r="N126" s="459"/>
    </row>
    <row r="127" spans="1:14">
      <c r="A127" s="459"/>
      <c r="B127" s="459"/>
      <c r="C127" s="459"/>
      <c r="D127" s="459"/>
      <c r="E127" s="459"/>
      <c r="F127" s="459"/>
      <c r="G127" s="459"/>
      <c r="H127" s="459"/>
      <c r="I127" s="459"/>
      <c r="J127" s="459"/>
      <c r="K127" s="459"/>
      <c r="L127" s="416"/>
      <c r="M127" s="459"/>
      <c r="N127" s="459"/>
    </row>
    <row r="128" spans="1:14">
      <c r="A128" s="459"/>
      <c r="B128" s="459"/>
      <c r="C128" s="459"/>
      <c r="D128" s="459"/>
      <c r="E128" s="459"/>
      <c r="F128" s="459"/>
      <c r="G128" s="459"/>
      <c r="H128" s="459"/>
      <c r="I128" s="459"/>
      <c r="J128" s="459"/>
      <c r="K128" s="459"/>
      <c r="L128" s="416"/>
      <c r="M128" s="459"/>
      <c r="N128" s="459"/>
    </row>
    <row r="129" spans="1:14">
      <c r="A129" s="459"/>
      <c r="B129" s="459"/>
      <c r="C129" s="459"/>
      <c r="D129" s="459"/>
      <c r="E129" s="459"/>
      <c r="F129" s="459"/>
      <c r="G129" s="459"/>
      <c r="H129" s="459"/>
      <c r="I129" s="459"/>
      <c r="J129" s="459"/>
      <c r="K129" s="459"/>
      <c r="L129" s="416"/>
      <c r="M129" s="459"/>
      <c r="N129" s="459"/>
    </row>
    <row r="130" spans="1:14">
      <c r="A130" s="459"/>
      <c r="B130" s="459"/>
      <c r="C130" s="459"/>
      <c r="D130" s="459"/>
      <c r="E130" s="459"/>
      <c r="F130" s="459"/>
      <c r="G130" s="459"/>
      <c r="H130" s="459"/>
      <c r="I130" s="459"/>
      <c r="J130" s="459"/>
      <c r="K130" s="459"/>
      <c r="L130" s="416"/>
      <c r="M130" s="459"/>
      <c r="N130" s="459"/>
    </row>
    <row r="131" spans="1:14">
      <c r="A131" s="459"/>
      <c r="B131" s="459"/>
      <c r="C131" s="459"/>
      <c r="D131" s="459"/>
      <c r="E131" s="459"/>
      <c r="F131" s="459"/>
      <c r="G131" s="459"/>
      <c r="H131" s="459"/>
      <c r="I131" s="459"/>
      <c r="J131" s="459"/>
      <c r="K131" s="459"/>
      <c r="L131" s="416"/>
      <c r="M131" s="459"/>
      <c r="N131" s="459"/>
    </row>
    <row r="132" spans="1:14">
      <c r="A132" s="459"/>
      <c r="B132" s="459"/>
      <c r="C132" s="459"/>
      <c r="D132" s="459"/>
      <c r="E132" s="459"/>
      <c r="F132" s="459"/>
      <c r="G132" s="459"/>
      <c r="H132" s="459"/>
      <c r="I132" s="459"/>
      <c r="J132" s="459"/>
      <c r="K132" s="459"/>
      <c r="L132" s="416"/>
      <c r="M132" s="459"/>
      <c r="N132" s="459"/>
    </row>
    <row r="133" spans="1:14">
      <c r="A133" s="459"/>
      <c r="B133" s="459"/>
      <c r="C133" s="459"/>
      <c r="D133" s="459"/>
      <c r="E133" s="459"/>
      <c r="F133" s="459"/>
      <c r="G133" s="459"/>
      <c r="H133" s="459"/>
      <c r="I133" s="459"/>
      <c r="J133" s="459"/>
      <c r="K133" s="459"/>
      <c r="L133" s="416"/>
      <c r="M133" s="459"/>
      <c r="N133" s="459"/>
    </row>
    <row r="134" spans="1:14">
      <c r="A134" s="459"/>
      <c r="B134" s="459"/>
      <c r="C134" s="459"/>
      <c r="D134" s="459"/>
      <c r="E134" s="459"/>
      <c r="F134" s="459"/>
      <c r="G134" s="459"/>
      <c r="H134" s="459"/>
      <c r="I134" s="459"/>
      <c r="J134" s="459"/>
      <c r="K134" s="459"/>
      <c r="L134" s="416"/>
      <c r="M134" s="459"/>
      <c r="N134" s="459"/>
    </row>
    <row r="135" spans="1:14">
      <c r="A135" s="459"/>
      <c r="B135" s="459"/>
      <c r="C135" s="459"/>
      <c r="D135" s="459"/>
      <c r="E135" s="459"/>
      <c r="F135" s="459"/>
      <c r="G135" s="459"/>
      <c r="H135" s="459"/>
      <c r="I135" s="459"/>
      <c r="J135" s="459"/>
      <c r="K135" s="459"/>
      <c r="L135" s="416"/>
      <c r="M135" s="459"/>
      <c r="N135" s="459"/>
    </row>
    <row r="136" spans="1:14">
      <c r="A136" s="459"/>
      <c r="B136" s="459"/>
      <c r="C136" s="459"/>
      <c r="D136" s="459"/>
      <c r="E136" s="459"/>
      <c r="F136" s="459"/>
      <c r="G136" s="459"/>
      <c r="H136" s="459"/>
      <c r="I136" s="459"/>
      <c r="J136" s="459"/>
      <c r="K136" s="459"/>
      <c r="L136" s="416"/>
      <c r="M136" s="459"/>
      <c r="N136" s="459"/>
    </row>
    <row r="137" spans="1:14">
      <c r="A137" s="459"/>
      <c r="B137" s="459"/>
      <c r="C137" s="459"/>
      <c r="D137" s="459"/>
      <c r="E137" s="459"/>
      <c r="F137" s="459"/>
      <c r="G137" s="459"/>
      <c r="H137" s="459"/>
      <c r="I137" s="459"/>
      <c r="J137" s="459"/>
      <c r="K137" s="459"/>
      <c r="L137" s="416"/>
      <c r="M137" s="459"/>
      <c r="N137" s="459"/>
    </row>
    <row r="138" spans="1:14">
      <c r="A138" s="459"/>
      <c r="B138" s="459"/>
      <c r="C138" s="459"/>
      <c r="D138" s="459"/>
      <c r="E138" s="459"/>
      <c r="F138" s="459"/>
      <c r="G138" s="459"/>
      <c r="H138" s="459"/>
      <c r="I138" s="459"/>
      <c r="J138" s="459"/>
      <c r="K138" s="459"/>
      <c r="L138" s="416"/>
      <c r="M138" s="459"/>
      <c r="N138" s="459"/>
    </row>
    <row r="139" spans="1:14">
      <c r="A139" s="459"/>
      <c r="B139" s="459"/>
      <c r="C139" s="459"/>
      <c r="D139" s="459"/>
      <c r="E139" s="459"/>
      <c r="F139" s="459"/>
      <c r="G139" s="459"/>
      <c r="H139" s="459"/>
      <c r="I139" s="459"/>
      <c r="J139" s="459"/>
      <c r="K139" s="459"/>
      <c r="L139" s="416"/>
      <c r="M139" s="459"/>
      <c r="N139" s="459"/>
    </row>
    <row r="140" spans="1:14">
      <c r="A140" s="459"/>
      <c r="B140" s="459"/>
      <c r="C140" s="459"/>
      <c r="D140" s="459"/>
      <c r="E140" s="459"/>
      <c r="F140" s="459"/>
      <c r="G140" s="459"/>
      <c r="H140" s="459"/>
      <c r="I140" s="459"/>
      <c r="J140" s="459"/>
      <c r="K140" s="459"/>
      <c r="L140" s="416"/>
      <c r="M140" s="459"/>
      <c r="N140" s="459"/>
    </row>
    <row r="141" spans="1:14">
      <c r="A141" s="459"/>
      <c r="B141" s="459"/>
      <c r="C141" s="459"/>
      <c r="D141" s="459"/>
      <c r="E141" s="459"/>
      <c r="F141" s="459"/>
      <c r="G141" s="459"/>
      <c r="H141" s="459"/>
      <c r="I141" s="459"/>
      <c r="J141" s="459"/>
      <c r="K141" s="459"/>
      <c r="L141" s="416"/>
      <c r="M141" s="459"/>
      <c r="N141" s="459"/>
    </row>
    <row r="142" spans="1:14">
      <c r="A142" s="459"/>
      <c r="B142" s="459"/>
      <c r="C142" s="459"/>
      <c r="D142" s="459"/>
      <c r="E142" s="459"/>
      <c r="F142" s="459"/>
      <c r="G142" s="459"/>
      <c r="H142" s="459"/>
      <c r="I142" s="459"/>
      <c r="J142" s="459"/>
      <c r="K142" s="459"/>
      <c r="L142" s="416"/>
      <c r="M142" s="459"/>
      <c r="N142" s="459"/>
    </row>
    <row r="143" spans="1:14">
      <c r="A143" s="459"/>
      <c r="B143" s="459"/>
      <c r="C143" s="459"/>
      <c r="D143" s="459"/>
      <c r="E143" s="459"/>
      <c r="F143" s="459"/>
      <c r="G143" s="459"/>
      <c r="H143" s="459"/>
      <c r="I143" s="459"/>
      <c r="J143" s="459"/>
      <c r="K143" s="459"/>
      <c r="L143" s="416"/>
      <c r="M143" s="459"/>
      <c r="N143" s="459"/>
    </row>
    <row r="144" spans="1:14">
      <c r="A144" s="459"/>
      <c r="B144" s="459"/>
      <c r="C144" s="459"/>
      <c r="D144" s="459"/>
      <c r="E144" s="459"/>
      <c r="F144" s="459"/>
      <c r="G144" s="459"/>
      <c r="H144" s="459"/>
      <c r="I144" s="459"/>
      <c r="J144" s="459"/>
      <c r="K144" s="459"/>
      <c r="L144" s="416"/>
      <c r="M144" s="459"/>
      <c r="N144" s="459"/>
    </row>
    <row r="145" spans="1:14">
      <c r="A145" s="459"/>
      <c r="B145" s="459"/>
      <c r="C145" s="459"/>
      <c r="D145" s="459"/>
      <c r="E145" s="459"/>
      <c r="F145" s="459"/>
      <c r="G145" s="459"/>
      <c r="H145" s="459"/>
      <c r="I145" s="459"/>
      <c r="J145" s="459"/>
      <c r="K145" s="459"/>
      <c r="L145" s="416"/>
      <c r="M145" s="459"/>
      <c r="N145" s="459"/>
    </row>
    <row r="146" spans="1:14">
      <c r="A146" s="459"/>
      <c r="B146" s="459"/>
      <c r="C146" s="459"/>
      <c r="D146" s="459"/>
      <c r="E146" s="459"/>
      <c r="F146" s="459"/>
      <c r="G146" s="459"/>
      <c r="H146" s="459"/>
      <c r="I146" s="459"/>
      <c r="J146" s="459"/>
      <c r="K146" s="459"/>
      <c r="L146" s="416"/>
      <c r="M146" s="459"/>
      <c r="N146" s="459"/>
    </row>
    <row r="147" spans="1:14">
      <c r="A147" s="459"/>
      <c r="B147" s="459"/>
      <c r="C147" s="459"/>
      <c r="D147" s="459"/>
      <c r="E147" s="459"/>
      <c r="F147" s="459"/>
      <c r="G147" s="459"/>
      <c r="H147" s="459"/>
      <c r="I147" s="459"/>
      <c r="J147" s="459"/>
      <c r="K147" s="459"/>
      <c r="L147" s="416"/>
      <c r="M147" s="459"/>
      <c r="N147" s="459"/>
    </row>
    <row r="148" spans="1:14">
      <c r="A148" s="459"/>
      <c r="B148" s="459"/>
      <c r="C148" s="459"/>
      <c r="D148" s="459"/>
      <c r="E148" s="459"/>
      <c r="F148" s="459"/>
      <c r="G148" s="459"/>
      <c r="H148" s="459"/>
      <c r="I148" s="459"/>
      <c r="J148" s="459"/>
      <c r="K148" s="459"/>
      <c r="L148" s="416"/>
      <c r="M148" s="459"/>
      <c r="N148" s="459"/>
    </row>
    <row r="149" spans="1:14">
      <c r="A149" s="459"/>
      <c r="B149" s="459"/>
      <c r="C149" s="459"/>
      <c r="D149" s="459"/>
      <c r="E149" s="459"/>
      <c r="F149" s="459"/>
      <c r="G149" s="459"/>
      <c r="H149" s="459"/>
      <c r="I149" s="459"/>
      <c r="J149" s="459"/>
      <c r="K149" s="459"/>
      <c r="L149" s="416"/>
      <c r="M149" s="459"/>
      <c r="N149" s="459"/>
    </row>
    <row r="150" spans="1:14">
      <c r="A150" s="459"/>
      <c r="B150" s="459"/>
      <c r="C150" s="459"/>
      <c r="D150" s="459"/>
      <c r="E150" s="459"/>
      <c r="F150" s="459"/>
      <c r="G150" s="459"/>
      <c r="H150" s="459"/>
      <c r="I150" s="459"/>
      <c r="J150" s="459"/>
      <c r="K150" s="459"/>
      <c r="L150" s="416"/>
      <c r="M150" s="459"/>
      <c r="N150" s="459"/>
    </row>
    <row r="151" spans="1:14">
      <c r="A151" s="459"/>
      <c r="B151" s="459"/>
      <c r="C151" s="459"/>
      <c r="D151" s="459"/>
      <c r="E151" s="459"/>
      <c r="F151" s="459"/>
      <c r="G151" s="459"/>
      <c r="H151" s="459"/>
      <c r="I151" s="459"/>
      <c r="J151" s="459"/>
      <c r="K151" s="459"/>
      <c r="L151" s="416"/>
      <c r="M151" s="459"/>
      <c r="N151" s="459"/>
    </row>
    <row r="152" spans="1:14">
      <c r="A152" s="459"/>
      <c r="B152" s="459"/>
      <c r="C152" s="459"/>
      <c r="D152" s="459"/>
      <c r="E152" s="459"/>
      <c r="F152" s="459"/>
      <c r="G152" s="459"/>
      <c r="H152" s="459"/>
      <c r="I152" s="459"/>
      <c r="J152" s="459"/>
      <c r="K152" s="459"/>
      <c r="L152" s="416"/>
      <c r="M152" s="459"/>
      <c r="N152" s="459"/>
    </row>
    <row r="153" spans="1:14">
      <c r="A153" s="459"/>
      <c r="B153" s="459"/>
      <c r="C153" s="459"/>
      <c r="D153" s="459"/>
      <c r="E153" s="459"/>
      <c r="F153" s="459"/>
      <c r="G153" s="459"/>
      <c r="H153" s="459"/>
      <c r="I153" s="459"/>
      <c r="J153" s="459"/>
      <c r="K153" s="459"/>
      <c r="L153" s="416"/>
      <c r="M153" s="459"/>
      <c r="N153" s="459"/>
    </row>
    <row r="154" spans="1:14">
      <c r="A154" s="459"/>
      <c r="B154" s="459"/>
      <c r="C154" s="459"/>
      <c r="D154" s="459"/>
      <c r="E154" s="459"/>
      <c r="F154" s="459"/>
      <c r="G154" s="459"/>
      <c r="H154" s="459"/>
      <c r="I154" s="459"/>
      <c r="J154" s="459"/>
      <c r="K154" s="459"/>
      <c r="L154" s="416"/>
      <c r="M154" s="459"/>
      <c r="N154" s="459"/>
    </row>
    <row r="155" spans="1:14">
      <c r="A155" s="459"/>
      <c r="B155" s="459"/>
      <c r="C155" s="459"/>
      <c r="D155" s="459"/>
      <c r="E155" s="459"/>
      <c r="F155" s="459"/>
      <c r="G155" s="459"/>
      <c r="H155" s="459"/>
      <c r="I155" s="459"/>
      <c r="J155" s="459"/>
      <c r="K155" s="459"/>
      <c r="L155" s="416"/>
      <c r="M155" s="459"/>
      <c r="N155" s="459"/>
    </row>
    <row r="156" spans="1:14">
      <c r="A156" s="459"/>
      <c r="B156" s="459"/>
      <c r="C156" s="459"/>
      <c r="D156" s="459"/>
      <c r="E156" s="459"/>
      <c r="F156" s="459"/>
      <c r="G156" s="459"/>
      <c r="H156" s="459"/>
      <c r="I156" s="459"/>
      <c r="J156" s="459"/>
      <c r="K156" s="459"/>
      <c r="L156" s="416"/>
      <c r="M156" s="459"/>
      <c r="N156" s="459"/>
    </row>
    <row r="157" spans="1:14">
      <c r="A157" s="459"/>
      <c r="B157" s="459"/>
      <c r="C157" s="459"/>
      <c r="D157" s="459"/>
      <c r="E157" s="459"/>
      <c r="F157" s="459"/>
      <c r="G157" s="459"/>
      <c r="H157" s="459"/>
      <c r="I157" s="459"/>
      <c r="J157" s="459"/>
      <c r="K157" s="459"/>
      <c r="L157" s="416"/>
      <c r="M157" s="459"/>
      <c r="N157" s="459"/>
    </row>
    <row r="158" spans="1:14">
      <c r="A158" s="459"/>
      <c r="B158" s="459"/>
      <c r="C158" s="459"/>
      <c r="D158" s="459"/>
      <c r="E158" s="459"/>
      <c r="F158" s="459"/>
      <c r="G158" s="459"/>
      <c r="H158" s="459"/>
      <c r="I158" s="459"/>
      <c r="J158" s="459"/>
      <c r="K158" s="459"/>
      <c r="L158" s="416"/>
      <c r="M158" s="459"/>
      <c r="N158" s="459"/>
    </row>
    <row r="159" spans="1:14">
      <c r="A159" s="459"/>
      <c r="B159" s="459"/>
      <c r="C159" s="459"/>
      <c r="D159" s="459"/>
      <c r="E159" s="459"/>
      <c r="F159" s="459"/>
      <c r="G159" s="459"/>
      <c r="H159" s="459"/>
      <c r="I159" s="459"/>
      <c r="J159" s="459"/>
      <c r="K159" s="459"/>
      <c r="L159" s="416"/>
      <c r="M159" s="459"/>
      <c r="N159" s="459"/>
    </row>
    <row r="160" spans="1:14">
      <c r="A160" s="459"/>
      <c r="B160" s="459"/>
      <c r="C160" s="459"/>
      <c r="D160" s="459"/>
      <c r="E160" s="459"/>
      <c r="F160" s="459"/>
      <c r="G160" s="459"/>
      <c r="H160" s="459"/>
      <c r="I160" s="459"/>
      <c r="J160" s="459"/>
      <c r="K160" s="459"/>
      <c r="L160" s="416"/>
      <c r="M160" s="459"/>
      <c r="N160" s="459"/>
    </row>
    <row r="161" spans="1:14">
      <c r="A161" s="459"/>
      <c r="B161" s="459"/>
      <c r="C161" s="459"/>
      <c r="D161" s="459"/>
      <c r="E161" s="459"/>
      <c r="F161" s="459"/>
      <c r="G161" s="459"/>
      <c r="H161" s="459"/>
      <c r="I161" s="459"/>
      <c r="J161" s="459"/>
      <c r="K161" s="459"/>
      <c r="L161" s="416"/>
      <c r="M161" s="459"/>
      <c r="N161" s="459"/>
    </row>
    <row r="162" spans="1:14">
      <c r="A162" s="459"/>
      <c r="B162" s="459"/>
      <c r="C162" s="459"/>
      <c r="D162" s="459"/>
      <c r="E162" s="459"/>
      <c r="F162" s="459"/>
      <c r="G162" s="459"/>
      <c r="H162" s="459"/>
      <c r="I162" s="459"/>
      <c r="J162" s="459"/>
      <c r="K162" s="459"/>
      <c r="L162" s="416"/>
      <c r="M162" s="459"/>
      <c r="N162" s="459"/>
    </row>
    <row r="163" spans="1:14">
      <c r="A163" s="459"/>
      <c r="B163" s="459"/>
      <c r="C163" s="459"/>
      <c r="D163" s="459"/>
      <c r="E163" s="459"/>
      <c r="F163" s="459"/>
      <c r="G163" s="459"/>
      <c r="H163" s="459"/>
      <c r="I163" s="459"/>
      <c r="J163" s="459"/>
      <c r="K163" s="459"/>
      <c r="L163" s="416"/>
      <c r="M163" s="459"/>
      <c r="N163" s="459"/>
    </row>
    <row r="164" spans="1:14">
      <c r="A164" s="459"/>
      <c r="B164" s="459"/>
      <c r="C164" s="459"/>
      <c r="D164" s="459"/>
      <c r="E164" s="459"/>
      <c r="F164" s="459"/>
      <c r="G164" s="459"/>
      <c r="H164" s="459"/>
      <c r="I164" s="459"/>
      <c r="J164" s="459"/>
      <c r="K164" s="459"/>
      <c r="L164" s="416"/>
      <c r="M164" s="459"/>
      <c r="N164" s="459"/>
    </row>
    <row r="165" spans="1:14">
      <c r="A165" s="459"/>
      <c r="B165" s="459"/>
      <c r="C165" s="459"/>
      <c r="D165" s="459"/>
      <c r="E165" s="459"/>
      <c r="F165" s="459"/>
      <c r="G165" s="459"/>
      <c r="H165" s="459"/>
      <c r="I165" s="459"/>
      <c r="J165" s="459"/>
      <c r="K165" s="459"/>
      <c r="L165" s="416"/>
      <c r="M165" s="459"/>
      <c r="N165" s="459"/>
    </row>
    <row r="166" spans="1:14">
      <c r="A166" s="459"/>
      <c r="B166" s="459"/>
      <c r="C166" s="459"/>
      <c r="D166" s="459"/>
      <c r="E166" s="459"/>
      <c r="F166" s="459"/>
      <c r="G166" s="459"/>
      <c r="H166" s="459"/>
      <c r="I166" s="459"/>
      <c r="J166" s="459"/>
      <c r="K166" s="459"/>
      <c r="L166" s="416"/>
      <c r="M166" s="459"/>
      <c r="N166" s="459"/>
    </row>
    <row r="167" spans="1:14">
      <c r="A167" s="459"/>
      <c r="B167" s="459"/>
      <c r="C167" s="459"/>
      <c r="D167" s="459"/>
      <c r="E167" s="459"/>
      <c r="F167" s="459"/>
      <c r="G167" s="459"/>
      <c r="H167" s="459"/>
      <c r="I167" s="459"/>
      <c r="J167" s="459"/>
      <c r="K167" s="459"/>
      <c r="L167" s="416"/>
      <c r="M167" s="459"/>
      <c r="N167" s="459"/>
    </row>
    <row r="168" spans="1:14">
      <c r="A168" s="459"/>
      <c r="B168" s="459"/>
      <c r="C168" s="459"/>
      <c r="D168" s="459"/>
      <c r="E168" s="459"/>
      <c r="F168" s="459"/>
      <c r="G168" s="459"/>
      <c r="H168" s="459"/>
      <c r="I168" s="459"/>
      <c r="J168" s="459"/>
      <c r="K168" s="459"/>
      <c r="L168" s="416"/>
      <c r="M168" s="459"/>
      <c r="N168" s="459"/>
    </row>
    <row r="169" spans="1:14">
      <c r="A169" s="459"/>
      <c r="B169" s="459"/>
      <c r="C169" s="459"/>
      <c r="D169" s="459"/>
      <c r="E169" s="459"/>
      <c r="F169" s="459"/>
      <c r="G169" s="459"/>
      <c r="H169" s="459"/>
      <c r="I169" s="459"/>
      <c r="J169" s="459"/>
      <c r="K169" s="459"/>
      <c r="L169" s="416"/>
      <c r="M169" s="459"/>
      <c r="N169" s="459"/>
    </row>
    <row r="170" spans="1:14">
      <c r="A170" s="459"/>
      <c r="B170" s="459"/>
      <c r="C170" s="459"/>
      <c r="D170" s="459"/>
      <c r="E170" s="459"/>
      <c r="F170" s="459"/>
      <c r="G170" s="459"/>
      <c r="H170" s="459"/>
      <c r="I170" s="459"/>
      <c r="J170" s="459"/>
      <c r="K170" s="459"/>
      <c r="L170" s="416"/>
      <c r="M170" s="459"/>
      <c r="N170" s="459"/>
    </row>
    <row r="171" spans="1:14">
      <c r="A171" s="459"/>
      <c r="B171" s="459"/>
      <c r="C171" s="459"/>
      <c r="D171" s="459"/>
      <c r="E171" s="459"/>
      <c r="F171" s="459"/>
      <c r="G171" s="459"/>
      <c r="H171" s="459"/>
      <c r="I171" s="459"/>
      <c r="J171" s="459"/>
      <c r="K171" s="459"/>
      <c r="L171" s="416"/>
      <c r="M171" s="459"/>
      <c r="N171" s="459"/>
    </row>
    <row r="172" spans="1:14">
      <c r="A172" s="459"/>
      <c r="B172" s="459"/>
      <c r="C172" s="459"/>
      <c r="D172" s="459"/>
      <c r="E172" s="459"/>
      <c r="F172" s="459"/>
      <c r="G172" s="459"/>
      <c r="H172" s="459"/>
      <c r="I172" s="459"/>
      <c r="J172" s="459"/>
      <c r="K172" s="459"/>
      <c r="L172" s="416"/>
      <c r="M172" s="459"/>
      <c r="N172" s="459"/>
    </row>
    <row r="173" spans="1:14">
      <c r="A173" s="459"/>
      <c r="B173" s="459"/>
      <c r="C173" s="459"/>
      <c r="D173" s="459"/>
      <c r="E173" s="459"/>
      <c r="F173" s="459"/>
      <c r="G173" s="459"/>
      <c r="H173" s="459"/>
      <c r="I173" s="459"/>
      <c r="J173" s="459"/>
      <c r="K173" s="459"/>
      <c r="L173" s="416"/>
      <c r="M173" s="459"/>
      <c r="N173" s="459"/>
    </row>
    <row r="174" spans="1:14">
      <c r="A174" s="459"/>
      <c r="B174" s="459"/>
      <c r="C174" s="459"/>
      <c r="D174" s="459"/>
      <c r="E174" s="459"/>
      <c r="F174" s="459"/>
      <c r="G174" s="459"/>
      <c r="H174" s="459"/>
      <c r="I174" s="459"/>
      <c r="J174" s="459"/>
      <c r="K174" s="459"/>
      <c r="L174" s="416"/>
      <c r="M174" s="459"/>
      <c r="N174" s="459"/>
    </row>
    <row r="175" spans="1:14">
      <c r="A175" s="459"/>
      <c r="B175" s="459"/>
      <c r="C175" s="459"/>
      <c r="D175" s="459"/>
      <c r="E175" s="459"/>
      <c r="F175" s="459"/>
      <c r="G175" s="459"/>
      <c r="H175" s="459"/>
      <c r="I175" s="459"/>
      <c r="J175" s="459"/>
      <c r="K175" s="459"/>
      <c r="L175" s="416"/>
      <c r="M175" s="459"/>
      <c r="N175" s="459"/>
    </row>
    <row r="176" spans="1:14">
      <c r="A176" s="459"/>
      <c r="B176" s="459"/>
      <c r="C176" s="459"/>
      <c r="D176" s="459"/>
      <c r="E176" s="459"/>
      <c r="F176" s="459"/>
      <c r="G176" s="459"/>
      <c r="H176" s="459"/>
      <c r="I176" s="459"/>
      <c r="J176" s="459"/>
      <c r="K176" s="459"/>
      <c r="L176" s="416"/>
      <c r="M176" s="459"/>
      <c r="N176" s="459"/>
    </row>
    <row r="177" spans="1:14">
      <c r="A177" s="459"/>
      <c r="B177" s="459"/>
      <c r="C177" s="459"/>
      <c r="D177" s="459"/>
      <c r="E177" s="459"/>
      <c r="F177" s="459"/>
      <c r="G177" s="459"/>
      <c r="H177" s="459"/>
      <c r="I177" s="459"/>
      <c r="J177" s="459"/>
      <c r="K177" s="459"/>
      <c r="L177" s="416"/>
      <c r="M177" s="459"/>
      <c r="N177" s="459"/>
    </row>
    <row r="178" spans="1:14">
      <c r="A178" s="459"/>
      <c r="B178" s="459"/>
      <c r="C178" s="459"/>
      <c r="D178" s="459"/>
      <c r="E178" s="459"/>
      <c r="F178" s="459"/>
      <c r="G178" s="459"/>
      <c r="H178" s="459"/>
      <c r="I178" s="459"/>
      <c r="J178" s="459"/>
      <c r="K178" s="459"/>
      <c r="L178" s="416"/>
      <c r="M178" s="459"/>
      <c r="N178" s="459"/>
    </row>
    <row r="179" spans="1:14">
      <c r="A179" s="459"/>
      <c r="B179" s="459"/>
      <c r="C179" s="459"/>
      <c r="D179" s="459"/>
      <c r="E179" s="459"/>
      <c r="F179" s="459"/>
      <c r="G179" s="459"/>
      <c r="H179" s="459"/>
      <c r="I179" s="459"/>
      <c r="J179" s="459"/>
      <c r="K179" s="459"/>
      <c r="L179" s="416"/>
      <c r="M179" s="459"/>
      <c r="N179" s="459"/>
    </row>
    <row r="180" spans="1:14">
      <c r="A180" s="459"/>
      <c r="B180" s="459"/>
      <c r="C180" s="459"/>
      <c r="D180" s="459"/>
      <c r="E180" s="459"/>
      <c r="F180" s="459"/>
      <c r="G180" s="459"/>
      <c r="H180" s="459"/>
      <c r="I180" s="459"/>
      <c r="J180" s="459"/>
      <c r="K180" s="459"/>
      <c r="L180" s="416"/>
      <c r="M180" s="459"/>
      <c r="N180" s="459"/>
    </row>
    <row r="181" spans="1:14">
      <c r="A181" s="459"/>
      <c r="B181" s="459"/>
      <c r="C181" s="459"/>
      <c r="D181" s="459"/>
      <c r="E181" s="459"/>
      <c r="F181" s="459"/>
      <c r="G181" s="459"/>
      <c r="H181" s="459"/>
      <c r="I181" s="459"/>
      <c r="J181" s="459"/>
      <c r="K181" s="459"/>
      <c r="L181" s="416"/>
      <c r="M181" s="459"/>
      <c r="N181" s="459"/>
    </row>
    <row r="182" spans="1:14">
      <c r="A182" s="459"/>
      <c r="B182" s="459"/>
      <c r="C182" s="459"/>
      <c r="D182" s="459"/>
      <c r="E182" s="459"/>
      <c r="F182" s="459"/>
      <c r="G182" s="459"/>
      <c r="H182" s="459"/>
      <c r="I182" s="459"/>
      <c r="J182" s="459"/>
      <c r="K182" s="459"/>
      <c r="L182" s="416"/>
      <c r="M182" s="459"/>
      <c r="N182" s="459"/>
    </row>
    <row r="183" spans="1:14">
      <c r="A183" s="459"/>
      <c r="B183" s="459"/>
      <c r="C183" s="459"/>
      <c r="D183" s="459"/>
      <c r="E183" s="459"/>
      <c r="F183" s="459"/>
      <c r="G183" s="459"/>
      <c r="H183" s="459"/>
      <c r="I183" s="459"/>
      <c r="J183" s="459"/>
      <c r="K183" s="459"/>
      <c r="L183" s="416"/>
      <c r="M183" s="459"/>
      <c r="N183" s="459"/>
    </row>
    <row r="184" spans="1:14">
      <c r="A184" s="459"/>
      <c r="B184" s="459"/>
      <c r="C184" s="459"/>
      <c r="D184" s="459"/>
      <c r="E184" s="459"/>
      <c r="F184" s="459"/>
      <c r="G184" s="459"/>
      <c r="H184" s="459"/>
      <c r="I184" s="459"/>
      <c r="J184" s="459"/>
      <c r="K184" s="459"/>
      <c r="L184" s="416"/>
      <c r="M184" s="459"/>
      <c r="N184" s="459"/>
    </row>
    <row r="185" spans="1:14">
      <c r="A185" s="459"/>
      <c r="B185" s="459"/>
      <c r="C185" s="459"/>
      <c r="D185" s="459"/>
      <c r="E185" s="459"/>
      <c r="F185" s="459"/>
      <c r="G185" s="459"/>
      <c r="H185" s="459"/>
      <c r="I185" s="459"/>
      <c r="J185" s="459"/>
      <c r="K185" s="459"/>
      <c r="L185" s="416"/>
      <c r="M185" s="459"/>
      <c r="N185" s="459"/>
    </row>
    <row r="186" spans="1:14">
      <c r="A186" s="459"/>
      <c r="B186" s="459"/>
      <c r="C186" s="459"/>
      <c r="D186" s="459"/>
      <c r="E186" s="459"/>
      <c r="F186" s="459"/>
      <c r="G186" s="459"/>
      <c r="H186" s="459"/>
      <c r="I186" s="459"/>
      <c r="J186" s="459"/>
      <c r="K186" s="459"/>
      <c r="L186" s="416"/>
      <c r="M186" s="459"/>
      <c r="N186" s="459"/>
    </row>
    <row r="187" spans="1:14">
      <c r="A187" s="459"/>
      <c r="B187" s="459"/>
      <c r="C187" s="459"/>
      <c r="D187" s="459"/>
      <c r="E187" s="459"/>
      <c r="F187" s="459"/>
      <c r="G187" s="459"/>
      <c r="H187" s="459"/>
      <c r="I187" s="459"/>
      <c r="J187" s="459"/>
      <c r="K187" s="459"/>
      <c r="L187" s="416"/>
      <c r="M187" s="459"/>
      <c r="N187" s="459"/>
    </row>
    <row r="188" spans="1:14">
      <c r="A188" s="459"/>
      <c r="B188" s="459"/>
      <c r="C188" s="459"/>
      <c r="D188" s="459"/>
      <c r="E188" s="459"/>
      <c r="F188" s="459"/>
      <c r="G188" s="459"/>
      <c r="H188" s="459"/>
      <c r="I188" s="459"/>
      <c r="J188" s="459"/>
      <c r="K188" s="459"/>
      <c r="L188" s="416"/>
      <c r="M188" s="459"/>
      <c r="N188" s="459"/>
    </row>
    <row r="189" spans="1:14">
      <c r="A189" s="459"/>
      <c r="B189" s="459"/>
      <c r="C189" s="459"/>
      <c r="D189" s="459"/>
      <c r="E189" s="459"/>
      <c r="F189" s="459"/>
      <c r="G189" s="459"/>
      <c r="H189" s="459"/>
      <c r="I189" s="459"/>
      <c r="J189" s="459"/>
      <c r="K189" s="459"/>
      <c r="L189" s="416"/>
      <c r="M189" s="459"/>
      <c r="N189" s="459"/>
    </row>
    <row r="190" spans="1:14">
      <c r="A190" s="459"/>
      <c r="B190" s="459"/>
      <c r="C190" s="459"/>
      <c r="D190" s="459"/>
      <c r="E190" s="459"/>
      <c r="F190" s="459"/>
      <c r="G190" s="459"/>
      <c r="H190" s="459"/>
      <c r="I190" s="459"/>
      <c r="J190" s="459"/>
      <c r="K190" s="459"/>
      <c r="L190" s="416"/>
      <c r="M190" s="459"/>
      <c r="N190" s="459"/>
    </row>
    <row r="191" spans="1:14">
      <c r="A191" s="459"/>
      <c r="B191" s="459"/>
      <c r="C191" s="459"/>
      <c r="D191" s="459"/>
      <c r="E191" s="459"/>
      <c r="F191" s="459"/>
      <c r="G191" s="459"/>
      <c r="H191" s="459"/>
      <c r="I191" s="459"/>
      <c r="J191" s="459"/>
      <c r="K191" s="459"/>
      <c r="L191" s="416"/>
      <c r="M191" s="459"/>
      <c r="N191" s="459"/>
    </row>
    <row r="192" spans="1:14">
      <c r="A192" s="459"/>
      <c r="B192" s="459"/>
      <c r="C192" s="459"/>
      <c r="D192" s="459"/>
      <c r="E192" s="459"/>
      <c r="F192" s="459"/>
      <c r="G192" s="459"/>
      <c r="H192" s="459"/>
      <c r="I192" s="459"/>
      <c r="J192" s="459"/>
      <c r="K192" s="459"/>
      <c r="L192" s="416"/>
      <c r="M192" s="459"/>
      <c r="N192" s="459"/>
    </row>
    <row r="193" spans="1:14">
      <c r="A193" s="459"/>
      <c r="B193" s="459"/>
      <c r="C193" s="459"/>
      <c r="D193" s="459"/>
      <c r="E193" s="459"/>
      <c r="F193" s="459"/>
      <c r="G193" s="459"/>
      <c r="H193" s="459"/>
      <c r="I193" s="459"/>
      <c r="J193" s="459"/>
      <c r="K193" s="459"/>
      <c r="L193" s="416"/>
      <c r="M193" s="459"/>
      <c r="N193" s="459"/>
    </row>
    <row r="194" spans="1:14">
      <c r="A194" s="459"/>
      <c r="B194" s="459"/>
      <c r="C194" s="459"/>
      <c r="D194" s="459"/>
      <c r="E194" s="459"/>
      <c r="F194" s="459"/>
      <c r="G194" s="459"/>
      <c r="H194" s="459"/>
      <c r="I194" s="459"/>
      <c r="J194" s="459"/>
      <c r="K194" s="459"/>
      <c r="L194" s="416"/>
      <c r="M194" s="459"/>
      <c r="N194" s="459"/>
    </row>
    <row r="195" spans="1:14">
      <c r="A195" s="459"/>
      <c r="B195" s="459"/>
      <c r="C195" s="459"/>
      <c r="D195" s="459"/>
      <c r="E195" s="459"/>
      <c r="F195" s="459"/>
      <c r="G195" s="459"/>
      <c r="H195" s="459"/>
      <c r="I195" s="459"/>
      <c r="J195" s="459"/>
      <c r="K195" s="459"/>
      <c r="L195" s="416"/>
      <c r="M195" s="459"/>
      <c r="N195" s="459"/>
    </row>
    <row r="196" spans="1:14">
      <c r="A196" s="459"/>
      <c r="B196" s="459"/>
      <c r="C196" s="459"/>
      <c r="D196" s="459"/>
      <c r="E196" s="459"/>
      <c r="F196" s="459"/>
      <c r="G196" s="459"/>
      <c r="H196" s="459"/>
      <c r="I196" s="459"/>
      <c r="J196" s="459"/>
      <c r="K196" s="459"/>
      <c r="L196" s="416"/>
      <c r="M196" s="459"/>
      <c r="N196" s="459"/>
    </row>
    <row r="197" spans="1:14">
      <c r="A197" s="459"/>
      <c r="B197" s="459"/>
      <c r="C197" s="459"/>
      <c r="D197" s="459"/>
      <c r="E197" s="459"/>
      <c r="F197" s="459"/>
      <c r="G197" s="459"/>
      <c r="H197" s="459"/>
      <c r="I197" s="459"/>
      <c r="J197" s="459"/>
      <c r="K197" s="459"/>
      <c r="L197" s="416"/>
      <c r="M197" s="459"/>
      <c r="N197" s="459"/>
    </row>
    <row r="198" spans="1:14">
      <c r="A198" s="459"/>
      <c r="B198" s="459"/>
      <c r="C198" s="459"/>
      <c r="D198" s="459"/>
      <c r="E198" s="459"/>
      <c r="F198" s="459"/>
      <c r="G198" s="459"/>
      <c r="H198" s="459"/>
      <c r="I198" s="459"/>
      <c r="J198" s="459"/>
      <c r="K198" s="459"/>
      <c r="L198" s="416"/>
      <c r="M198" s="459"/>
      <c r="N198" s="459"/>
    </row>
    <row r="199" spans="1:14">
      <c r="A199" s="459"/>
      <c r="B199" s="459"/>
      <c r="C199" s="459"/>
      <c r="D199" s="459"/>
      <c r="E199" s="459"/>
      <c r="F199" s="459"/>
      <c r="G199" s="459"/>
      <c r="H199" s="459"/>
      <c r="I199" s="459"/>
      <c r="J199" s="459"/>
      <c r="K199" s="459"/>
      <c r="L199" s="416"/>
      <c r="M199" s="459"/>
      <c r="N199" s="459"/>
    </row>
    <row r="200" spans="1:14">
      <c r="A200" s="459"/>
      <c r="B200" s="459"/>
      <c r="C200" s="459"/>
      <c r="D200" s="459"/>
      <c r="E200" s="459"/>
      <c r="F200" s="459"/>
      <c r="G200" s="459"/>
      <c r="H200" s="459"/>
      <c r="I200" s="459"/>
      <c r="J200" s="459"/>
      <c r="K200" s="459"/>
      <c r="L200" s="416"/>
      <c r="M200" s="459"/>
      <c r="N200" s="459"/>
    </row>
    <row r="201" spans="1:14">
      <c r="A201" s="459"/>
      <c r="B201" s="459"/>
      <c r="C201" s="459"/>
      <c r="D201" s="459"/>
      <c r="E201" s="459"/>
      <c r="F201" s="459"/>
      <c r="G201" s="459"/>
      <c r="H201" s="459"/>
      <c r="I201" s="459"/>
      <c r="J201" s="459"/>
      <c r="K201" s="459"/>
      <c r="L201" s="416"/>
      <c r="M201" s="459"/>
      <c r="N201" s="459"/>
    </row>
    <row r="202" spans="1:14">
      <c r="A202" s="459"/>
      <c r="B202" s="459"/>
      <c r="C202" s="459"/>
      <c r="D202" s="459"/>
      <c r="E202" s="459"/>
      <c r="F202" s="459"/>
      <c r="G202" s="459"/>
      <c r="H202" s="459"/>
      <c r="I202" s="459"/>
      <c r="J202" s="459"/>
      <c r="K202" s="459"/>
      <c r="L202" s="416"/>
      <c r="M202" s="459"/>
      <c r="N202" s="459"/>
    </row>
    <row r="203" spans="1:14">
      <c r="A203" s="459"/>
      <c r="B203" s="459"/>
      <c r="C203" s="459"/>
      <c r="D203" s="459"/>
      <c r="E203" s="459"/>
      <c r="F203" s="459"/>
      <c r="G203" s="459"/>
      <c r="H203" s="459"/>
      <c r="I203" s="459"/>
      <c r="J203" s="459"/>
      <c r="K203" s="459"/>
      <c r="L203" s="416"/>
      <c r="M203" s="459"/>
      <c r="N203" s="459"/>
    </row>
    <row r="204" spans="1:14">
      <c r="A204" s="459"/>
      <c r="B204" s="459"/>
      <c r="C204" s="459"/>
      <c r="D204" s="459"/>
      <c r="E204" s="459"/>
      <c r="F204" s="459"/>
      <c r="G204" s="459"/>
      <c r="H204" s="459"/>
      <c r="I204" s="459"/>
      <c r="J204" s="459"/>
      <c r="K204" s="459"/>
      <c r="L204" s="416"/>
      <c r="M204" s="459"/>
      <c r="N204" s="459"/>
    </row>
    <row r="205" spans="1:14">
      <c r="A205" s="459"/>
      <c r="B205" s="459"/>
      <c r="C205" s="459"/>
      <c r="D205" s="459"/>
      <c r="E205" s="459"/>
      <c r="F205" s="459"/>
      <c r="G205" s="459"/>
      <c r="H205" s="459"/>
      <c r="I205" s="459"/>
      <c r="J205" s="459"/>
      <c r="K205" s="459"/>
      <c r="L205" s="416"/>
      <c r="M205" s="459"/>
      <c r="N205" s="459"/>
    </row>
    <row r="206" spans="1:14">
      <c r="A206" s="459"/>
      <c r="B206" s="459"/>
      <c r="C206" s="459"/>
      <c r="D206" s="459"/>
      <c r="E206" s="459"/>
      <c r="F206" s="459"/>
      <c r="G206" s="459"/>
      <c r="H206" s="459"/>
      <c r="I206" s="459"/>
      <c r="J206" s="459"/>
      <c r="K206" s="459"/>
      <c r="L206" s="416"/>
      <c r="M206" s="459"/>
      <c r="N206" s="459"/>
    </row>
    <row r="207" spans="1:14">
      <c r="A207" s="459"/>
      <c r="B207" s="459"/>
      <c r="C207" s="459"/>
      <c r="D207" s="459"/>
      <c r="E207" s="459"/>
      <c r="F207" s="459"/>
      <c r="G207" s="459"/>
      <c r="H207" s="459"/>
      <c r="I207" s="459"/>
      <c r="J207" s="459"/>
      <c r="K207" s="459"/>
      <c r="L207" s="416"/>
      <c r="M207" s="459"/>
      <c r="N207" s="459"/>
    </row>
    <row r="208" spans="1:14">
      <c r="A208" s="459"/>
      <c r="B208" s="459"/>
      <c r="C208" s="459"/>
      <c r="D208" s="459"/>
      <c r="E208" s="459"/>
      <c r="F208" s="459"/>
      <c r="G208" s="459"/>
      <c r="H208" s="459"/>
      <c r="I208" s="459"/>
      <c r="J208" s="459"/>
      <c r="K208" s="459"/>
      <c r="L208" s="416"/>
      <c r="M208" s="459"/>
      <c r="N208" s="459"/>
    </row>
    <row r="209" spans="1:14">
      <c r="A209" s="459"/>
      <c r="B209" s="459"/>
      <c r="C209" s="459"/>
      <c r="D209" s="459"/>
      <c r="E209" s="459"/>
      <c r="F209" s="459"/>
      <c r="G209" s="459"/>
      <c r="H209" s="459"/>
      <c r="I209" s="459"/>
      <c r="J209" s="459"/>
      <c r="K209" s="459"/>
      <c r="L209" s="416"/>
      <c r="M209" s="459"/>
      <c r="N209" s="459"/>
    </row>
    <row r="210" spans="1:14">
      <c r="A210" s="459"/>
      <c r="B210" s="459"/>
      <c r="C210" s="459"/>
      <c r="D210" s="459"/>
      <c r="E210" s="459"/>
      <c r="F210" s="459"/>
      <c r="G210" s="459"/>
      <c r="H210" s="459"/>
      <c r="I210" s="459"/>
      <c r="J210" s="459"/>
      <c r="K210" s="459"/>
      <c r="L210" s="416"/>
      <c r="M210" s="459"/>
      <c r="N210" s="459"/>
    </row>
    <row r="211" spans="1:14">
      <c r="A211" s="459"/>
      <c r="B211" s="459"/>
      <c r="C211" s="459"/>
      <c r="D211" s="459"/>
      <c r="E211" s="459"/>
      <c r="F211" s="459"/>
      <c r="G211" s="459"/>
      <c r="H211" s="459"/>
      <c r="I211" s="459"/>
      <c r="J211" s="459"/>
      <c r="K211" s="459"/>
      <c r="L211" s="416"/>
      <c r="M211" s="459"/>
      <c r="N211" s="459"/>
    </row>
    <row r="212" spans="1:14">
      <c r="A212" s="459"/>
      <c r="B212" s="459"/>
      <c r="C212" s="459"/>
      <c r="D212" s="459"/>
      <c r="E212" s="459"/>
      <c r="F212" s="459"/>
      <c r="G212" s="459"/>
      <c r="H212" s="459"/>
      <c r="I212" s="459"/>
      <c r="J212" s="459"/>
      <c r="K212" s="459"/>
      <c r="L212" s="416"/>
      <c r="M212" s="459"/>
      <c r="N212" s="459"/>
    </row>
    <row r="213" spans="1:14">
      <c r="A213" s="459"/>
      <c r="B213" s="459"/>
      <c r="C213" s="459"/>
      <c r="D213" s="459"/>
      <c r="E213" s="459"/>
      <c r="F213" s="459"/>
      <c r="G213" s="459"/>
      <c r="H213" s="459"/>
      <c r="I213" s="459"/>
      <c r="J213" s="459"/>
      <c r="K213" s="459"/>
      <c r="L213" s="416"/>
      <c r="M213" s="459"/>
      <c r="N213" s="459"/>
    </row>
    <row r="214" spans="1:14">
      <c r="A214" s="459"/>
      <c r="B214" s="459"/>
      <c r="C214" s="459"/>
      <c r="D214" s="459"/>
      <c r="E214" s="459"/>
      <c r="F214" s="459"/>
      <c r="G214" s="459"/>
      <c r="H214" s="459"/>
      <c r="I214" s="459"/>
      <c r="J214" s="459"/>
      <c r="K214" s="459"/>
      <c r="L214" s="416"/>
      <c r="M214" s="459"/>
      <c r="N214" s="459"/>
    </row>
    <row r="215" spans="1:14">
      <c r="A215" s="459"/>
      <c r="B215" s="459"/>
      <c r="C215" s="459"/>
      <c r="D215" s="459"/>
      <c r="E215" s="459"/>
      <c r="F215" s="459"/>
      <c r="G215" s="459"/>
      <c r="H215" s="459"/>
      <c r="I215" s="459"/>
      <c r="J215" s="459"/>
      <c r="K215" s="459"/>
      <c r="L215" s="416"/>
      <c r="M215" s="459"/>
      <c r="N215" s="459"/>
    </row>
    <row r="216" spans="1:14">
      <c r="A216" s="459"/>
      <c r="B216" s="459"/>
      <c r="C216" s="459"/>
      <c r="D216" s="459"/>
      <c r="E216" s="459"/>
      <c r="F216" s="459"/>
      <c r="G216" s="459"/>
      <c r="H216" s="459"/>
      <c r="I216" s="459"/>
      <c r="J216" s="459"/>
      <c r="K216" s="459"/>
      <c r="L216" s="416"/>
      <c r="M216" s="459"/>
      <c r="N216" s="459"/>
    </row>
    <row r="217" spans="1:14">
      <c r="A217" s="459"/>
      <c r="B217" s="459"/>
      <c r="C217" s="459"/>
      <c r="D217" s="459"/>
      <c r="E217" s="459"/>
      <c r="F217" s="459"/>
      <c r="G217" s="459"/>
      <c r="H217" s="459"/>
      <c r="I217" s="459"/>
      <c r="J217" s="459"/>
      <c r="K217" s="459"/>
      <c r="L217" s="416"/>
      <c r="M217" s="459"/>
      <c r="N217" s="459"/>
    </row>
    <row r="218" spans="1:14">
      <c r="A218" s="459"/>
      <c r="B218" s="459"/>
      <c r="C218" s="459"/>
      <c r="D218" s="459"/>
      <c r="E218" s="459"/>
      <c r="F218" s="459"/>
      <c r="G218" s="459"/>
      <c r="H218" s="459"/>
      <c r="I218" s="459"/>
      <c r="J218" s="459"/>
      <c r="K218" s="459"/>
      <c r="L218" s="416"/>
      <c r="M218" s="459"/>
      <c r="N218" s="459"/>
    </row>
    <row r="219" spans="1:14">
      <c r="A219" s="459"/>
      <c r="B219" s="459"/>
      <c r="C219" s="459"/>
      <c r="D219" s="459"/>
      <c r="E219" s="459"/>
      <c r="F219" s="459"/>
      <c r="G219" s="459"/>
      <c r="H219" s="459"/>
      <c r="I219" s="459"/>
      <c r="J219" s="459"/>
      <c r="K219" s="459"/>
      <c r="L219" s="416"/>
      <c r="M219" s="459"/>
      <c r="N219" s="459"/>
    </row>
    <row r="220" spans="1:14">
      <c r="A220" s="459"/>
      <c r="B220" s="459"/>
      <c r="C220" s="459"/>
      <c r="D220" s="459"/>
      <c r="E220" s="459"/>
      <c r="F220" s="459"/>
      <c r="G220" s="459"/>
      <c r="H220" s="459"/>
      <c r="I220" s="459"/>
      <c r="J220" s="459"/>
      <c r="K220" s="459"/>
      <c r="L220" s="416"/>
      <c r="M220" s="459"/>
      <c r="N220" s="459"/>
    </row>
    <row r="221" spans="1:14">
      <c r="A221" s="459"/>
      <c r="B221" s="459"/>
      <c r="C221" s="459"/>
      <c r="D221" s="459"/>
      <c r="E221" s="459"/>
      <c r="F221" s="459"/>
      <c r="G221" s="459"/>
      <c r="H221" s="459"/>
      <c r="I221" s="459"/>
      <c r="J221" s="459"/>
      <c r="K221" s="459"/>
      <c r="L221" s="416"/>
      <c r="M221" s="459"/>
      <c r="N221" s="459"/>
    </row>
    <row r="222" spans="1:14">
      <c r="A222" s="459"/>
      <c r="B222" s="459"/>
      <c r="C222" s="459"/>
      <c r="D222" s="459"/>
      <c r="E222" s="459"/>
      <c r="F222" s="459"/>
      <c r="G222" s="459"/>
      <c r="H222" s="459"/>
      <c r="I222" s="459"/>
      <c r="J222" s="459"/>
      <c r="K222" s="459"/>
      <c r="L222" s="416"/>
      <c r="M222" s="459"/>
      <c r="N222" s="459"/>
    </row>
    <row r="223" spans="1:14">
      <c r="A223" s="459"/>
      <c r="B223" s="459"/>
      <c r="C223" s="459"/>
      <c r="D223" s="459"/>
      <c r="E223" s="459"/>
      <c r="F223" s="459"/>
      <c r="G223" s="459"/>
      <c r="H223" s="459"/>
      <c r="I223" s="459"/>
      <c r="J223" s="459"/>
      <c r="K223" s="459"/>
      <c r="L223" s="416"/>
      <c r="M223" s="459"/>
      <c r="N223" s="459"/>
    </row>
    <row r="224" spans="1:14">
      <c r="A224" s="459"/>
      <c r="B224" s="459"/>
      <c r="C224" s="459"/>
      <c r="D224" s="459"/>
      <c r="E224" s="459"/>
      <c r="F224" s="459"/>
      <c r="G224" s="459"/>
      <c r="H224" s="459"/>
      <c r="I224" s="459"/>
      <c r="J224" s="459"/>
      <c r="K224" s="459"/>
      <c r="L224" s="416"/>
      <c r="M224" s="459"/>
      <c r="N224" s="459"/>
    </row>
    <row r="225" spans="1:14">
      <c r="A225" s="459"/>
      <c r="B225" s="459"/>
      <c r="C225" s="459"/>
      <c r="D225" s="459"/>
      <c r="E225" s="459"/>
      <c r="F225" s="459"/>
      <c r="G225" s="459"/>
      <c r="H225" s="459"/>
      <c r="I225" s="459"/>
      <c r="J225" s="459"/>
      <c r="K225" s="459"/>
      <c r="L225" s="416"/>
      <c r="M225" s="459"/>
      <c r="N225" s="459"/>
    </row>
    <row r="226" spans="1:14">
      <c r="A226" s="459"/>
      <c r="B226" s="459"/>
      <c r="C226" s="459"/>
      <c r="D226" s="459"/>
      <c r="E226" s="459"/>
      <c r="F226" s="459"/>
      <c r="G226" s="459"/>
      <c r="H226" s="459"/>
      <c r="I226" s="459"/>
      <c r="J226" s="459"/>
      <c r="K226" s="459"/>
      <c r="L226" s="416"/>
      <c r="M226" s="459"/>
      <c r="N226" s="459"/>
    </row>
    <row r="227" spans="1:14">
      <c r="A227" s="459"/>
      <c r="B227" s="459"/>
      <c r="C227" s="459"/>
      <c r="D227" s="459"/>
      <c r="E227" s="459"/>
      <c r="F227" s="459"/>
      <c r="G227" s="459"/>
      <c r="H227" s="459"/>
      <c r="I227" s="459"/>
      <c r="J227" s="459"/>
      <c r="K227" s="459"/>
      <c r="L227" s="416"/>
      <c r="M227" s="459"/>
      <c r="N227" s="459"/>
    </row>
    <row r="228" spans="1:14">
      <c r="A228" s="459"/>
      <c r="B228" s="459"/>
      <c r="C228" s="459"/>
      <c r="D228" s="459"/>
      <c r="E228" s="459"/>
      <c r="F228" s="459"/>
      <c r="G228" s="459"/>
      <c r="H228" s="459"/>
      <c r="I228" s="459"/>
      <c r="J228" s="459"/>
      <c r="K228" s="459"/>
      <c r="L228" s="416"/>
      <c r="M228" s="459"/>
      <c r="N228" s="459"/>
    </row>
    <row r="229" spans="1:14">
      <c r="A229" s="459"/>
      <c r="B229" s="459"/>
      <c r="C229" s="459"/>
      <c r="D229" s="459"/>
      <c r="E229" s="459"/>
      <c r="F229" s="459"/>
      <c r="G229" s="459"/>
      <c r="H229" s="459"/>
      <c r="I229" s="459"/>
      <c r="J229" s="459"/>
      <c r="K229" s="459"/>
      <c r="L229" s="416"/>
      <c r="M229" s="459"/>
      <c r="N229" s="459"/>
    </row>
    <row r="230" spans="1:14">
      <c r="A230" s="459"/>
      <c r="B230" s="459"/>
      <c r="C230" s="459"/>
      <c r="D230" s="459"/>
      <c r="E230" s="459"/>
      <c r="F230" s="459"/>
      <c r="G230" s="459"/>
      <c r="H230" s="459"/>
      <c r="I230" s="459"/>
      <c r="J230" s="459"/>
      <c r="K230" s="459"/>
      <c r="L230" s="416"/>
      <c r="M230" s="459"/>
      <c r="N230" s="459"/>
    </row>
    <row r="231" spans="1:14">
      <c r="A231" s="459"/>
      <c r="B231" s="459"/>
      <c r="C231" s="459"/>
      <c r="D231" s="459"/>
      <c r="E231" s="459"/>
      <c r="F231" s="459"/>
      <c r="G231" s="459"/>
      <c r="H231" s="459"/>
      <c r="I231" s="459"/>
      <c r="J231" s="459"/>
      <c r="K231" s="459"/>
      <c r="L231" s="416"/>
      <c r="M231" s="459"/>
      <c r="N231" s="459"/>
    </row>
    <row r="232" spans="1:14">
      <c r="A232" s="459"/>
      <c r="B232" s="459"/>
      <c r="C232" s="459"/>
      <c r="D232" s="459"/>
      <c r="E232" s="459"/>
      <c r="F232" s="459"/>
      <c r="G232" s="459"/>
      <c r="H232" s="459"/>
      <c r="I232" s="459"/>
      <c r="J232" s="459"/>
      <c r="K232" s="459"/>
      <c r="L232" s="416"/>
      <c r="M232" s="459"/>
      <c r="N232" s="459"/>
    </row>
    <row r="233" spans="1:14">
      <c r="A233" s="459"/>
      <c r="B233" s="459"/>
      <c r="C233" s="459"/>
      <c r="D233" s="459"/>
      <c r="E233" s="459"/>
      <c r="F233" s="459"/>
      <c r="G233" s="459"/>
      <c r="H233" s="459"/>
      <c r="I233" s="459"/>
      <c r="J233" s="459"/>
      <c r="K233" s="459"/>
      <c r="L233" s="416"/>
      <c r="M233" s="459"/>
      <c r="N233" s="459"/>
    </row>
    <row r="234" spans="1:14">
      <c r="A234" s="459"/>
      <c r="B234" s="459"/>
      <c r="C234" s="459"/>
      <c r="D234" s="459"/>
      <c r="E234" s="459"/>
      <c r="F234" s="459"/>
      <c r="G234" s="459"/>
      <c r="H234" s="459"/>
      <c r="I234" s="459"/>
      <c r="J234" s="459"/>
      <c r="K234" s="459"/>
      <c r="L234" s="416"/>
      <c r="M234" s="459"/>
      <c r="N234" s="459"/>
    </row>
    <row r="235" spans="1:14">
      <c r="A235" s="459"/>
      <c r="B235" s="459"/>
      <c r="C235" s="459"/>
      <c r="D235" s="459"/>
      <c r="E235" s="459"/>
      <c r="F235" s="459"/>
      <c r="G235" s="459"/>
      <c r="H235" s="459"/>
      <c r="I235" s="459"/>
      <c r="J235" s="459"/>
      <c r="K235" s="459"/>
      <c r="L235" s="416"/>
      <c r="M235" s="459"/>
      <c r="N235" s="459"/>
    </row>
    <row r="236" spans="1:14">
      <c r="A236" s="459"/>
      <c r="B236" s="459"/>
      <c r="C236" s="459"/>
      <c r="D236" s="459"/>
      <c r="E236" s="459"/>
      <c r="F236" s="459"/>
      <c r="G236" s="459"/>
      <c r="H236" s="459"/>
      <c r="I236" s="459"/>
      <c r="J236" s="459"/>
      <c r="K236" s="459"/>
      <c r="L236" s="416"/>
      <c r="M236" s="459"/>
      <c r="N236" s="459"/>
    </row>
    <row r="237" spans="1:14">
      <c r="A237" s="459"/>
      <c r="B237" s="459"/>
      <c r="C237" s="459"/>
      <c r="D237" s="459"/>
      <c r="E237" s="459"/>
      <c r="F237" s="459"/>
      <c r="G237" s="459"/>
      <c r="H237" s="459"/>
      <c r="I237" s="459"/>
      <c r="J237" s="459"/>
      <c r="K237" s="459"/>
      <c r="L237" s="416"/>
      <c r="M237" s="459"/>
      <c r="N237" s="459"/>
    </row>
    <row r="238" spans="1:14">
      <c r="A238" s="459"/>
      <c r="B238" s="459"/>
      <c r="C238" s="459"/>
      <c r="D238" s="459"/>
      <c r="E238" s="459"/>
      <c r="F238" s="459"/>
      <c r="G238" s="459"/>
      <c r="H238" s="459"/>
      <c r="I238" s="459"/>
      <c r="J238" s="459"/>
      <c r="K238" s="459"/>
      <c r="L238" s="416"/>
      <c r="M238" s="459"/>
      <c r="N238" s="459"/>
    </row>
    <row r="239" spans="1:14">
      <c r="A239" s="459"/>
      <c r="B239" s="459"/>
      <c r="C239" s="459"/>
      <c r="D239" s="459"/>
      <c r="E239" s="459"/>
      <c r="F239" s="459"/>
      <c r="G239" s="459"/>
      <c r="H239" s="459"/>
      <c r="I239" s="459"/>
      <c r="J239" s="459"/>
      <c r="K239" s="459"/>
      <c r="L239" s="416"/>
      <c r="M239" s="459"/>
      <c r="N239" s="459"/>
    </row>
    <row r="240" spans="1:14">
      <c r="A240" s="459"/>
      <c r="B240" s="459"/>
      <c r="C240" s="459"/>
      <c r="D240" s="459"/>
      <c r="E240" s="459"/>
      <c r="F240" s="459"/>
      <c r="G240" s="459"/>
      <c r="H240" s="459"/>
      <c r="I240" s="459"/>
      <c r="J240" s="459"/>
      <c r="K240" s="459"/>
      <c r="L240" s="416"/>
      <c r="M240" s="459"/>
      <c r="N240" s="459"/>
    </row>
    <row r="241" spans="1:14">
      <c r="A241" s="459"/>
      <c r="B241" s="459"/>
      <c r="C241" s="459"/>
      <c r="D241" s="459"/>
      <c r="E241" s="459"/>
      <c r="F241" s="459"/>
      <c r="G241" s="459"/>
      <c r="H241" s="459"/>
      <c r="I241" s="459"/>
      <c r="J241" s="459"/>
      <c r="K241" s="459"/>
      <c r="L241" s="416"/>
      <c r="M241" s="459"/>
      <c r="N241" s="459"/>
    </row>
    <row r="242" spans="1:14">
      <c r="A242" s="459"/>
      <c r="B242" s="459"/>
      <c r="C242" s="459"/>
      <c r="D242" s="459"/>
      <c r="E242" s="459"/>
      <c r="F242" s="459"/>
      <c r="G242" s="459"/>
      <c r="H242" s="459"/>
      <c r="I242" s="459"/>
      <c r="J242" s="459"/>
      <c r="K242" s="459"/>
      <c r="L242" s="416"/>
      <c r="M242" s="459"/>
      <c r="N242" s="459"/>
    </row>
    <row r="243" spans="1:14">
      <c r="A243" s="459"/>
      <c r="B243" s="459"/>
      <c r="C243" s="459"/>
      <c r="D243" s="459"/>
      <c r="E243" s="459"/>
      <c r="F243" s="459"/>
      <c r="G243" s="459"/>
      <c r="H243" s="459"/>
      <c r="I243" s="459"/>
      <c r="J243" s="459"/>
      <c r="K243" s="459"/>
      <c r="L243" s="416"/>
      <c r="M243" s="459"/>
      <c r="N243" s="459"/>
    </row>
    <row r="244" spans="1:14">
      <c r="A244" s="459"/>
      <c r="B244" s="459"/>
      <c r="C244" s="459"/>
      <c r="D244" s="459"/>
      <c r="E244" s="459"/>
      <c r="F244" s="459"/>
      <c r="G244" s="459"/>
      <c r="H244" s="459"/>
      <c r="I244" s="459"/>
      <c r="J244" s="459"/>
      <c r="K244" s="459"/>
      <c r="L244" s="416"/>
      <c r="M244" s="459"/>
      <c r="N244" s="459"/>
    </row>
    <row r="245" spans="1:14">
      <c r="A245" s="459"/>
      <c r="B245" s="459"/>
      <c r="C245" s="459"/>
      <c r="D245" s="459"/>
      <c r="E245" s="459"/>
      <c r="F245" s="459"/>
      <c r="G245" s="459"/>
      <c r="H245" s="459"/>
      <c r="I245" s="459"/>
      <c r="J245" s="459"/>
      <c r="K245" s="459"/>
      <c r="L245" s="416"/>
      <c r="M245" s="459"/>
      <c r="N245" s="459"/>
    </row>
    <row r="246" spans="1:14">
      <c r="A246" s="459"/>
      <c r="B246" s="459"/>
      <c r="C246" s="459"/>
      <c r="D246" s="459"/>
      <c r="E246" s="459"/>
      <c r="F246" s="459"/>
      <c r="G246" s="459"/>
      <c r="H246" s="459"/>
      <c r="I246" s="459"/>
      <c r="J246" s="459"/>
      <c r="K246" s="459"/>
      <c r="L246" s="416"/>
      <c r="M246" s="459"/>
      <c r="N246" s="459"/>
    </row>
    <row r="247" spans="1:14">
      <c r="A247" s="459"/>
      <c r="B247" s="459"/>
      <c r="C247" s="459"/>
      <c r="D247" s="459"/>
      <c r="E247" s="459"/>
      <c r="F247" s="459"/>
      <c r="G247" s="459"/>
      <c r="H247" s="459"/>
      <c r="I247" s="459"/>
      <c r="J247" s="459"/>
      <c r="K247" s="459"/>
      <c r="L247" s="416"/>
      <c r="M247" s="459"/>
      <c r="N247" s="459"/>
    </row>
    <row r="248" spans="1:14">
      <c r="A248" s="459"/>
      <c r="B248" s="459"/>
      <c r="C248" s="459"/>
      <c r="D248" s="459"/>
      <c r="E248" s="459"/>
      <c r="F248" s="459"/>
      <c r="G248" s="459"/>
      <c r="H248" s="459"/>
      <c r="I248" s="459"/>
      <c r="J248" s="459"/>
      <c r="K248" s="459"/>
      <c r="L248" s="416"/>
      <c r="M248" s="459"/>
      <c r="N248" s="459"/>
    </row>
    <row r="249" spans="1:14">
      <c r="A249" s="459"/>
      <c r="B249" s="459"/>
      <c r="C249" s="459"/>
      <c r="D249" s="459"/>
      <c r="E249" s="459"/>
      <c r="F249" s="459"/>
      <c r="G249" s="459"/>
      <c r="H249" s="459"/>
      <c r="I249" s="459"/>
      <c r="J249" s="459"/>
      <c r="K249" s="459"/>
      <c r="L249" s="416"/>
      <c r="M249" s="459"/>
      <c r="N249" s="459"/>
    </row>
    <row r="250" spans="1:14">
      <c r="A250" s="459"/>
      <c r="B250" s="459"/>
      <c r="C250" s="459"/>
      <c r="D250" s="459"/>
      <c r="E250" s="459"/>
      <c r="F250" s="459"/>
      <c r="G250" s="459"/>
      <c r="H250" s="459"/>
      <c r="I250" s="459"/>
      <c r="J250" s="459"/>
      <c r="K250" s="459"/>
      <c r="L250" s="416"/>
      <c r="M250" s="459"/>
      <c r="N250" s="459"/>
    </row>
    <row r="251" spans="1:14">
      <c r="A251" s="459"/>
      <c r="B251" s="459"/>
      <c r="C251" s="459"/>
      <c r="D251" s="459"/>
      <c r="E251" s="459"/>
      <c r="F251" s="459"/>
      <c r="G251" s="459"/>
      <c r="H251" s="459"/>
      <c r="I251" s="459"/>
      <c r="J251" s="459"/>
      <c r="K251" s="459"/>
      <c r="L251" s="416"/>
      <c r="M251" s="459"/>
      <c r="N251" s="459"/>
    </row>
    <row r="252" spans="1:14">
      <c r="A252" s="459"/>
      <c r="B252" s="459"/>
      <c r="C252" s="459"/>
      <c r="D252" s="459"/>
      <c r="E252" s="459"/>
      <c r="F252" s="459"/>
      <c r="G252" s="459"/>
      <c r="H252" s="459"/>
      <c r="I252" s="459"/>
      <c r="J252" s="459"/>
      <c r="K252" s="459"/>
      <c r="L252" s="416"/>
      <c r="M252" s="459"/>
      <c r="N252" s="459"/>
    </row>
    <row r="253" spans="1:14">
      <c r="A253" s="459"/>
      <c r="B253" s="459"/>
      <c r="C253" s="459"/>
      <c r="D253" s="459"/>
      <c r="E253" s="459"/>
      <c r="F253" s="459"/>
      <c r="G253" s="459"/>
      <c r="H253" s="459"/>
      <c r="I253" s="459"/>
      <c r="J253" s="459"/>
      <c r="K253" s="459"/>
      <c r="L253" s="416"/>
      <c r="M253" s="459"/>
      <c r="N253" s="459"/>
    </row>
    <row r="254" spans="1:14">
      <c r="A254" s="459"/>
      <c r="B254" s="459"/>
      <c r="C254" s="459"/>
      <c r="D254" s="459"/>
      <c r="E254" s="459"/>
      <c r="F254" s="459"/>
      <c r="G254" s="459"/>
      <c r="H254" s="459"/>
      <c r="I254" s="459"/>
      <c r="J254" s="459"/>
      <c r="K254" s="459"/>
      <c r="L254" s="416"/>
      <c r="M254" s="459"/>
      <c r="N254" s="459"/>
    </row>
    <row r="255" spans="1:14">
      <c r="A255" s="459"/>
      <c r="B255" s="459"/>
      <c r="C255" s="459"/>
      <c r="D255" s="459"/>
      <c r="E255" s="459"/>
      <c r="F255" s="459"/>
      <c r="G255" s="459"/>
      <c r="H255" s="459"/>
      <c r="I255" s="459"/>
      <c r="J255" s="459"/>
      <c r="K255" s="459"/>
      <c r="L255" s="416"/>
      <c r="M255" s="459"/>
      <c r="N255" s="459"/>
    </row>
    <row r="256" spans="1:14">
      <c r="A256" s="459"/>
      <c r="B256" s="459"/>
      <c r="C256" s="459"/>
      <c r="D256" s="459"/>
      <c r="E256" s="459"/>
      <c r="F256" s="459"/>
      <c r="G256" s="459"/>
      <c r="H256" s="459"/>
      <c r="I256" s="459"/>
      <c r="J256" s="459"/>
      <c r="K256" s="459"/>
      <c r="L256" s="416"/>
      <c r="M256" s="459"/>
      <c r="N256" s="459"/>
    </row>
    <row r="257" spans="1:14">
      <c r="A257" s="459"/>
      <c r="B257" s="459"/>
      <c r="C257" s="459"/>
      <c r="D257" s="459"/>
      <c r="E257" s="459"/>
      <c r="F257" s="459"/>
      <c r="G257" s="459"/>
      <c r="H257" s="459"/>
      <c r="I257" s="459"/>
      <c r="J257" s="459"/>
      <c r="K257" s="459"/>
      <c r="L257" s="416"/>
      <c r="M257" s="459"/>
      <c r="N257" s="459"/>
    </row>
    <row r="258" spans="1:14">
      <c r="A258" s="459"/>
      <c r="B258" s="459"/>
      <c r="C258" s="459"/>
      <c r="D258" s="459"/>
      <c r="E258" s="459"/>
      <c r="F258" s="459"/>
      <c r="G258" s="459"/>
      <c r="H258" s="459"/>
      <c r="I258" s="459"/>
      <c r="J258" s="459"/>
      <c r="K258" s="459"/>
      <c r="L258" s="416"/>
      <c r="M258" s="459"/>
      <c r="N258" s="459"/>
    </row>
    <row r="259" spans="1:14">
      <c r="A259" s="459"/>
      <c r="B259" s="459"/>
      <c r="C259" s="459"/>
      <c r="D259" s="459"/>
      <c r="E259" s="459"/>
      <c r="F259" s="459"/>
      <c r="G259" s="459"/>
      <c r="H259" s="459"/>
      <c r="I259" s="459"/>
      <c r="J259" s="459"/>
      <c r="K259" s="459"/>
      <c r="L259" s="416"/>
      <c r="M259" s="459"/>
      <c r="N259" s="459"/>
    </row>
    <row r="260" spans="1:14">
      <c r="A260" s="459"/>
      <c r="B260" s="459"/>
      <c r="C260" s="459"/>
      <c r="D260" s="459"/>
      <c r="E260" s="459"/>
      <c r="F260" s="459"/>
      <c r="G260" s="459"/>
      <c r="H260" s="459"/>
      <c r="I260" s="459"/>
      <c r="J260" s="459"/>
      <c r="K260" s="459"/>
      <c r="L260" s="416"/>
      <c r="M260" s="459"/>
      <c r="N260" s="459"/>
    </row>
    <row r="261" spans="1:14">
      <c r="A261" s="459"/>
      <c r="B261" s="459"/>
      <c r="C261" s="459"/>
      <c r="D261" s="459"/>
      <c r="E261" s="459"/>
      <c r="F261" s="459"/>
      <c r="G261" s="459"/>
      <c r="H261" s="459"/>
      <c r="I261" s="459"/>
      <c r="J261" s="459"/>
      <c r="K261" s="459"/>
      <c r="L261" s="416"/>
      <c r="M261" s="459"/>
      <c r="N261" s="459"/>
    </row>
    <row r="262" spans="1:14">
      <c r="A262" s="459"/>
      <c r="B262" s="459"/>
      <c r="C262" s="459"/>
      <c r="D262" s="459"/>
      <c r="E262" s="459"/>
      <c r="F262" s="459"/>
      <c r="G262" s="459"/>
      <c r="H262" s="459"/>
      <c r="I262" s="459"/>
      <c r="J262" s="459"/>
      <c r="K262" s="459"/>
      <c r="L262" s="416"/>
      <c r="M262" s="459"/>
      <c r="N262" s="459"/>
    </row>
    <row r="263" spans="1:14">
      <c r="A263" s="459"/>
      <c r="B263" s="459"/>
      <c r="C263" s="459"/>
      <c r="D263" s="459"/>
      <c r="E263" s="459"/>
      <c r="F263" s="459"/>
      <c r="G263" s="459"/>
      <c r="H263" s="459"/>
      <c r="I263" s="459"/>
      <c r="J263" s="459"/>
      <c r="K263" s="459"/>
      <c r="L263" s="416"/>
      <c r="M263" s="459"/>
      <c r="N263" s="459"/>
    </row>
    <row r="264" spans="1:14">
      <c r="A264" s="459"/>
      <c r="B264" s="459"/>
      <c r="C264" s="459"/>
      <c r="D264" s="459"/>
      <c r="E264" s="459"/>
      <c r="F264" s="459"/>
      <c r="G264" s="459"/>
      <c r="H264" s="459"/>
      <c r="I264" s="459"/>
      <c r="J264" s="459"/>
      <c r="K264" s="459"/>
      <c r="L264" s="416"/>
      <c r="M264" s="459"/>
      <c r="N264" s="459"/>
    </row>
    <row r="265" spans="1:14">
      <c r="A265" s="459"/>
      <c r="B265" s="459"/>
      <c r="C265" s="459"/>
      <c r="D265" s="459"/>
      <c r="E265" s="459"/>
      <c r="F265" s="459"/>
      <c r="G265" s="459"/>
      <c r="H265" s="459"/>
      <c r="I265" s="459"/>
      <c r="J265" s="459"/>
      <c r="K265" s="459"/>
      <c r="L265" s="416"/>
      <c r="M265" s="459"/>
      <c r="N265" s="459"/>
    </row>
    <row r="266" spans="1:14">
      <c r="A266" s="459"/>
      <c r="B266" s="459"/>
      <c r="C266" s="459"/>
      <c r="D266" s="459"/>
      <c r="E266" s="459"/>
      <c r="F266" s="459"/>
      <c r="G266" s="459"/>
      <c r="H266" s="459"/>
      <c r="I266" s="459"/>
      <c r="J266" s="459"/>
      <c r="K266" s="459"/>
      <c r="L266" s="416"/>
      <c r="M266" s="459"/>
      <c r="N266" s="459"/>
    </row>
    <row r="267" spans="1:14">
      <c r="A267" s="459"/>
      <c r="B267" s="459"/>
      <c r="C267" s="459"/>
      <c r="D267" s="459"/>
      <c r="E267" s="459"/>
      <c r="F267" s="459"/>
      <c r="G267" s="459"/>
      <c r="H267" s="459"/>
      <c r="I267" s="459"/>
      <c r="J267" s="459"/>
      <c r="K267" s="459"/>
      <c r="L267" s="416"/>
      <c r="M267" s="459"/>
      <c r="N267" s="459"/>
    </row>
    <row r="268" spans="1:14">
      <c r="A268" s="459"/>
      <c r="B268" s="459"/>
      <c r="C268" s="459"/>
      <c r="D268" s="459"/>
      <c r="E268" s="459"/>
      <c r="F268" s="459"/>
      <c r="G268" s="459"/>
      <c r="H268" s="459"/>
      <c r="I268" s="459"/>
      <c r="J268" s="459"/>
      <c r="K268" s="459"/>
      <c r="L268" s="416"/>
      <c r="M268" s="459"/>
      <c r="N268" s="459"/>
    </row>
    <row r="269" spans="1:14">
      <c r="A269" s="459"/>
      <c r="B269" s="459"/>
      <c r="C269" s="459"/>
      <c r="D269" s="459"/>
      <c r="E269" s="459"/>
      <c r="F269" s="459"/>
      <c r="G269" s="459"/>
      <c r="H269" s="459"/>
      <c r="I269" s="459"/>
      <c r="J269" s="459"/>
      <c r="K269" s="459"/>
      <c r="L269" s="416"/>
      <c r="M269" s="459"/>
      <c r="N269" s="459"/>
    </row>
    <row r="270" spans="1:14">
      <c r="A270" s="459"/>
      <c r="B270" s="459"/>
      <c r="C270" s="459"/>
      <c r="D270" s="459"/>
      <c r="E270" s="459"/>
      <c r="F270" s="459"/>
      <c r="G270" s="459"/>
      <c r="H270" s="459"/>
      <c r="I270" s="459"/>
      <c r="J270" s="459"/>
      <c r="K270" s="459"/>
      <c r="L270" s="416"/>
      <c r="M270" s="459"/>
      <c r="N270" s="459"/>
    </row>
    <row r="271" spans="1:14">
      <c r="A271" s="459"/>
      <c r="B271" s="459"/>
      <c r="C271" s="459"/>
      <c r="D271" s="459"/>
      <c r="E271" s="459"/>
      <c r="F271" s="459"/>
      <c r="G271" s="459"/>
      <c r="H271" s="459"/>
      <c r="I271" s="459"/>
      <c r="J271" s="459"/>
      <c r="K271" s="459"/>
      <c r="L271" s="416"/>
      <c r="M271" s="459"/>
      <c r="N271" s="459"/>
    </row>
    <row r="272" spans="1:14">
      <c r="A272" s="459"/>
      <c r="B272" s="459"/>
      <c r="C272" s="459"/>
      <c r="D272" s="459"/>
      <c r="E272" s="459"/>
      <c r="F272" s="459"/>
      <c r="G272" s="459"/>
      <c r="H272" s="459"/>
      <c r="I272" s="459"/>
      <c r="J272" s="459"/>
      <c r="K272" s="459"/>
      <c r="L272" s="416"/>
      <c r="M272" s="459"/>
      <c r="N272" s="459"/>
    </row>
    <row r="273" spans="1:14">
      <c r="A273" s="459"/>
      <c r="B273" s="459"/>
      <c r="C273" s="459"/>
      <c r="D273" s="459"/>
      <c r="E273" s="459"/>
      <c r="F273" s="459"/>
      <c r="G273" s="459"/>
      <c r="H273" s="459"/>
      <c r="I273" s="459"/>
      <c r="J273" s="459"/>
      <c r="K273" s="459"/>
      <c r="L273" s="416"/>
      <c r="M273" s="459"/>
      <c r="N273" s="459"/>
    </row>
    <row r="274" spans="1:14">
      <c r="A274" s="459"/>
      <c r="B274" s="459"/>
      <c r="C274" s="459"/>
      <c r="D274" s="459"/>
      <c r="E274" s="459"/>
      <c r="F274" s="459"/>
      <c r="G274" s="459"/>
      <c r="H274" s="459"/>
      <c r="I274" s="459"/>
      <c r="J274" s="459"/>
      <c r="K274" s="459"/>
      <c r="L274" s="416"/>
      <c r="M274" s="459"/>
      <c r="N274" s="459"/>
    </row>
    <row r="275" spans="1:14">
      <c r="A275" s="459"/>
      <c r="B275" s="459"/>
      <c r="C275" s="459"/>
      <c r="D275" s="459"/>
      <c r="E275" s="459"/>
      <c r="F275" s="459"/>
      <c r="G275" s="459"/>
      <c r="H275" s="459"/>
      <c r="I275" s="459"/>
      <c r="J275" s="459"/>
      <c r="K275" s="459"/>
      <c r="L275" s="416"/>
      <c r="M275" s="459"/>
      <c r="N275" s="459"/>
    </row>
    <row r="276" spans="1:14">
      <c r="A276" s="459"/>
      <c r="B276" s="459"/>
      <c r="C276" s="459"/>
      <c r="D276" s="459"/>
      <c r="E276" s="459"/>
      <c r="F276" s="459"/>
      <c r="G276" s="459"/>
      <c r="H276" s="459"/>
      <c r="I276" s="459"/>
      <c r="J276" s="459"/>
      <c r="K276" s="459"/>
      <c r="L276" s="416"/>
      <c r="M276" s="459"/>
      <c r="N276" s="459"/>
    </row>
    <row r="277" spans="1:14">
      <c r="A277" s="459"/>
      <c r="B277" s="459"/>
      <c r="C277" s="459"/>
      <c r="D277" s="459"/>
      <c r="E277" s="459"/>
      <c r="F277" s="459"/>
      <c r="G277" s="459"/>
      <c r="H277" s="459"/>
      <c r="I277" s="459"/>
      <c r="J277" s="459"/>
      <c r="K277" s="459"/>
      <c r="L277" s="416"/>
      <c r="M277" s="459"/>
      <c r="N277" s="459"/>
    </row>
    <row r="278" spans="1:14">
      <c r="A278" s="459"/>
      <c r="B278" s="459"/>
      <c r="C278" s="459"/>
      <c r="D278" s="459"/>
      <c r="E278" s="459"/>
      <c r="F278" s="459"/>
      <c r="G278" s="459"/>
      <c r="H278" s="459"/>
      <c r="I278" s="459"/>
      <c r="J278" s="459"/>
      <c r="K278" s="459"/>
      <c r="L278" s="416"/>
      <c r="M278" s="459"/>
      <c r="N278" s="459"/>
    </row>
    <row r="279" spans="1:14">
      <c r="A279" s="459"/>
      <c r="B279" s="459"/>
      <c r="C279" s="459"/>
      <c r="D279" s="459"/>
      <c r="E279" s="459"/>
      <c r="F279" s="459"/>
      <c r="G279" s="459"/>
      <c r="H279" s="459"/>
      <c r="I279" s="459"/>
      <c r="J279" s="459"/>
      <c r="K279" s="459"/>
      <c r="L279" s="416"/>
      <c r="M279" s="459"/>
      <c r="N279" s="459"/>
    </row>
    <row r="280" spans="1:14">
      <c r="A280" s="459"/>
      <c r="B280" s="459"/>
      <c r="C280" s="459"/>
      <c r="D280" s="459"/>
      <c r="E280" s="459"/>
      <c r="F280" s="459"/>
      <c r="G280" s="459"/>
      <c r="H280" s="459"/>
      <c r="I280" s="459"/>
      <c r="J280" s="459"/>
      <c r="K280" s="459"/>
      <c r="L280" s="416"/>
      <c r="M280" s="459"/>
      <c r="N280" s="459"/>
    </row>
    <row r="281" spans="1:14">
      <c r="A281" s="459"/>
      <c r="B281" s="459"/>
      <c r="C281" s="459"/>
      <c r="D281" s="459"/>
      <c r="E281" s="459"/>
      <c r="F281" s="459"/>
      <c r="G281" s="459"/>
      <c r="H281" s="459"/>
      <c r="I281" s="459"/>
      <c r="J281" s="459"/>
      <c r="K281" s="459"/>
      <c r="L281" s="416"/>
      <c r="M281" s="459"/>
      <c r="N281" s="459"/>
    </row>
    <row r="282" spans="1:14">
      <c r="A282" s="459"/>
      <c r="B282" s="459"/>
      <c r="C282" s="459"/>
      <c r="D282" s="459"/>
      <c r="E282" s="459"/>
      <c r="F282" s="459"/>
      <c r="G282" s="459"/>
      <c r="H282" s="459"/>
      <c r="I282" s="459"/>
      <c r="J282" s="459"/>
      <c r="K282" s="459"/>
      <c r="L282" s="416"/>
      <c r="M282" s="459"/>
      <c r="N282" s="459"/>
    </row>
    <row r="283" spans="1:14">
      <c r="A283" s="459"/>
      <c r="B283" s="459"/>
      <c r="C283" s="459"/>
      <c r="D283" s="459"/>
      <c r="E283" s="459"/>
      <c r="F283" s="459"/>
      <c r="G283" s="459"/>
      <c r="H283" s="459"/>
      <c r="I283" s="459"/>
      <c r="J283" s="459"/>
      <c r="K283" s="459"/>
      <c r="L283" s="416"/>
      <c r="M283" s="459"/>
      <c r="N283" s="459"/>
    </row>
    <row r="284" spans="1:14">
      <c r="A284" s="459"/>
      <c r="B284" s="459"/>
      <c r="C284" s="459"/>
      <c r="D284" s="459"/>
      <c r="E284" s="459"/>
      <c r="F284" s="459"/>
      <c r="G284" s="459"/>
      <c r="H284" s="459"/>
      <c r="I284" s="459"/>
      <c r="J284" s="459"/>
      <c r="K284" s="459"/>
      <c r="L284" s="416"/>
      <c r="M284" s="459"/>
      <c r="N284" s="459"/>
    </row>
    <row r="285" spans="1:14">
      <c r="A285" s="459"/>
      <c r="B285" s="459"/>
      <c r="C285" s="459"/>
      <c r="D285" s="459"/>
      <c r="E285" s="459"/>
      <c r="F285" s="459"/>
      <c r="G285" s="459"/>
      <c r="H285" s="459"/>
      <c r="I285" s="459"/>
      <c r="J285" s="459"/>
      <c r="K285" s="459"/>
      <c r="L285" s="416"/>
      <c r="M285" s="459"/>
      <c r="N285" s="459"/>
    </row>
    <row r="286" spans="1:14">
      <c r="A286" s="459"/>
      <c r="B286" s="459"/>
      <c r="C286" s="459"/>
      <c r="D286" s="459"/>
      <c r="E286" s="459"/>
      <c r="F286" s="459"/>
      <c r="G286" s="459"/>
      <c r="H286" s="459"/>
      <c r="I286" s="459"/>
      <c r="J286" s="459"/>
      <c r="K286" s="459"/>
      <c r="L286" s="416"/>
      <c r="M286" s="459"/>
      <c r="N286" s="459"/>
    </row>
    <row r="287" spans="1:14">
      <c r="A287" s="459"/>
      <c r="B287" s="459"/>
      <c r="C287" s="459"/>
      <c r="D287" s="459"/>
      <c r="E287" s="459"/>
      <c r="F287" s="459"/>
      <c r="G287" s="459"/>
      <c r="H287" s="459"/>
      <c r="I287" s="459"/>
      <c r="J287" s="459"/>
      <c r="K287" s="459"/>
      <c r="L287" s="416"/>
      <c r="M287" s="459"/>
      <c r="N287" s="459"/>
    </row>
    <row r="288" spans="1:14">
      <c r="A288" s="459"/>
      <c r="B288" s="459"/>
      <c r="C288" s="459"/>
      <c r="D288" s="459"/>
      <c r="E288" s="459"/>
      <c r="F288" s="459"/>
      <c r="G288" s="459"/>
      <c r="H288" s="459"/>
      <c r="I288" s="459"/>
      <c r="J288" s="459"/>
      <c r="K288" s="459"/>
      <c r="L288" s="416"/>
      <c r="M288" s="459"/>
      <c r="N288" s="459"/>
    </row>
    <row r="289" spans="1:14">
      <c r="A289" s="459"/>
      <c r="B289" s="459"/>
      <c r="C289" s="459"/>
      <c r="D289" s="459"/>
      <c r="E289" s="459"/>
      <c r="F289" s="459"/>
      <c r="G289" s="459"/>
      <c r="H289" s="459"/>
      <c r="I289" s="459"/>
      <c r="J289" s="459"/>
      <c r="K289" s="459"/>
      <c r="L289" s="416"/>
      <c r="M289" s="459"/>
      <c r="N289" s="459"/>
    </row>
    <row r="290" spans="1:14">
      <c r="A290" s="459"/>
      <c r="B290" s="459"/>
      <c r="C290" s="459"/>
      <c r="D290" s="459"/>
      <c r="E290" s="459"/>
      <c r="F290" s="459"/>
      <c r="G290" s="459"/>
      <c r="H290" s="459"/>
      <c r="I290" s="459"/>
      <c r="J290" s="459"/>
      <c r="K290" s="459"/>
      <c r="L290" s="416"/>
      <c r="M290" s="459"/>
      <c r="N290" s="459"/>
    </row>
    <row r="291" spans="1:14">
      <c r="A291" s="459"/>
      <c r="B291" s="459"/>
      <c r="C291" s="459"/>
      <c r="D291" s="459"/>
      <c r="E291" s="459"/>
      <c r="F291" s="459"/>
      <c r="G291" s="459"/>
      <c r="H291" s="459"/>
      <c r="I291" s="459"/>
      <c r="J291" s="459"/>
      <c r="K291" s="459"/>
      <c r="L291" s="416"/>
      <c r="M291" s="459"/>
      <c r="N291" s="459"/>
    </row>
    <row r="292" spans="1:14">
      <c r="A292" s="459"/>
      <c r="B292" s="459"/>
      <c r="C292" s="459"/>
      <c r="D292" s="459"/>
      <c r="E292" s="459"/>
      <c r="F292" s="459"/>
      <c r="G292" s="459"/>
      <c r="H292" s="459"/>
      <c r="I292" s="459"/>
      <c r="J292" s="459"/>
      <c r="K292" s="459"/>
      <c r="L292" s="416"/>
      <c r="M292" s="459"/>
      <c r="N292" s="459"/>
    </row>
    <row r="293" spans="1:14">
      <c r="A293" s="459"/>
      <c r="B293" s="459"/>
      <c r="C293" s="459"/>
      <c r="D293" s="459"/>
      <c r="E293" s="459"/>
      <c r="F293" s="459"/>
      <c r="G293" s="459"/>
      <c r="H293" s="459"/>
      <c r="I293" s="459"/>
      <c r="J293" s="459"/>
      <c r="K293" s="459"/>
      <c r="L293" s="416"/>
      <c r="M293" s="459"/>
      <c r="N293" s="459"/>
    </row>
    <row r="294" spans="1:14">
      <c r="A294" s="459"/>
      <c r="B294" s="459"/>
      <c r="C294" s="459"/>
      <c r="D294" s="459"/>
      <c r="E294" s="459"/>
      <c r="F294" s="459"/>
      <c r="G294" s="459"/>
      <c r="H294" s="459"/>
      <c r="I294" s="459"/>
      <c r="J294" s="459"/>
      <c r="K294" s="459"/>
      <c r="L294" s="416"/>
      <c r="M294" s="459"/>
      <c r="N294" s="459"/>
    </row>
    <row r="295" spans="1:14">
      <c r="A295" s="459"/>
      <c r="B295" s="459"/>
      <c r="C295" s="459"/>
      <c r="D295" s="459"/>
      <c r="E295" s="459"/>
      <c r="F295" s="459"/>
      <c r="G295" s="459"/>
      <c r="H295" s="459"/>
      <c r="I295" s="459"/>
      <c r="J295" s="459"/>
      <c r="K295" s="459"/>
      <c r="L295" s="416"/>
      <c r="M295" s="459"/>
      <c r="N295" s="459"/>
    </row>
    <row r="296" spans="1:14">
      <c r="A296" s="459"/>
      <c r="B296" s="459"/>
      <c r="C296" s="459"/>
      <c r="D296" s="459"/>
      <c r="E296" s="459"/>
      <c r="F296" s="459"/>
      <c r="G296" s="459"/>
      <c r="H296" s="459"/>
      <c r="I296" s="459"/>
      <c r="J296" s="459"/>
      <c r="K296" s="459"/>
      <c r="L296" s="416"/>
      <c r="M296" s="459"/>
      <c r="N296" s="459"/>
    </row>
    <row r="297" spans="1:14">
      <c r="A297" s="459"/>
      <c r="B297" s="459"/>
      <c r="C297" s="459"/>
      <c r="D297" s="459"/>
      <c r="E297" s="459"/>
      <c r="F297" s="459"/>
      <c r="G297" s="459"/>
      <c r="H297" s="459"/>
      <c r="I297" s="459"/>
      <c r="J297" s="459"/>
      <c r="K297" s="459"/>
      <c r="L297" s="416"/>
      <c r="M297" s="459"/>
      <c r="N297" s="459"/>
    </row>
    <row r="298" spans="1:14">
      <c r="A298" s="459"/>
      <c r="B298" s="459"/>
      <c r="C298" s="459"/>
      <c r="D298" s="459"/>
      <c r="E298" s="459"/>
      <c r="F298" s="459"/>
      <c r="G298" s="459"/>
      <c r="H298" s="459"/>
      <c r="I298" s="459"/>
      <c r="J298" s="459"/>
      <c r="K298" s="459"/>
      <c r="L298" s="416"/>
      <c r="M298" s="459"/>
      <c r="N298" s="459"/>
    </row>
    <row r="299" spans="1:14">
      <c r="A299" s="459"/>
      <c r="B299" s="459"/>
      <c r="C299" s="459"/>
      <c r="D299" s="459"/>
      <c r="E299" s="459"/>
      <c r="F299" s="459"/>
      <c r="G299" s="459"/>
      <c r="H299" s="459"/>
      <c r="I299" s="459"/>
      <c r="J299" s="459"/>
      <c r="K299" s="459"/>
      <c r="L299" s="416"/>
      <c r="M299" s="459"/>
      <c r="N299" s="459"/>
    </row>
    <row r="300" spans="1:14">
      <c r="A300" s="459"/>
      <c r="B300" s="459"/>
      <c r="C300" s="459"/>
      <c r="D300" s="459"/>
      <c r="E300" s="459"/>
      <c r="F300" s="459"/>
      <c r="G300" s="459"/>
      <c r="H300" s="459"/>
      <c r="I300" s="459"/>
      <c r="J300" s="459"/>
      <c r="K300" s="459"/>
      <c r="L300" s="416"/>
      <c r="M300" s="459"/>
      <c r="N300" s="459"/>
    </row>
    <row r="301" spans="1:14">
      <c r="A301" s="459"/>
      <c r="B301" s="459"/>
      <c r="C301" s="459"/>
      <c r="D301" s="459"/>
      <c r="E301" s="459"/>
      <c r="F301" s="459"/>
      <c r="G301" s="459"/>
      <c r="H301" s="459"/>
      <c r="I301" s="459"/>
      <c r="J301" s="459"/>
      <c r="K301" s="459"/>
      <c r="L301" s="416"/>
      <c r="M301" s="459"/>
      <c r="N301" s="459"/>
    </row>
    <row r="302" spans="1:14">
      <c r="A302" s="459"/>
      <c r="B302" s="459"/>
      <c r="C302" s="459"/>
      <c r="D302" s="459"/>
      <c r="E302" s="459"/>
      <c r="F302" s="459"/>
      <c r="G302" s="459"/>
      <c r="H302" s="459"/>
      <c r="I302" s="459"/>
      <c r="J302" s="459"/>
      <c r="K302" s="459"/>
      <c r="L302" s="416"/>
      <c r="M302" s="459"/>
      <c r="N302" s="459"/>
    </row>
    <row r="303" spans="1:14">
      <c r="A303" s="459"/>
      <c r="B303" s="459"/>
      <c r="C303" s="459"/>
      <c r="D303" s="459"/>
      <c r="E303" s="459"/>
      <c r="F303" s="459"/>
      <c r="G303" s="459"/>
      <c r="H303" s="459"/>
      <c r="I303" s="459"/>
      <c r="J303" s="459"/>
      <c r="K303" s="459"/>
      <c r="L303" s="416"/>
      <c r="M303" s="459"/>
      <c r="N303" s="459"/>
    </row>
    <row r="304" spans="1:14">
      <c r="A304" s="459"/>
      <c r="B304" s="459"/>
      <c r="C304" s="459"/>
      <c r="D304" s="459"/>
      <c r="E304" s="459"/>
      <c r="F304" s="459"/>
      <c r="G304" s="459"/>
      <c r="H304" s="459"/>
      <c r="I304" s="459"/>
      <c r="J304" s="459"/>
      <c r="K304" s="459"/>
      <c r="L304" s="416"/>
      <c r="M304" s="459"/>
      <c r="N304" s="459"/>
    </row>
    <row r="305" spans="1:14">
      <c r="A305" s="459"/>
      <c r="B305" s="459"/>
      <c r="C305" s="459"/>
      <c r="D305" s="459"/>
      <c r="E305" s="459"/>
      <c r="F305" s="459"/>
      <c r="G305" s="459"/>
      <c r="H305" s="459"/>
      <c r="I305" s="459"/>
      <c r="J305" s="459"/>
      <c r="K305" s="459"/>
      <c r="L305" s="416"/>
      <c r="M305" s="459"/>
      <c r="N305" s="459"/>
    </row>
    <row r="306" spans="1:14">
      <c r="A306" s="459"/>
      <c r="B306" s="459"/>
      <c r="C306" s="459"/>
      <c r="D306" s="459"/>
      <c r="E306" s="459"/>
      <c r="F306" s="459"/>
      <c r="G306" s="459"/>
      <c r="H306" s="459"/>
      <c r="I306" s="459"/>
      <c r="J306" s="459"/>
      <c r="K306" s="459"/>
      <c r="L306" s="416"/>
      <c r="M306" s="459"/>
      <c r="N306" s="459"/>
    </row>
    <row r="307" spans="1:14">
      <c r="A307" s="459"/>
      <c r="B307" s="459"/>
      <c r="C307" s="459"/>
      <c r="D307" s="459"/>
      <c r="E307" s="459"/>
      <c r="F307" s="459"/>
      <c r="G307" s="459"/>
      <c r="H307" s="459"/>
      <c r="I307" s="459"/>
      <c r="J307" s="459"/>
      <c r="K307" s="459"/>
      <c r="L307" s="416"/>
      <c r="M307" s="459"/>
      <c r="N307" s="459"/>
    </row>
    <row r="308" spans="1:14">
      <c r="A308" s="459"/>
      <c r="B308" s="459"/>
      <c r="C308" s="459"/>
      <c r="D308" s="459"/>
      <c r="E308" s="459"/>
      <c r="F308" s="459"/>
      <c r="G308" s="459"/>
      <c r="H308" s="459"/>
      <c r="I308" s="459"/>
      <c r="J308" s="459"/>
      <c r="K308" s="459"/>
      <c r="L308" s="416"/>
      <c r="M308" s="459"/>
      <c r="N308" s="459"/>
    </row>
    <row r="309" spans="1:14">
      <c r="A309" s="459"/>
      <c r="B309" s="459"/>
      <c r="C309" s="459"/>
      <c r="D309" s="459"/>
      <c r="E309" s="459"/>
      <c r="F309" s="459"/>
      <c r="G309" s="459"/>
      <c r="H309" s="459"/>
      <c r="I309" s="459"/>
      <c r="J309" s="459"/>
      <c r="K309" s="459"/>
      <c r="L309" s="416"/>
      <c r="M309" s="459"/>
      <c r="N309" s="459"/>
    </row>
    <row r="310" spans="1:14">
      <c r="A310" s="459"/>
      <c r="B310" s="459"/>
      <c r="C310" s="459"/>
      <c r="D310" s="459"/>
      <c r="E310" s="459"/>
      <c r="F310" s="459"/>
      <c r="G310" s="459"/>
      <c r="H310" s="459"/>
      <c r="I310" s="459"/>
      <c r="J310" s="459"/>
      <c r="K310" s="459"/>
      <c r="L310" s="416"/>
      <c r="M310" s="459"/>
      <c r="N310" s="459"/>
    </row>
    <row r="311" spans="1:14">
      <c r="A311" s="459"/>
      <c r="B311" s="459"/>
      <c r="C311" s="459"/>
      <c r="D311" s="459"/>
      <c r="E311" s="459"/>
      <c r="F311" s="459"/>
      <c r="G311" s="459"/>
      <c r="H311" s="459"/>
      <c r="I311" s="459"/>
      <c r="J311" s="459"/>
      <c r="K311" s="459"/>
      <c r="L311" s="416"/>
      <c r="M311" s="459"/>
      <c r="N311" s="459"/>
    </row>
    <row r="312" spans="1:14">
      <c r="A312" s="459"/>
      <c r="B312" s="459"/>
      <c r="C312" s="459"/>
      <c r="D312" s="459"/>
      <c r="E312" s="459"/>
      <c r="F312" s="459"/>
      <c r="G312" s="459"/>
      <c r="H312" s="459"/>
      <c r="I312" s="459"/>
      <c r="J312" s="459"/>
      <c r="K312" s="459"/>
      <c r="L312" s="416"/>
      <c r="M312" s="459"/>
      <c r="N312" s="459"/>
    </row>
    <row r="313" spans="1:14">
      <c r="A313" s="459"/>
      <c r="B313" s="459"/>
      <c r="C313" s="459"/>
      <c r="D313" s="459"/>
      <c r="E313" s="459"/>
      <c r="F313" s="459"/>
      <c r="G313" s="459"/>
      <c r="H313" s="459"/>
      <c r="I313" s="459"/>
      <c r="J313" s="459"/>
      <c r="K313" s="459"/>
      <c r="L313" s="416"/>
      <c r="M313" s="459"/>
      <c r="N313" s="459"/>
    </row>
    <row r="314" spans="1:14">
      <c r="A314" s="459"/>
      <c r="B314" s="459"/>
      <c r="C314" s="459"/>
      <c r="D314" s="459"/>
      <c r="E314" s="459"/>
      <c r="F314" s="459"/>
      <c r="G314" s="459"/>
      <c r="H314" s="459"/>
      <c r="I314" s="459"/>
      <c r="J314" s="459"/>
      <c r="K314" s="459"/>
      <c r="L314" s="416"/>
      <c r="M314" s="459"/>
      <c r="N314" s="459"/>
    </row>
    <row r="315" spans="1:14">
      <c r="A315" s="459"/>
      <c r="B315" s="459"/>
      <c r="C315" s="459"/>
      <c r="D315" s="459"/>
      <c r="E315" s="459"/>
      <c r="F315" s="459"/>
      <c r="G315" s="459"/>
      <c r="H315" s="459"/>
      <c r="I315" s="459"/>
      <c r="J315" s="459"/>
      <c r="K315" s="459"/>
      <c r="L315" s="416"/>
      <c r="M315" s="459"/>
      <c r="N315" s="459"/>
    </row>
    <row r="316" spans="1:14">
      <c r="A316" s="459"/>
      <c r="B316" s="459"/>
      <c r="C316" s="459"/>
      <c r="D316" s="459"/>
      <c r="E316" s="459"/>
      <c r="F316" s="459"/>
      <c r="G316" s="459"/>
      <c r="H316" s="459"/>
      <c r="I316" s="459"/>
      <c r="J316" s="459"/>
      <c r="K316" s="459"/>
      <c r="L316" s="416"/>
      <c r="M316" s="459"/>
      <c r="N316" s="459"/>
    </row>
    <row r="317" spans="1:14">
      <c r="A317" s="459"/>
      <c r="B317" s="459"/>
      <c r="C317" s="459"/>
      <c r="D317" s="459"/>
      <c r="E317" s="459"/>
      <c r="F317" s="459"/>
      <c r="G317" s="459"/>
      <c r="H317" s="459"/>
      <c r="I317" s="459"/>
      <c r="J317" s="459"/>
      <c r="K317" s="459"/>
      <c r="L317" s="416"/>
      <c r="M317" s="459"/>
      <c r="N317" s="459"/>
    </row>
    <row r="318" spans="1:14">
      <c r="A318" s="459"/>
      <c r="B318" s="459"/>
      <c r="C318" s="459"/>
      <c r="D318" s="459"/>
      <c r="E318" s="459"/>
      <c r="F318" s="459"/>
      <c r="G318" s="459"/>
      <c r="H318" s="459"/>
      <c r="I318" s="459"/>
      <c r="J318" s="459"/>
      <c r="K318" s="459"/>
      <c r="L318" s="416"/>
      <c r="M318" s="459"/>
      <c r="N318" s="459"/>
    </row>
    <row r="319" spans="1:14">
      <c r="A319" s="459"/>
      <c r="B319" s="459"/>
      <c r="C319" s="459"/>
      <c r="D319" s="459"/>
      <c r="E319" s="459"/>
      <c r="F319" s="459"/>
      <c r="G319" s="459"/>
      <c r="H319" s="459"/>
      <c r="I319" s="459"/>
      <c r="J319" s="459"/>
      <c r="K319" s="459"/>
      <c r="L319" s="416"/>
      <c r="M319" s="459"/>
      <c r="N319" s="459"/>
    </row>
    <row r="320" spans="1:14">
      <c r="A320" s="459"/>
      <c r="B320" s="459"/>
      <c r="C320" s="459"/>
      <c r="D320" s="459"/>
      <c r="E320" s="459"/>
      <c r="F320" s="459"/>
      <c r="G320" s="459"/>
      <c r="H320" s="459"/>
      <c r="I320" s="459"/>
      <c r="J320" s="459"/>
      <c r="K320" s="459"/>
      <c r="L320" s="416"/>
      <c r="M320" s="459"/>
      <c r="N320" s="459"/>
    </row>
    <row r="321" spans="1:14">
      <c r="A321" s="459"/>
      <c r="B321" s="459"/>
      <c r="C321" s="459"/>
      <c r="D321" s="459"/>
      <c r="E321" s="459"/>
      <c r="F321" s="459"/>
      <c r="G321" s="459"/>
      <c r="H321" s="459"/>
      <c r="I321" s="459"/>
      <c r="J321" s="459"/>
      <c r="K321" s="459"/>
      <c r="L321" s="416"/>
      <c r="M321" s="459"/>
      <c r="N321" s="459"/>
    </row>
    <row r="322" spans="1:14">
      <c r="A322" s="459"/>
      <c r="B322" s="459"/>
      <c r="C322" s="459"/>
      <c r="D322" s="459"/>
      <c r="E322" s="459"/>
      <c r="F322" s="459"/>
      <c r="G322" s="459"/>
      <c r="H322" s="459"/>
      <c r="I322" s="459"/>
      <c r="J322" s="459"/>
      <c r="K322" s="459"/>
      <c r="L322" s="416"/>
      <c r="M322" s="459"/>
      <c r="N322" s="459"/>
    </row>
    <row r="323" spans="1:14">
      <c r="A323" s="459"/>
      <c r="B323" s="459"/>
      <c r="C323" s="459"/>
      <c r="D323" s="459"/>
      <c r="E323" s="459"/>
      <c r="F323" s="459"/>
      <c r="G323" s="459"/>
      <c r="H323" s="459"/>
      <c r="I323" s="459"/>
      <c r="J323" s="459"/>
      <c r="K323" s="459"/>
      <c r="L323" s="416"/>
      <c r="M323" s="459"/>
      <c r="N323" s="459"/>
    </row>
    <row r="324" spans="1:14">
      <c r="A324" s="459"/>
      <c r="B324" s="459"/>
      <c r="C324" s="459"/>
      <c r="D324" s="459"/>
      <c r="E324" s="459"/>
      <c r="F324" s="459"/>
      <c r="G324" s="459"/>
      <c r="H324" s="459"/>
      <c r="I324" s="459"/>
      <c r="J324" s="459"/>
      <c r="K324" s="459"/>
      <c r="L324" s="416"/>
      <c r="M324" s="459"/>
      <c r="N324" s="459"/>
    </row>
    <row r="325" spans="1:14">
      <c r="A325" s="459"/>
      <c r="B325" s="459"/>
      <c r="C325" s="459"/>
      <c r="D325" s="459"/>
      <c r="E325" s="459"/>
      <c r="F325" s="459"/>
      <c r="G325" s="459"/>
      <c r="H325" s="459"/>
      <c r="I325" s="459"/>
      <c r="J325" s="459"/>
      <c r="K325" s="459"/>
      <c r="L325" s="416"/>
      <c r="M325" s="459"/>
      <c r="N325" s="459"/>
    </row>
    <row r="326" spans="1:14">
      <c r="A326" s="459"/>
      <c r="B326" s="459"/>
      <c r="C326" s="459"/>
      <c r="D326" s="459"/>
      <c r="E326" s="459"/>
      <c r="F326" s="459"/>
      <c r="G326" s="459"/>
      <c r="H326" s="459"/>
      <c r="I326" s="459"/>
      <c r="J326" s="459"/>
      <c r="K326" s="459"/>
      <c r="L326" s="416"/>
      <c r="M326" s="459"/>
      <c r="N326" s="459"/>
    </row>
    <row r="327" spans="1:14">
      <c r="A327" s="459"/>
      <c r="B327" s="459"/>
      <c r="C327" s="459"/>
      <c r="D327" s="459"/>
      <c r="E327" s="459"/>
      <c r="F327" s="459"/>
      <c r="G327" s="459"/>
      <c r="H327" s="459"/>
      <c r="I327" s="459"/>
      <c r="J327" s="459"/>
      <c r="K327" s="459"/>
      <c r="L327" s="416"/>
      <c r="M327" s="459"/>
      <c r="N327" s="459"/>
    </row>
    <row r="328" spans="1:14">
      <c r="A328" s="459"/>
      <c r="B328" s="459"/>
      <c r="C328" s="459"/>
      <c r="D328" s="459"/>
      <c r="E328" s="459"/>
      <c r="F328" s="459"/>
      <c r="G328" s="459"/>
      <c r="H328" s="459"/>
      <c r="I328" s="459"/>
      <c r="J328" s="459"/>
      <c r="K328" s="459"/>
      <c r="L328" s="416"/>
      <c r="M328" s="459"/>
      <c r="N328" s="459"/>
    </row>
    <row r="329" spans="1:14">
      <c r="A329" s="459"/>
      <c r="B329" s="459"/>
      <c r="C329" s="459"/>
      <c r="D329" s="459"/>
      <c r="E329" s="459"/>
      <c r="F329" s="459"/>
      <c r="G329" s="459"/>
      <c r="H329" s="459"/>
      <c r="I329" s="459"/>
      <c r="J329" s="459"/>
      <c r="K329" s="459"/>
      <c r="L329" s="416"/>
      <c r="M329" s="459"/>
      <c r="N329" s="459"/>
    </row>
    <row r="330" spans="1:14">
      <c r="A330" s="459"/>
      <c r="B330" s="459"/>
      <c r="C330" s="459"/>
      <c r="D330" s="459"/>
      <c r="E330" s="459"/>
      <c r="F330" s="459"/>
      <c r="G330" s="459"/>
      <c r="H330" s="459"/>
      <c r="I330" s="459"/>
      <c r="J330" s="459"/>
      <c r="K330" s="459"/>
      <c r="L330" s="416"/>
      <c r="M330" s="459"/>
      <c r="N330" s="459"/>
    </row>
    <row r="331" spans="1:14">
      <c r="A331" s="459"/>
      <c r="B331" s="459"/>
      <c r="C331" s="459"/>
      <c r="D331" s="459"/>
      <c r="E331" s="459"/>
      <c r="F331" s="459"/>
      <c r="G331" s="459"/>
      <c r="H331" s="459"/>
      <c r="I331" s="459"/>
      <c r="J331" s="459"/>
      <c r="K331" s="459"/>
      <c r="L331" s="416"/>
      <c r="M331" s="459"/>
      <c r="N331" s="459"/>
    </row>
    <row r="332" spans="1:14">
      <c r="A332" s="459"/>
      <c r="B332" s="459"/>
      <c r="C332" s="459"/>
      <c r="D332" s="459"/>
      <c r="E332" s="459"/>
      <c r="F332" s="459"/>
      <c r="G332" s="459"/>
      <c r="H332" s="459"/>
      <c r="I332" s="459"/>
      <c r="J332" s="459"/>
      <c r="K332" s="459"/>
      <c r="L332" s="416"/>
      <c r="M332" s="459"/>
      <c r="N332" s="459"/>
    </row>
    <row r="333" spans="1:14">
      <c r="A333" s="459"/>
      <c r="B333" s="459"/>
      <c r="C333" s="459"/>
      <c r="D333" s="459"/>
      <c r="E333" s="459"/>
      <c r="F333" s="459"/>
      <c r="G333" s="459"/>
      <c r="H333" s="459"/>
      <c r="I333" s="459"/>
      <c r="J333" s="459"/>
      <c r="K333" s="459"/>
      <c r="L333" s="416"/>
      <c r="M333" s="459"/>
      <c r="N333" s="459"/>
    </row>
    <row r="334" spans="1:14">
      <c r="A334" s="459"/>
      <c r="B334" s="459"/>
      <c r="C334" s="459"/>
      <c r="D334" s="459"/>
      <c r="E334" s="459"/>
      <c r="F334" s="459"/>
      <c r="G334" s="459"/>
      <c r="H334" s="459"/>
      <c r="I334" s="459"/>
      <c r="J334" s="459"/>
      <c r="K334" s="459"/>
      <c r="L334" s="416"/>
      <c r="M334" s="459"/>
      <c r="N334" s="459"/>
    </row>
    <row r="335" spans="1:14">
      <c r="A335" s="459"/>
      <c r="B335" s="459"/>
      <c r="C335" s="459"/>
      <c r="D335" s="459"/>
      <c r="E335" s="459"/>
      <c r="F335" s="459"/>
      <c r="G335" s="459"/>
      <c r="H335" s="459"/>
      <c r="I335" s="459"/>
      <c r="J335" s="459"/>
      <c r="K335" s="459"/>
      <c r="L335" s="416"/>
      <c r="M335" s="459"/>
      <c r="N335" s="459"/>
    </row>
    <row r="336" spans="1:14">
      <c r="A336" s="459"/>
      <c r="B336" s="459"/>
      <c r="C336" s="459"/>
      <c r="D336" s="459"/>
      <c r="E336" s="459"/>
      <c r="F336" s="459"/>
      <c r="G336" s="459"/>
      <c r="H336" s="459"/>
      <c r="I336" s="459"/>
      <c r="J336" s="459"/>
      <c r="K336" s="459"/>
      <c r="L336" s="416"/>
      <c r="M336" s="459"/>
      <c r="N336" s="459"/>
    </row>
    <row r="337" spans="1:14">
      <c r="A337" s="459"/>
      <c r="B337" s="459"/>
      <c r="C337" s="459"/>
      <c r="D337" s="459"/>
      <c r="E337" s="459"/>
      <c r="F337" s="459"/>
      <c r="G337" s="459"/>
      <c r="H337" s="459"/>
      <c r="I337" s="459"/>
      <c r="J337" s="459"/>
      <c r="K337" s="459"/>
      <c r="L337" s="416"/>
      <c r="M337" s="459"/>
      <c r="N337" s="459"/>
    </row>
    <row r="338" spans="1:14">
      <c r="A338" s="459"/>
      <c r="B338" s="459"/>
      <c r="C338" s="459"/>
      <c r="D338" s="459"/>
      <c r="E338" s="459"/>
      <c r="F338" s="459"/>
      <c r="G338" s="459"/>
      <c r="H338" s="459"/>
      <c r="I338" s="459"/>
      <c r="J338" s="459"/>
      <c r="K338" s="459"/>
      <c r="L338" s="416"/>
      <c r="M338" s="459"/>
      <c r="N338" s="459"/>
    </row>
    <row r="339" spans="1:14">
      <c r="A339" s="459"/>
      <c r="B339" s="459"/>
      <c r="C339" s="459"/>
      <c r="D339" s="459"/>
      <c r="E339" s="459"/>
      <c r="F339" s="459"/>
      <c r="G339" s="459"/>
      <c r="H339" s="459"/>
      <c r="I339" s="459"/>
      <c r="J339" s="459"/>
      <c r="K339" s="459"/>
      <c r="L339" s="416"/>
      <c r="M339" s="459"/>
      <c r="N339" s="459"/>
    </row>
    <row r="340" spans="1:14">
      <c r="A340" s="459"/>
      <c r="B340" s="459"/>
      <c r="C340" s="459"/>
      <c r="D340" s="459"/>
      <c r="E340" s="459"/>
      <c r="F340" s="459"/>
      <c r="G340" s="459"/>
      <c r="H340" s="459"/>
      <c r="I340" s="459"/>
      <c r="J340" s="459"/>
      <c r="K340" s="459"/>
      <c r="L340" s="416"/>
      <c r="M340" s="459"/>
      <c r="N340" s="459"/>
    </row>
    <row r="341" spans="1:14">
      <c r="A341" s="459"/>
      <c r="B341" s="459"/>
      <c r="C341" s="459"/>
      <c r="D341" s="459"/>
      <c r="E341" s="459"/>
      <c r="F341" s="459"/>
      <c r="G341" s="459"/>
      <c r="H341" s="459"/>
      <c r="I341" s="459"/>
      <c r="J341" s="459"/>
      <c r="K341" s="459"/>
      <c r="L341" s="416"/>
      <c r="M341" s="459"/>
      <c r="N341" s="459"/>
    </row>
    <row r="342" spans="1:14">
      <c r="A342" s="459"/>
      <c r="B342" s="459"/>
      <c r="C342" s="459"/>
      <c r="D342" s="459"/>
      <c r="E342" s="459"/>
      <c r="F342" s="459"/>
      <c r="G342" s="459"/>
      <c r="H342" s="459"/>
      <c r="I342" s="459"/>
      <c r="J342" s="459"/>
      <c r="K342" s="459"/>
      <c r="L342" s="416"/>
      <c r="M342" s="459"/>
      <c r="N342" s="459"/>
    </row>
    <row r="343" spans="1:14">
      <c r="A343" s="459"/>
      <c r="B343" s="459"/>
      <c r="C343" s="459"/>
      <c r="D343" s="459"/>
      <c r="E343" s="459"/>
      <c r="F343" s="459"/>
      <c r="G343" s="459"/>
      <c r="H343" s="459"/>
      <c r="I343" s="459"/>
      <c r="J343" s="459"/>
      <c r="K343" s="459"/>
      <c r="L343" s="416"/>
      <c r="M343" s="459"/>
      <c r="N343" s="459"/>
    </row>
    <row r="344" spans="1:14">
      <c r="A344" s="459"/>
      <c r="B344" s="459"/>
      <c r="C344" s="459"/>
      <c r="D344" s="459"/>
      <c r="E344" s="459"/>
      <c r="F344" s="459"/>
      <c r="G344" s="459"/>
      <c r="H344" s="459"/>
      <c r="I344" s="459"/>
      <c r="J344" s="459"/>
      <c r="K344" s="459"/>
      <c r="L344" s="416"/>
      <c r="M344" s="459"/>
      <c r="N344" s="459"/>
    </row>
    <row r="345" spans="1:14">
      <c r="A345" s="459"/>
      <c r="B345" s="459"/>
      <c r="C345" s="459"/>
      <c r="D345" s="459"/>
      <c r="E345" s="459"/>
      <c r="F345" s="459"/>
      <c r="G345" s="459"/>
      <c r="H345" s="459"/>
      <c r="I345" s="459"/>
      <c r="J345" s="459"/>
      <c r="K345" s="459"/>
      <c r="L345" s="416"/>
      <c r="M345" s="459"/>
      <c r="N345" s="459"/>
    </row>
    <row r="346" spans="1:14">
      <c r="A346" s="459"/>
      <c r="B346" s="459"/>
      <c r="C346" s="459"/>
      <c r="D346" s="459"/>
      <c r="E346" s="459"/>
      <c r="F346" s="459"/>
      <c r="G346" s="459"/>
      <c r="H346" s="459"/>
      <c r="I346" s="459"/>
      <c r="J346" s="459"/>
      <c r="K346" s="459"/>
      <c r="L346" s="416"/>
      <c r="M346" s="459"/>
      <c r="N346" s="459"/>
    </row>
    <row r="347" spans="1:14">
      <c r="A347" s="459"/>
      <c r="B347" s="459"/>
      <c r="C347" s="459"/>
      <c r="D347" s="459"/>
      <c r="E347" s="459"/>
      <c r="F347" s="459"/>
      <c r="G347" s="459"/>
      <c r="H347" s="459"/>
      <c r="I347" s="459"/>
      <c r="J347" s="459"/>
      <c r="K347" s="459"/>
      <c r="L347" s="416"/>
      <c r="M347" s="459"/>
      <c r="N347" s="459"/>
    </row>
    <row r="348" spans="1:14">
      <c r="A348" s="459"/>
      <c r="B348" s="459"/>
      <c r="C348" s="459"/>
      <c r="D348" s="459"/>
      <c r="E348" s="459"/>
      <c r="F348" s="459"/>
      <c r="G348" s="459"/>
      <c r="H348" s="459"/>
      <c r="I348" s="459"/>
      <c r="J348" s="459"/>
      <c r="K348" s="459"/>
      <c r="L348" s="416"/>
      <c r="M348" s="459"/>
      <c r="N348" s="459"/>
    </row>
    <row r="349" spans="1:14">
      <c r="A349" s="459"/>
      <c r="B349" s="459"/>
      <c r="C349" s="459"/>
      <c r="D349" s="459"/>
      <c r="E349" s="459"/>
      <c r="F349" s="459"/>
      <c r="G349" s="459"/>
      <c r="H349" s="459"/>
      <c r="I349" s="459"/>
      <c r="J349" s="459"/>
      <c r="K349" s="459"/>
      <c r="L349" s="416"/>
      <c r="M349" s="459"/>
      <c r="N349" s="459"/>
    </row>
    <row r="350" spans="1:14">
      <c r="A350" s="459"/>
      <c r="B350" s="459"/>
      <c r="C350" s="459"/>
      <c r="D350" s="459"/>
      <c r="E350" s="459"/>
      <c r="F350" s="459"/>
      <c r="G350" s="459"/>
      <c r="H350" s="459"/>
      <c r="I350" s="459"/>
      <c r="J350" s="459"/>
      <c r="K350" s="459"/>
      <c r="L350" s="416"/>
      <c r="M350" s="459"/>
      <c r="N350" s="459"/>
    </row>
    <row r="351" spans="1:14">
      <c r="A351" s="459"/>
      <c r="B351" s="459"/>
      <c r="C351" s="459"/>
      <c r="D351" s="459"/>
      <c r="E351" s="459"/>
      <c r="F351" s="459"/>
      <c r="G351" s="459"/>
      <c r="H351" s="459"/>
      <c r="I351" s="459"/>
      <c r="J351" s="459"/>
      <c r="K351" s="459"/>
      <c r="L351" s="416"/>
      <c r="M351" s="459"/>
      <c r="N351" s="459"/>
    </row>
    <row r="352" spans="1:14">
      <c r="A352" s="459"/>
      <c r="B352" s="459"/>
      <c r="C352" s="459"/>
      <c r="D352" s="459"/>
      <c r="E352" s="459"/>
      <c r="F352" s="459"/>
      <c r="G352" s="459"/>
      <c r="H352" s="459"/>
      <c r="I352" s="459"/>
      <c r="J352" s="459"/>
      <c r="K352" s="459"/>
      <c r="L352" s="416"/>
      <c r="M352" s="459"/>
      <c r="N352" s="459"/>
    </row>
    <row r="353" spans="1:14">
      <c r="A353" s="459"/>
      <c r="B353" s="459"/>
      <c r="C353" s="459"/>
      <c r="D353" s="459"/>
      <c r="E353" s="459"/>
      <c r="F353" s="459"/>
      <c r="G353" s="459"/>
      <c r="H353" s="459"/>
      <c r="I353" s="459"/>
      <c r="J353" s="459"/>
      <c r="K353" s="459"/>
      <c r="L353" s="416"/>
      <c r="M353" s="459"/>
      <c r="N353" s="459"/>
    </row>
    <row r="354" spans="1:14">
      <c r="A354" s="459"/>
      <c r="B354" s="459"/>
      <c r="C354" s="459"/>
      <c r="D354" s="459"/>
      <c r="E354" s="459"/>
      <c r="F354" s="459"/>
      <c r="G354" s="459"/>
      <c r="H354" s="459"/>
      <c r="I354" s="459"/>
      <c r="J354" s="459"/>
      <c r="K354" s="459"/>
      <c r="L354" s="416"/>
      <c r="M354" s="459"/>
      <c r="N354" s="459"/>
    </row>
    <row r="355" spans="1:14">
      <c r="A355" s="459"/>
      <c r="B355" s="459"/>
      <c r="C355" s="459"/>
      <c r="D355" s="459"/>
      <c r="E355" s="459"/>
      <c r="F355" s="459"/>
      <c r="G355" s="459"/>
      <c r="H355" s="459"/>
      <c r="I355" s="459"/>
      <c r="J355" s="459"/>
      <c r="K355" s="459"/>
      <c r="L355" s="416"/>
      <c r="M355" s="459"/>
      <c r="N355" s="459"/>
    </row>
    <row r="356" spans="1:14">
      <c r="A356" s="459"/>
      <c r="B356" s="459"/>
      <c r="C356" s="459"/>
      <c r="D356" s="459"/>
      <c r="E356" s="459"/>
      <c r="F356" s="459"/>
      <c r="G356" s="459"/>
      <c r="H356" s="459"/>
      <c r="I356" s="459"/>
      <c r="J356" s="459"/>
      <c r="K356" s="459"/>
      <c r="L356" s="416"/>
      <c r="M356" s="459"/>
      <c r="N356" s="459"/>
    </row>
    <row r="357" spans="1:14">
      <c r="A357" s="459"/>
      <c r="B357" s="459"/>
      <c r="C357" s="459"/>
      <c r="D357" s="459"/>
      <c r="E357" s="459"/>
      <c r="F357" s="459"/>
      <c r="G357" s="459"/>
      <c r="H357" s="459"/>
      <c r="I357" s="459"/>
      <c r="J357" s="459"/>
      <c r="K357" s="459"/>
      <c r="L357" s="416"/>
      <c r="M357" s="459"/>
      <c r="N357" s="459"/>
    </row>
    <row r="358" spans="1:14">
      <c r="A358" s="459"/>
      <c r="B358" s="459"/>
      <c r="C358" s="459"/>
      <c r="D358" s="459"/>
      <c r="E358" s="459"/>
      <c r="F358" s="459"/>
      <c r="G358" s="459"/>
      <c r="H358" s="459"/>
      <c r="I358" s="459"/>
      <c r="J358" s="459"/>
      <c r="K358" s="459"/>
      <c r="L358" s="416"/>
      <c r="M358" s="459"/>
      <c r="N358" s="459"/>
    </row>
    <row r="359" spans="1:14">
      <c r="A359" s="459"/>
      <c r="B359" s="459"/>
      <c r="C359" s="459"/>
      <c r="D359" s="459"/>
      <c r="E359" s="459"/>
      <c r="F359" s="459"/>
      <c r="G359" s="459"/>
      <c r="H359" s="459"/>
      <c r="I359" s="459"/>
      <c r="J359" s="459"/>
      <c r="K359" s="459"/>
      <c r="L359" s="416"/>
      <c r="M359" s="459"/>
      <c r="N359" s="459"/>
    </row>
    <row r="360" spans="1:14">
      <c r="A360" s="459"/>
      <c r="B360" s="459"/>
      <c r="C360" s="459"/>
      <c r="D360" s="459"/>
      <c r="E360" s="459"/>
      <c r="F360" s="459"/>
      <c r="G360" s="459"/>
      <c r="H360" s="459"/>
      <c r="I360" s="459"/>
      <c r="J360" s="459"/>
      <c r="K360" s="459"/>
      <c r="L360" s="416"/>
      <c r="M360" s="459"/>
      <c r="N360" s="459"/>
    </row>
    <row r="361" spans="1:14">
      <c r="A361" s="459"/>
      <c r="B361" s="459"/>
      <c r="C361" s="459"/>
      <c r="D361" s="459"/>
      <c r="E361" s="459"/>
      <c r="F361" s="459"/>
      <c r="G361" s="459"/>
      <c r="H361" s="459"/>
      <c r="I361" s="459"/>
      <c r="J361" s="459"/>
      <c r="K361" s="459"/>
      <c r="L361" s="416"/>
      <c r="M361" s="459"/>
      <c r="N361" s="459"/>
    </row>
    <row r="362" spans="1:14">
      <c r="A362" s="459"/>
      <c r="B362" s="459"/>
      <c r="C362" s="459"/>
      <c r="D362" s="459"/>
      <c r="E362" s="459"/>
      <c r="F362" s="459"/>
      <c r="G362" s="459"/>
      <c r="H362" s="459"/>
      <c r="I362" s="459"/>
      <c r="J362" s="459"/>
      <c r="K362" s="459"/>
      <c r="L362" s="416"/>
      <c r="M362" s="459"/>
      <c r="N362" s="459"/>
    </row>
    <row r="363" spans="1:14">
      <c r="A363" s="459"/>
      <c r="B363" s="459"/>
      <c r="C363" s="459"/>
      <c r="D363" s="459"/>
      <c r="E363" s="459"/>
      <c r="F363" s="459"/>
      <c r="G363" s="459"/>
      <c r="H363" s="459"/>
      <c r="I363" s="459"/>
      <c r="J363" s="459"/>
      <c r="K363" s="459"/>
      <c r="L363" s="416"/>
      <c r="M363" s="459"/>
      <c r="N363" s="459"/>
    </row>
    <row r="364" spans="1:14">
      <c r="A364" s="459"/>
      <c r="B364" s="459"/>
      <c r="C364" s="459"/>
      <c r="D364" s="459"/>
      <c r="E364" s="459"/>
      <c r="F364" s="459"/>
      <c r="G364" s="459"/>
      <c r="H364" s="459"/>
      <c r="I364" s="459"/>
      <c r="J364" s="459"/>
      <c r="K364" s="459"/>
      <c r="L364" s="416"/>
      <c r="M364" s="459"/>
      <c r="N364" s="459"/>
    </row>
    <row r="365" spans="1:14">
      <c r="A365" s="459"/>
      <c r="B365" s="459"/>
      <c r="C365" s="459"/>
      <c r="D365" s="459"/>
      <c r="E365" s="459"/>
      <c r="F365" s="459"/>
      <c r="G365" s="459"/>
      <c r="H365" s="459"/>
      <c r="I365" s="459"/>
      <c r="J365" s="459"/>
      <c r="K365" s="459"/>
      <c r="L365" s="416"/>
      <c r="M365" s="459"/>
      <c r="N365" s="459"/>
    </row>
    <row r="366" spans="1:14">
      <c r="A366" s="459"/>
      <c r="B366" s="459"/>
      <c r="C366" s="459"/>
      <c r="D366" s="459"/>
      <c r="E366" s="459"/>
      <c r="F366" s="459"/>
      <c r="G366" s="459"/>
      <c r="H366" s="459"/>
      <c r="I366" s="459"/>
      <c r="J366" s="459"/>
      <c r="K366" s="459"/>
      <c r="L366" s="416"/>
      <c r="M366" s="459"/>
      <c r="N366" s="459"/>
    </row>
    <row r="367" spans="1:14">
      <c r="A367" s="459"/>
      <c r="B367" s="459"/>
      <c r="C367" s="459"/>
      <c r="D367" s="459"/>
      <c r="E367" s="459"/>
      <c r="F367" s="459"/>
      <c r="G367" s="459"/>
      <c r="H367" s="459"/>
      <c r="I367" s="459"/>
      <c r="J367" s="459"/>
      <c r="K367" s="459"/>
      <c r="L367" s="416"/>
      <c r="M367" s="459"/>
      <c r="N367" s="459"/>
    </row>
    <row r="368" spans="1:14">
      <c r="A368" s="459"/>
      <c r="B368" s="459"/>
      <c r="C368" s="459"/>
      <c r="D368" s="459"/>
      <c r="E368" s="459"/>
      <c r="F368" s="459"/>
      <c r="G368" s="459"/>
      <c r="H368" s="459"/>
      <c r="I368" s="459"/>
      <c r="J368" s="459"/>
      <c r="K368" s="459"/>
      <c r="L368" s="416"/>
      <c r="M368" s="459"/>
      <c r="N368" s="459"/>
    </row>
    <row r="369" spans="1:14">
      <c r="A369" s="459"/>
      <c r="B369" s="459"/>
      <c r="C369" s="459"/>
      <c r="D369" s="459"/>
      <c r="E369" s="459"/>
      <c r="F369" s="459"/>
      <c r="G369" s="459"/>
      <c r="H369" s="459"/>
      <c r="I369" s="459"/>
      <c r="J369" s="459"/>
      <c r="K369" s="459"/>
      <c r="L369" s="416"/>
      <c r="M369" s="459"/>
      <c r="N369" s="459"/>
    </row>
    <row r="370" spans="1:14">
      <c r="A370" s="459"/>
      <c r="B370" s="459"/>
      <c r="C370" s="459"/>
      <c r="D370" s="459"/>
      <c r="E370" s="459"/>
      <c r="F370" s="459"/>
      <c r="G370" s="459"/>
      <c r="H370" s="459"/>
      <c r="I370" s="459"/>
      <c r="J370" s="459"/>
      <c r="K370" s="459"/>
      <c r="L370" s="416"/>
      <c r="M370" s="459"/>
      <c r="N370" s="459"/>
    </row>
    <row r="371" spans="1:14">
      <c r="A371" s="459"/>
      <c r="B371" s="459"/>
      <c r="C371" s="459"/>
      <c r="D371" s="459"/>
      <c r="E371" s="459"/>
      <c r="F371" s="459"/>
      <c r="G371" s="459"/>
      <c r="H371" s="459"/>
      <c r="I371" s="459"/>
      <c r="J371" s="459"/>
      <c r="K371" s="459"/>
      <c r="L371" s="416"/>
      <c r="M371" s="459"/>
      <c r="N371" s="459"/>
    </row>
    <row r="372" spans="1:14">
      <c r="A372" s="459"/>
      <c r="B372" s="459"/>
      <c r="C372" s="459"/>
      <c r="D372" s="459"/>
      <c r="E372" s="459"/>
      <c r="F372" s="459"/>
      <c r="G372" s="459"/>
      <c r="H372" s="459"/>
      <c r="I372" s="459"/>
      <c r="J372" s="459"/>
      <c r="K372" s="459"/>
      <c r="L372" s="416"/>
      <c r="M372" s="459"/>
      <c r="N372" s="459"/>
    </row>
    <row r="373" spans="1:14">
      <c r="A373" s="459"/>
      <c r="B373" s="459"/>
      <c r="C373" s="459"/>
      <c r="D373" s="459"/>
      <c r="E373" s="459"/>
      <c r="F373" s="459"/>
      <c r="G373" s="459"/>
      <c r="H373" s="459"/>
      <c r="I373" s="459"/>
      <c r="J373" s="459"/>
      <c r="K373" s="459"/>
      <c r="L373" s="416"/>
      <c r="M373" s="459"/>
      <c r="N373" s="459"/>
    </row>
    <row r="374" spans="1:14">
      <c r="A374" s="459"/>
      <c r="B374" s="459"/>
      <c r="C374" s="459"/>
      <c r="D374" s="459"/>
      <c r="E374" s="459"/>
      <c r="F374" s="459"/>
      <c r="G374" s="459"/>
      <c r="H374" s="459"/>
      <c r="I374" s="459"/>
      <c r="J374" s="459"/>
      <c r="K374" s="459"/>
      <c r="L374" s="416"/>
      <c r="M374" s="459"/>
      <c r="N374" s="459"/>
    </row>
    <row r="375" spans="1:14">
      <c r="A375" s="459"/>
      <c r="B375" s="459"/>
      <c r="C375" s="459"/>
      <c r="D375" s="459"/>
      <c r="E375" s="459"/>
      <c r="F375" s="459"/>
      <c r="G375" s="459"/>
      <c r="H375" s="459"/>
      <c r="I375" s="459"/>
      <c r="J375" s="459"/>
      <c r="K375" s="459"/>
      <c r="L375" s="416"/>
      <c r="M375" s="459"/>
      <c r="N375" s="459"/>
    </row>
    <row r="376" spans="1:14">
      <c r="A376" s="459"/>
      <c r="B376" s="459"/>
      <c r="C376" s="459"/>
      <c r="D376" s="459"/>
      <c r="E376" s="459"/>
      <c r="F376" s="459"/>
      <c r="G376" s="459"/>
      <c r="H376" s="459"/>
      <c r="I376" s="459"/>
      <c r="J376" s="459"/>
      <c r="K376" s="459"/>
      <c r="L376" s="416"/>
      <c r="M376" s="459"/>
      <c r="N376" s="459"/>
    </row>
    <row r="377" spans="1:14">
      <c r="A377" s="459"/>
      <c r="B377" s="459"/>
      <c r="C377" s="459"/>
      <c r="D377" s="459"/>
      <c r="E377" s="459"/>
      <c r="F377" s="459"/>
      <c r="G377" s="459"/>
      <c r="H377" s="459"/>
      <c r="I377" s="459"/>
      <c r="J377" s="459"/>
      <c r="K377" s="459"/>
      <c r="L377" s="416"/>
      <c r="M377" s="459"/>
      <c r="N377" s="459"/>
    </row>
    <row r="378" spans="1:14">
      <c r="A378" s="459"/>
      <c r="B378" s="459"/>
      <c r="C378" s="459"/>
      <c r="D378" s="459"/>
      <c r="E378" s="459"/>
      <c r="F378" s="459"/>
      <c r="G378" s="459"/>
      <c r="H378" s="459"/>
      <c r="I378" s="459"/>
      <c r="J378" s="459"/>
      <c r="K378" s="459"/>
      <c r="L378" s="416"/>
      <c r="M378" s="459"/>
      <c r="N378" s="459"/>
    </row>
    <row r="379" spans="1:14">
      <c r="A379" s="459"/>
      <c r="B379" s="459"/>
      <c r="C379" s="459"/>
      <c r="D379" s="459"/>
      <c r="E379" s="459"/>
      <c r="F379" s="459"/>
      <c r="G379" s="459"/>
      <c r="H379" s="459"/>
      <c r="I379" s="459"/>
      <c r="J379" s="459"/>
      <c r="K379" s="459"/>
      <c r="L379" s="416"/>
      <c r="M379" s="459"/>
      <c r="N379" s="459"/>
    </row>
    <row r="380" spans="1:14">
      <c r="A380" s="459"/>
      <c r="B380" s="459"/>
      <c r="C380" s="459"/>
      <c r="D380" s="459"/>
      <c r="E380" s="459"/>
      <c r="F380" s="459"/>
      <c r="G380" s="459"/>
      <c r="H380" s="459"/>
      <c r="I380" s="459"/>
      <c r="J380" s="459"/>
      <c r="K380" s="459"/>
      <c r="L380" s="416"/>
      <c r="M380" s="459"/>
      <c r="N380" s="459"/>
    </row>
    <row r="381" spans="1:14">
      <c r="A381" s="459"/>
      <c r="B381" s="459"/>
      <c r="C381" s="459"/>
      <c r="D381" s="459"/>
      <c r="E381" s="459"/>
      <c r="F381" s="459"/>
      <c r="G381" s="459"/>
      <c r="H381" s="459"/>
      <c r="I381" s="459"/>
      <c r="J381" s="459"/>
      <c r="K381" s="459"/>
      <c r="L381" s="416"/>
      <c r="M381" s="459"/>
      <c r="N381" s="459"/>
    </row>
    <row r="382" spans="1:14">
      <c r="A382" s="459"/>
      <c r="B382" s="459"/>
      <c r="C382" s="459"/>
      <c r="D382" s="459"/>
      <c r="E382" s="459"/>
      <c r="F382" s="459"/>
      <c r="G382" s="459"/>
      <c r="H382" s="459"/>
      <c r="I382" s="459"/>
      <c r="J382" s="459"/>
      <c r="K382" s="459"/>
      <c r="L382" s="416"/>
      <c r="M382" s="459"/>
      <c r="N382" s="459"/>
    </row>
    <row r="383" spans="1:14">
      <c r="A383" s="459"/>
      <c r="B383" s="459"/>
      <c r="C383" s="459"/>
      <c r="D383" s="459"/>
      <c r="E383" s="459"/>
      <c r="F383" s="459"/>
      <c r="G383" s="459"/>
      <c r="H383" s="459"/>
      <c r="I383" s="459"/>
      <c r="J383" s="459"/>
      <c r="K383" s="459"/>
      <c r="L383" s="416"/>
      <c r="M383" s="459"/>
      <c r="N383" s="459"/>
    </row>
    <row r="384" spans="1:14">
      <c r="A384" s="459"/>
      <c r="B384" s="459"/>
      <c r="C384" s="459"/>
      <c r="D384" s="459"/>
      <c r="E384" s="459"/>
      <c r="F384" s="459"/>
      <c r="G384" s="459"/>
      <c r="H384" s="459"/>
      <c r="I384" s="459"/>
      <c r="J384" s="459"/>
      <c r="K384" s="459"/>
      <c r="L384" s="416"/>
      <c r="M384" s="459"/>
      <c r="N384" s="459"/>
    </row>
    <row r="385" spans="1:14">
      <c r="A385" s="459"/>
      <c r="B385" s="459"/>
      <c r="C385" s="459"/>
      <c r="D385" s="459"/>
      <c r="E385" s="459"/>
      <c r="F385" s="459"/>
      <c r="G385" s="459"/>
      <c r="H385" s="459"/>
      <c r="I385" s="459"/>
      <c r="J385" s="459"/>
      <c r="K385" s="459"/>
      <c r="L385" s="416"/>
      <c r="M385" s="459"/>
      <c r="N385" s="459"/>
    </row>
    <row r="386" spans="1:14">
      <c r="A386" s="459"/>
      <c r="B386" s="459"/>
      <c r="C386" s="459"/>
      <c r="D386" s="459"/>
      <c r="E386" s="459"/>
      <c r="F386" s="459"/>
      <c r="G386" s="459"/>
      <c r="H386" s="459"/>
      <c r="I386" s="459"/>
      <c r="J386" s="459"/>
      <c r="K386" s="459"/>
      <c r="L386" s="416"/>
      <c r="M386" s="459"/>
      <c r="N386" s="459"/>
    </row>
    <row r="387" spans="1:14">
      <c r="A387" s="459"/>
      <c r="B387" s="459"/>
      <c r="C387" s="459"/>
      <c r="D387" s="459"/>
      <c r="E387" s="459"/>
      <c r="F387" s="459"/>
      <c r="G387" s="459"/>
      <c r="H387" s="459"/>
      <c r="I387" s="459"/>
      <c r="J387" s="459"/>
      <c r="K387" s="459"/>
      <c r="L387" s="416"/>
      <c r="M387" s="459"/>
      <c r="N387" s="459"/>
    </row>
    <row r="388" spans="1:14">
      <c r="A388" s="459"/>
      <c r="B388" s="459"/>
      <c r="C388" s="459"/>
      <c r="D388" s="459"/>
      <c r="E388" s="459"/>
      <c r="F388" s="459"/>
      <c r="G388" s="459"/>
      <c r="H388" s="459"/>
      <c r="I388" s="459"/>
      <c r="J388" s="459"/>
      <c r="K388" s="459"/>
      <c r="L388" s="416"/>
      <c r="M388" s="459"/>
      <c r="N388" s="459"/>
    </row>
    <row r="389" spans="1:14">
      <c r="A389" s="459"/>
      <c r="B389" s="459"/>
      <c r="C389" s="459"/>
      <c r="D389" s="459"/>
      <c r="E389" s="459"/>
      <c r="F389" s="459"/>
      <c r="G389" s="459"/>
      <c r="H389" s="459"/>
      <c r="I389" s="459"/>
      <c r="J389" s="459"/>
      <c r="K389" s="459"/>
      <c r="L389" s="416"/>
      <c r="M389" s="459"/>
      <c r="N389" s="459"/>
    </row>
    <row r="390" spans="1:14">
      <c r="A390" s="459"/>
      <c r="B390" s="459"/>
      <c r="C390" s="459"/>
      <c r="D390" s="459"/>
      <c r="E390" s="459"/>
      <c r="F390" s="459"/>
      <c r="G390" s="459"/>
      <c r="H390" s="459"/>
      <c r="I390" s="459"/>
      <c r="J390" s="459"/>
      <c r="K390" s="459"/>
      <c r="L390" s="416"/>
      <c r="M390" s="459"/>
      <c r="N390" s="459"/>
    </row>
    <row r="391" spans="1:14">
      <c r="A391" s="459"/>
      <c r="B391" s="459"/>
      <c r="C391" s="459"/>
      <c r="D391" s="459"/>
      <c r="E391" s="459"/>
      <c r="F391" s="459"/>
      <c r="G391" s="459"/>
      <c r="H391" s="459"/>
      <c r="I391" s="459"/>
      <c r="J391" s="459"/>
      <c r="K391" s="459"/>
      <c r="L391" s="416"/>
      <c r="M391" s="459"/>
      <c r="N391" s="459"/>
    </row>
    <row r="392" spans="1:14">
      <c r="A392" s="459"/>
      <c r="B392" s="459"/>
      <c r="C392" s="459"/>
      <c r="D392" s="459"/>
      <c r="E392" s="459"/>
      <c r="F392" s="459"/>
      <c r="G392" s="459"/>
      <c r="H392" s="459"/>
      <c r="I392" s="459"/>
      <c r="J392" s="459"/>
      <c r="K392" s="459"/>
      <c r="L392" s="416"/>
      <c r="M392" s="459"/>
      <c r="N392" s="459"/>
    </row>
    <row r="393" spans="1:14">
      <c r="A393" s="459"/>
      <c r="B393" s="459"/>
      <c r="C393" s="459"/>
      <c r="D393" s="459"/>
      <c r="E393" s="459"/>
      <c r="F393" s="459"/>
      <c r="G393" s="459"/>
      <c r="H393" s="459"/>
      <c r="I393" s="459"/>
      <c r="J393" s="459"/>
      <c r="K393" s="459"/>
      <c r="L393" s="416"/>
      <c r="M393" s="459"/>
      <c r="N393" s="459"/>
    </row>
    <row r="394" spans="1:14">
      <c r="A394" s="459"/>
      <c r="B394" s="459"/>
      <c r="C394" s="459"/>
      <c r="D394" s="459"/>
      <c r="E394" s="459"/>
      <c r="F394" s="459"/>
      <c r="G394" s="459"/>
      <c r="H394" s="459"/>
      <c r="I394" s="459"/>
      <c r="J394" s="459"/>
      <c r="K394" s="459"/>
      <c r="L394" s="416"/>
      <c r="M394" s="459"/>
      <c r="N394" s="459"/>
    </row>
    <row r="395" spans="1:14">
      <c r="A395" s="459"/>
      <c r="B395" s="459"/>
      <c r="C395" s="459"/>
      <c r="D395" s="459"/>
      <c r="E395" s="459"/>
      <c r="F395" s="459"/>
      <c r="G395" s="459"/>
      <c r="H395" s="459"/>
      <c r="I395" s="459"/>
      <c r="J395" s="459"/>
      <c r="K395" s="459"/>
      <c r="L395" s="416"/>
      <c r="M395" s="459"/>
      <c r="N395" s="459"/>
    </row>
    <row r="396" spans="1:14">
      <c r="A396" s="459"/>
      <c r="B396" s="459"/>
      <c r="C396" s="459"/>
      <c r="D396" s="459"/>
      <c r="E396" s="459"/>
      <c r="F396" s="459"/>
      <c r="G396" s="459"/>
      <c r="H396" s="459"/>
      <c r="I396" s="459"/>
      <c r="J396" s="459"/>
      <c r="K396" s="459"/>
      <c r="L396" s="416"/>
      <c r="M396" s="459"/>
      <c r="N396" s="459"/>
    </row>
    <row r="397" spans="1:14">
      <c r="A397" s="459"/>
      <c r="B397" s="459"/>
      <c r="C397" s="459"/>
      <c r="D397" s="459"/>
      <c r="E397" s="459"/>
      <c r="F397" s="459"/>
      <c r="G397" s="459"/>
      <c r="H397" s="459"/>
      <c r="I397" s="459"/>
      <c r="J397" s="459"/>
      <c r="K397" s="459"/>
      <c r="L397" s="416"/>
      <c r="M397" s="459"/>
      <c r="N397" s="459"/>
    </row>
    <row r="398" spans="1:14">
      <c r="A398" s="459"/>
      <c r="B398" s="459"/>
      <c r="C398" s="459"/>
      <c r="D398" s="459"/>
      <c r="E398" s="459"/>
      <c r="F398" s="459"/>
      <c r="G398" s="459"/>
      <c r="H398" s="459"/>
      <c r="I398" s="459"/>
      <c r="J398" s="459"/>
      <c r="K398" s="459"/>
      <c r="L398" s="416"/>
      <c r="M398" s="459"/>
      <c r="N398" s="459"/>
    </row>
    <row r="399" spans="1:14">
      <c r="A399" s="459"/>
      <c r="B399" s="459"/>
      <c r="C399" s="459"/>
      <c r="D399" s="459"/>
      <c r="E399" s="459"/>
      <c r="F399" s="459"/>
      <c r="G399" s="459"/>
      <c r="H399" s="459"/>
      <c r="I399" s="459"/>
      <c r="J399" s="459"/>
      <c r="K399" s="459"/>
      <c r="L399" s="416"/>
      <c r="M399" s="459"/>
      <c r="N399" s="459"/>
    </row>
    <row r="400" spans="1:14">
      <c r="A400" s="459"/>
      <c r="B400" s="459"/>
      <c r="C400" s="459"/>
      <c r="D400" s="459"/>
      <c r="E400" s="459"/>
      <c r="F400" s="459"/>
      <c r="G400" s="459"/>
      <c r="H400" s="459"/>
      <c r="I400" s="459"/>
      <c r="J400" s="459"/>
      <c r="K400" s="459"/>
      <c r="L400" s="416"/>
      <c r="M400" s="459"/>
      <c r="N400" s="459"/>
    </row>
    <row r="401" spans="1:14">
      <c r="A401" s="459"/>
      <c r="B401" s="459"/>
      <c r="C401" s="459"/>
      <c r="D401" s="459"/>
      <c r="E401" s="459"/>
      <c r="F401" s="459"/>
      <c r="G401" s="459"/>
      <c r="H401" s="459"/>
      <c r="I401" s="459"/>
      <c r="J401" s="459"/>
      <c r="K401" s="459"/>
      <c r="L401" s="416"/>
      <c r="M401" s="459"/>
      <c r="N401" s="459"/>
    </row>
    <row r="402" spans="1:14">
      <c r="A402" s="459"/>
      <c r="B402" s="459"/>
      <c r="C402" s="459"/>
      <c r="D402" s="459"/>
      <c r="E402" s="459"/>
      <c r="F402" s="459"/>
      <c r="G402" s="459"/>
      <c r="H402" s="459"/>
      <c r="I402" s="459"/>
      <c r="J402" s="459"/>
      <c r="K402" s="459"/>
      <c r="L402" s="416"/>
      <c r="M402" s="459"/>
      <c r="N402" s="459"/>
    </row>
    <row r="403" spans="1:14">
      <c r="A403" s="459"/>
      <c r="B403" s="459"/>
      <c r="C403" s="459"/>
      <c r="D403" s="459"/>
      <c r="E403" s="459"/>
      <c r="F403" s="459"/>
      <c r="G403" s="459"/>
      <c r="H403" s="459"/>
      <c r="I403" s="459"/>
      <c r="J403" s="459"/>
      <c r="K403" s="459"/>
      <c r="L403" s="416"/>
      <c r="M403" s="459"/>
      <c r="N403" s="459"/>
    </row>
    <row r="404" spans="1:14">
      <c r="A404" s="459"/>
      <c r="B404" s="459"/>
      <c r="C404" s="459"/>
      <c r="D404" s="459"/>
      <c r="E404" s="459"/>
      <c r="F404" s="459"/>
      <c r="G404" s="459"/>
      <c r="H404" s="459"/>
      <c r="I404" s="459"/>
      <c r="J404" s="459"/>
      <c r="K404" s="459"/>
      <c r="L404" s="416"/>
      <c r="M404" s="459"/>
      <c r="N404" s="459"/>
    </row>
    <row r="405" spans="1:14">
      <c r="A405" s="459"/>
      <c r="B405" s="459"/>
      <c r="C405" s="459"/>
      <c r="D405" s="459"/>
      <c r="E405" s="459"/>
      <c r="F405" s="459"/>
      <c r="G405" s="459"/>
      <c r="H405" s="459"/>
      <c r="I405" s="459"/>
      <c r="J405" s="459"/>
      <c r="K405" s="459"/>
      <c r="L405" s="416"/>
      <c r="M405" s="459"/>
      <c r="N405" s="459"/>
    </row>
    <row r="406" spans="1:14">
      <c r="A406" s="459"/>
      <c r="B406" s="459"/>
      <c r="C406" s="459"/>
      <c r="D406" s="459"/>
      <c r="E406" s="459"/>
      <c r="F406" s="459"/>
      <c r="G406" s="459"/>
      <c r="H406" s="459"/>
      <c r="I406" s="459"/>
      <c r="J406" s="459"/>
      <c r="K406" s="459"/>
      <c r="L406" s="416"/>
      <c r="M406" s="459"/>
      <c r="N406" s="459"/>
    </row>
    <row r="407" spans="1:14">
      <c r="A407" s="459"/>
      <c r="B407" s="459"/>
      <c r="C407" s="459"/>
      <c r="D407" s="459"/>
      <c r="E407" s="459"/>
      <c r="F407" s="459"/>
      <c r="G407" s="459"/>
      <c r="H407" s="459"/>
      <c r="I407" s="459"/>
      <c r="J407" s="459"/>
      <c r="K407" s="459"/>
      <c r="L407" s="416"/>
      <c r="M407" s="459"/>
      <c r="N407" s="459"/>
    </row>
    <row r="408" spans="1:14">
      <c r="A408" s="459"/>
      <c r="B408" s="459"/>
      <c r="C408" s="459"/>
      <c r="D408" s="459"/>
      <c r="E408" s="459"/>
      <c r="F408" s="459"/>
      <c r="G408" s="459"/>
      <c r="H408" s="459"/>
      <c r="I408" s="459"/>
      <c r="J408" s="459"/>
      <c r="K408" s="459"/>
      <c r="L408" s="416"/>
      <c r="M408" s="459"/>
      <c r="N408" s="459"/>
    </row>
    <row r="409" spans="1:14">
      <c r="A409" s="459"/>
      <c r="B409" s="459"/>
      <c r="C409" s="459"/>
      <c r="D409" s="459"/>
      <c r="E409" s="459"/>
      <c r="F409" s="459"/>
      <c r="G409" s="459"/>
      <c r="H409" s="459"/>
      <c r="I409" s="459"/>
      <c r="J409" s="459"/>
      <c r="K409" s="459"/>
      <c r="L409" s="416"/>
      <c r="M409" s="459"/>
      <c r="N409" s="459"/>
    </row>
    <row r="410" spans="1:14">
      <c r="A410" s="459"/>
      <c r="B410" s="459"/>
      <c r="C410" s="459"/>
      <c r="D410" s="459"/>
      <c r="E410" s="459"/>
      <c r="F410" s="459"/>
      <c r="G410" s="459"/>
      <c r="H410" s="459"/>
      <c r="I410" s="459"/>
      <c r="J410" s="459"/>
      <c r="K410" s="459"/>
      <c r="L410" s="416"/>
      <c r="M410" s="459"/>
      <c r="N410" s="459"/>
    </row>
    <row r="411" spans="1:14">
      <c r="A411" s="459"/>
      <c r="B411" s="459"/>
      <c r="C411" s="459"/>
      <c r="D411" s="459"/>
      <c r="E411" s="459"/>
      <c r="F411" s="459"/>
      <c r="G411" s="459"/>
      <c r="H411" s="459"/>
      <c r="I411" s="459"/>
      <c r="J411" s="459"/>
      <c r="K411" s="459"/>
      <c r="L411" s="416"/>
      <c r="M411" s="459"/>
      <c r="N411" s="459"/>
    </row>
    <row r="412" spans="1:14">
      <c r="A412" s="459"/>
      <c r="B412" s="459"/>
      <c r="C412" s="459"/>
      <c r="D412" s="459"/>
      <c r="E412" s="459"/>
      <c r="F412" s="459"/>
      <c r="G412" s="459"/>
      <c r="H412" s="459"/>
      <c r="I412" s="459"/>
      <c r="J412" s="459"/>
      <c r="K412" s="459"/>
      <c r="L412" s="416"/>
      <c r="M412" s="459"/>
      <c r="N412" s="459"/>
    </row>
    <row r="413" spans="1:14">
      <c r="A413" s="459"/>
      <c r="B413" s="459"/>
      <c r="C413" s="459"/>
      <c r="D413" s="459"/>
      <c r="E413" s="459"/>
      <c r="F413" s="459"/>
      <c r="G413" s="459"/>
      <c r="H413" s="459"/>
      <c r="I413" s="459"/>
      <c r="J413" s="459"/>
      <c r="K413" s="459"/>
      <c r="L413" s="416"/>
      <c r="M413" s="459"/>
      <c r="N413" s="459"/>
    </row>
    <row r="414" spans="1:14">
      <c r="A414" s="459"/>
      <c r="B414" s="459"/>
      <c r="C414" s="459"/>
      <c r="D414" s="459"/>
      <c r="E414" s="459"/>
      <c r="F414" s="459"/>
      <c r="G414" s="459"/>
      <c r="H414" s="459"/>
      <c r="I414" s="459"/>
      <c r="J414" s="459"/>
      <c r="K414" s="459"/>
      <c r="L414" s="416"/>
      <c r="M414" s="459"/>
      <c r="N414" s="459"/>
    </row>
    <row r="415" spans="1:14">
      <c r="A415" s="459"/>
      <c r="B415" s="459"/>
      <c r="C415" s="459"/>
      <c r="D415" s="459"/>
      <c r="E415" s="459"/>
      <c r="F415" s="459"/>
      <c r="G415" s="459"/>
      <c r="H415" s="459"/>
      <c r="I415" s="459"/>
      <c r="J415" s="459"/>
      <c r="K415" s="459"/>
      <c r="L415" s="416"/>
      <c r="M415" s="459"/>
      <c r="N415" s="459"/>
    </row>
    <row r="416" spans="1:14">
      <c r="A416" s="459"/>
      <c r="B416" s="459"/>
      <c r="C416" s="459"/>
      <c r="D416" s="459"/>
      <c r="E416" s="459"/>
      <c r="F416" s="459"/>
      <c r="G416" s="459"/>
      <c r="H416" s="459"/>
      <c r="I416" s="459"/>
      <c r="J416" s="459"/>
      <c r="K416" s="459"/>
      <c r="L416" s="416"/>
      <c r="M416" s="459"/>
      <c r="N416" s="459"/>
    </row>
    <row r="417" spans="1:14">
      <c r="A417" s="459"/>
      <c r="B417" s="459"/>
      <c r="C417" s="459"/>
      <c r="D417" s="459"/>
      <c r="E417" s="459"/>
      <c r="F417" s="459"/>
      <c r="G417" s="459"/>
      <c r="H417" s="459"/>
      <c r="I417" s="459"/>
      <c r="J417" s="459"/>
      <c r="K417" s="459"/>
      <c r="L417" s="416"/>
      <c r="M417" s="459"/>
      <c r="N417" s="459"/>
    </row>
    <row r="418" spans="1:14">
      <c r="A418" s="459"/>
      <c r="B418" s="459"/>
      <c r="C418" s="459"/>
      <c r="D418" s="459"/>
      <c r="E418" s="459"/>
      <c r="F418" s="459"/>
      <c r="G418" s="459"/>
      <c r="H418" s="459"/>
      <c r="I418" s="459"/>
      <c r="J418" s="459"/>
      <c r="K418" s="459"/>
      <c r="L418" s="416"/>
      <c r="M418" s="459"/>
      <c r="N418" s="459"/>
    </row>
    <row r="419" spans="1:14">
      <c r="A419" s="459"/>
      <c r="B419" s="459"/>
      <c r="C419" s="459"/>
      <c r="D419" s="459"/>
      <c r="E419" s="459"/>
      <c r="F419" s="459"/>
      <c r="G419" s="459"/>
      <c r="H419" s="459"/>
      <c r="I419" s="459"/>
      <c r="J419" s="459"/>
      <c r="K419" s="459"/>
      <c r="L419" s="416"/>
      <c r="M419" s="459"/>
      <c r="N419" s="459"/>
    </row>
    <row r="420" spans="1:14">
      <c r="A420" s="459"/>
      <c r="B420" s="459"/>
      <c r="C420" s="459"/>
      <c r="D420" s="459"/>
      <c r="E420" s="459"/>
      <c r="F420" s="459"/>
      <c r="G420" s="459"/>
      <c r="H420" s="459"/>
      <c r="I420" s="459"/>
      <c r="J420" s="459"/>
      <c r="K420" s="459"/>
      <c r="L420" s="416"/>
      <c r="M420" s="459"/>
      <c r="N420" s="459"/>
    </row>
    <row r="421" spans="1:14">
      <c r="A421" s="459"/>
      <c r="B421" s="459"/>
      <c r="C421" s="459"/>
      <c r="D421" s="459"/>
      <c r="E421" s="459"/>
      <c r="F421" s="459"/>
      <c r="G421" s="459"/>
      <c r="H421" s="459"/>
      <c r="I421" s="459"/>
      <c r="J421" s="459"/>
      <c r="K421" s="459"/>
      <c r="L421" s="416"/>
      <c r="M421" s="459"/>
      <c r="N421" s="459"/>
    </row>
    <row r="422" spans="1:14">
      <c r="A422" s="459"/>
      <c r="B422" s="459"/>
      <c r="C422" s="459"/>
      <c r="D422" s="459"/>
      <c r="E422" s="459"/>
      <c r="F422" s="459"/>
      <c r="G422" s="459"/>
      <c r="H422" s="459"/>
      <c r="I422" s="459"/>
      <c r="J422" s="459"/>
      <c r="K422" s="459"/>
      <c r="L422" s="416"/>
      <c r="M422" s="459"/>
      <c r="N422" s="459"/>
    </row>
    <row r="423" spans="1:14">
      <c r="A423" s="459"/>
      <c r="B423" s="459"/>
      <c r="C423" s="459"/>
      <c r="D423" s="459"/>
      <c r="E423" s="459"/>
      <c r="F423" s="459"/>
      <c r="G423" s="459"/>
      <c r="H423" s="459"/>
      <c r="I423" s="459"/>
      <c r="J423" s="459"/>
      <c r="K423" s="459"/>
      <c r="L423" s="416"/>
      <c r="M423" s="459"/>
      <c r="N423" s="459"/>
    </row>
    <row r="424" spans="1:14">
      <c r="A424" s="459"/>
      <c r="B424" s="459"/>
      <c r="C424" s="459"/>
      <c r="D424" s="459"/>
      <c r="E424" s="459"/>
      <c r="F424" s="459"/>
      <c r="G424" s="459"/>
      <c r="H424" s="459"/>
      <c r="I424" s="459"/>
      <c r="J424" s="459"/>
      <c r="K424" s="459"/>
      <c r="L424" s="416"/>
      <c r="M424" s="459"/>
      <c r="N424" s="459"/>
    </row>
    <row r="425" spans="1:14">
      <c r="A425" s="459"/>
      <c r="B425" s="459"/>
      <c r="C425" s="459"/>
      <c r="D425" s="459"/>
      <c r="E425" s="459"/>
      <c r="F425" s="459"/>
      <c r="G425" s="459"/>
      <c r="H425" s="459"/>
      <c r="I425" s="459"/>
      <c r="J425" s="459"/>
      <c r="K425" s="459"/>
      <c r="L425" s="416"/>
      <c r="M425" s="459"/>
      <c r="N425" s="459"/>
    </row>
    <row r="426" spans="1:14">
      <c r="A426" s="459"/>
      <c r="B426" s="459"/>
      <c r="C426" s="459"/>
      <c r="D426" s="459"/>
      <c r="E426" s="459"/>
      <c r="F426" s="459"/>
      <c r="G426" s="459"/>
      <c r="H426" s="459"/>
      <c r="I426" s="459"/>
      <c r="J426" s="459"/>
      <c r="K426" s="459"/>
      <c r="L426" s="416"/>
      <c r="M426" s="459"/>
      <c r="N426" s="459"/>
    </row>
    <row r="427" spans="1:14">
      <c r="A427" s="459"/>
      <c r="B427" s="459"/>
      <c r="C427" s="459"/>
      <c r="D427" s="459"/>
      <c r="E427" s="459"/>
      <c r="F427" s="459"/>
      <c r="G427" s="459"/>
      <c r="H427" s="459"/>
      <c r="I427" s="459"/>
      <c r="J427" s="459"/>
      <c r="K427" s="459"/>
      <c r="L427" s="416"/>
      <c r="M427" s="459"/>
      <c r="N427" s="459"/>
    </row>
    <row r="428" spans="1:14">
      <c r="A428" s="459"/>
      <c r="B428" s="459"/>
      <c r="C428" s="459"/>
      <c r="D428" s="459"/>
      <c r="E428" s="459"/>
      <c r="F428" s="459"/>
      <c r="G428" s="459"/>
      <c r="H428" s="459"/>
      <c r="I428" s="459"/>
      <c r="J428" s="459"/>
      <c r="K428" s="459"/>
      <c r="L428" s="416"/>
      <c r="M428" s="459"/>
      <c r="N428" s="459"/>
    </row>
    <row r="429" spans="1:14">
      <c r="A429" s="459"/>
      <c r="B429" s="459"/>
      <c r="C429" s="459"/>
      <c r="D429" s="459"/>
      <c r="E429" s="459"/>
      <c r="F429" s="459"/>
      <c r="G429" s="459"/>
      <c r="H429" s="459"/>
      <c r="I429" s="459"/>
      <c r="J429" s="459"/>
      <c r="K429" s="459"/>
      <c r="L429" s="416"/>
      <c r="M429" s="459"/>
      <c r="N429" s="459"/>
    </row>
    <row r="430" spans="1:14">
      <c r="A430" s="459"/>
      <c r="B430" s="459"/>
      <c r="C430" s="459"/>
      <c r="D430" s="459"/>
      <c r="E430" s="459"/>
      <c r="F430" s="459"/>
      <c r="G430" s="459"/>
      <c r="H430" s="459"/>
      <c r="I430" s="459"/>
      <c r="J430" s="459"/>
      <c r="K430" s="459"/>
      <c r="L430" s="416"/>
      <c r="M430" s="459"/>
      <c r="N430" s="459"/>
    </row>
    <row r="431" spans="1:14">
      <c r="A431" s="459"/>
      <c r="B431" s="459"/>
      <c r="C431" s="459"/>
      <c r="D431" s="459"/>
      <c r="E431" s="459"/>
      <c r="F431" s="459"/>
      <c r="G431" s="459"/>
      <c r="H431" s="459"/>
      <c r="I431" s="459"/>
      <c r="J431" s="459"/>
      <c r="K431" s="459"/>
      <c r="L431" s="416"/>
      <c r="M431" s="459"/>
      <c r="N431" s="459"/>
    </row>
    <row r="432" spans="1:14">
      <c r="A432" s="459"/>
      <c r="B432" s="459"/>
      <c r="C432" s="459"/>
      <c r="D432" s="459"/>
      <c r="E432" s="459"/>
      <c r="F432" s="459"/>
      <c r="G432" s="459"/>
      <c r="H432" s="459"/>
      <c r="I432" s="459"/>
      <c r="J432" s="459"/>
      <c r="K432" s="459"/>
      <c r="L432" s="416"/>
      <c r="M432" s="459"/>
      <c r="N432" s="459"/>
    </row>
    <row r="433" spans="1:14">
      <c r="A433" s="459"/>
      <c r="B433" s="459"/>
      <c r="C433" s="459"/>
      <c r="D433" s="459"/>
      <c r="E433" s="459"/>
      <c r="F433" s="459"/>
      <c r="G433" s="459"/>
      <c r="H433" s="459"/>
      <c r="I433" s="459"/>
      <c r="J433" s="459"/>
      <c r="K433" s="459"/>
      <c r="L433" s="416"/>
      <c r="M433" s="459"/>
      <c r="N433" s="459"/>
    </row>
    <row r="434" spans="1:14">
      <c r="A434" s="459"/>
      <c r="B434" s="459"/>
      <c r="C434" s="459"/>
      <c r="D434" s="459"/>
      <c r="E434" s="459"/>
      <c r="F434" s="459"/>
      <c r="G434" s="459"/>
      <c r="H434" s="459"/>
      <c r="I434" s="459"/>
      <c r="J434" s="459"/>
      <c r="K434" s="459"/>
      <c r="L434" s="416"/>
      <c r="M434" s="459"/>
      <c r="N434" s="459"/>
    </row>
    <row r="435" spans="1:14">
      <c r="A435" s="459"/>
      <c r="B435" s="459"/>
      <c r="C435" s="459"/>
      <c r="D435" s="459"/>
      <c r="E435" s="459"/>
      <c r="F435" s="459"/>
      <c r="G435" s="459"/>
      <c r="H435" s="459"/>
      <c r="I435" s="459"/>
      <c r="J435" s="459"/>
      <c r="K435" s="459"/>
      <c r="L435" s="416"/>
      <c r="M435" s="459"/>
      <c r="N435" s="459"/>
    </row>
    <row r="436" spans="1:14">
      <c r="A436" s="459"/>
      <c r="B436" s="459"/>
      <c r="C436" s="459"/>
      <c r="D436" s="459"/>
      <c r="E436" s="459"/>
      <c r="F436" s="459"/>
      <c r="G436" s="459"/>
      <c r="H436" s="459"/>
      <c r="I436" s="459"/>
      <c r="J436" s="459"/>
      <c r="K436" s="459"/>
      <c r="L436" s="416"/>
      <c r="M436" s="459"/>
      <c r="N436" s="459"/>
    </row>
    <row r="437" spans="1:14">
      <c r="A437" s="459"/>
      <c r="B437" s="459"/>
      <c r="C437" s="459"/>
      <c r="D437" s="459"/>
      <c r="E437" s="459"/>
      <c r="F437" s="459"/>
      <c r="G437" s="459"/>
      <c r="H437" s="459"/>
      <c r="I437" s="459"/>
      <c r="J437" s="459"/>
      <c r="K437" s="459"/>
      <c r="L437" s="416"/>
      <c r="M437" s="459"/>
      <c r="N437" s="459"/>
    </row>
    <row r="438" spans="1:14">
      <c r="A438" s="459"/>
      <c r="B438" s="459"/>
      <c r="C438" s="459"/>
      <c r="D438" s="459"/>
      <c r="E438" s="459"/>
      <c r="F438" s="459"/>
      <c r="G438" s="459"/>
      <c r="H438" s="459"/>
      <c r="I438" s="459"/>
      <c r="J438" s="459"/>
      <c r="K438" s="459"/>
      <c r="L438" s="416"/>
      <c r="M438" s="459"/>
      <c r="N438" s="459"/>
    </row>
    <row r="439" spans="1:14">
      <c r="A439" s="459"/>
      <c r="B439" s="459"/>
      <c r="C439" s="459"/>
      <c r="D439" s="459"/>
      <c r="E439" s="459"/>
      <c r="F439" s="459"/>
      <c r="G439" s="459"/>
      <c r="H439" s="459"/>
      <c r="I439" s="459"/>
      <c r="J439" s="459"/>
      <c r="K439" s="459"/>
      <c r="L439" s="416"/>
      <c r="M439" s="459"/>
      <c r="N439" s="459"/>
    </row>
    <row r="440" spans="1:14">
      <c r="A440" s="459"/>
      <c r="B440" s="459"/>
      <c r="C440" s="459"/>
      <c r="D440" s="459"/>
      <c r="E440" s="459"/>
      <c r="F440" s="459"/>
      <c r="G440" s="459"/>
      <c r="H440" s="459"/>
      <c r="I440" s="459"/>
      <c r="J440" s="459"/>
      <c r="K440" s="459"/>
      <c r="L440" s="416"/>
      <c r="M440" s="459"/>
      <c r="N440" s="459"/>
    </row>
    <row r="441" spans="1:14">
      <c r="A441" s="459"/>
      <c r="B441" s="459"/>
      <c r="C441" s="459"/>
      <c r="D441" s="459"/>
      <c r="E441" s="459"/>
      <c r="F441" s="459"/>
      <c r="G441" s="459"/>
      <c r="H441" s="459"/>
      <c r="I441" s="459"/>
      <c r="J441" s="459"/>
      <c r="K441" s="459"/>
      <c r="L441" s="416"/>
      <c r="M441" s="459"/>
      <c r="N441" s="459"/>
    </row>
    <row r="442" spans="1:14">
      <c r="A442" s="459"/>
      <c r="B442" s="459"/>
      <c r="C442" s="459"/>
      <c r="D442" s="459"/>
      <c r="E442" s="459"/>
      <c r="F442" s="459"/>
      <c r="G442" s="459"/>
      <c r="H442" s="459"/>
      <c r="I442" s="459"/>
      <c r="J442" s="459"/>
      <c r="K442" s="459"/>
      <c r="L442" s="416"/>
      <c r="M442" s="459"/>
      <c r="N442" s="459"/>
    </row>
    <row r="443" spans="1:14">
      <c r="A443" s="459"/>
      <c r="B443" s="459"/>
      <c r="C443" s="459"/>
      <c r="D443" s="459"/>
      <c r="E443" s="459"/>
      <c r="F443" s="459"/>
      <c r="G443" s="459"/>
      <c r="H443" s="459"/>
      <c r="I443" s="459"/>
      <c r="J443" s="459"/>
      <c r="K443" s="459"/>
      <c r="L443" s="416"/>
      <c r="M443" s="459"/>
      <c r="N443" s="459"/>
    </row>
    <row r="444" spans="1:14">
      <c r="A444" s="459"/>
      <c r="B444" s="459"/>
      <c r="C444" s="459"/>
      <c r="D444" s="459"/>
      <c r="E444" s="459"/>
      <c r="F444" s="459"/>
      <c r="G444" s="459"/>
      <c r="H444" s="459"/>
      <c r="I444" s="459"/>
      <c r="J444" s="459"/>
      <c r="K444" s="459"/>
      <c r="L444" s="416"/>
      <c r="M444" s="459"/>
      <c r="N444" s="459"/>
    </row>
    <row r="445" spans="1:14">
      <c r="A445" s="459"/>
      <c r="B445" s="459"/>
      <c r="C445" s="459"/>
      <c r="D445" s="459"/>
      <c r="E445" s="459"/>
      <c r="F445" s="459"/>
      <c r="G445" s="459"/>
      <c r="H445" s="459"/>
      <c r="I445" s="459"/>
      <c r="J445" s="459"/>
      <c r="K445" s="459"/>
      <c r="L445" s="416"/>
      <c r="M445" s="459"/>
      <c r="N445" s="459"/>
    </row>
    <row r="446" spans="1:14">
      <c r="A446" s="459"/>
      <c r="B446" s="459"/>
      <c r="C446" s="459"/>
      <c r="D446" s="459"/>
      <c r="E446" s="459"/>
      <c r="F446" s="459"/>
      <c r="G446" s="459"/>
      <c r="H446" s="459"/>
      <c r="I446" s="459"/>
      <c r="J446" s="459"/>
      <c r="K446" s="459"/>
      <c r="L446" s="416"/>
      <c r="M446" s="459"/>
      <c r="N446" s="459"/>
    </row>
    <row r="447" spans="1:14">
      <c r="A447" s="459"/>
      <c r="B447" s="459"/>
      <c r="C447" s="459"/>
      <c r="D447" s="459"/>
      <c r="E447" s="459"/>
      <c r="F447" s="459"/>
      <c r="G447" s="459"/>
      <c r="H447" s="459"/>
      <c r="I447" s="459"/>
      <c r="J447" s="459"/>
      <c r="K447" s="459"/>
      <c r="L447" s="416"/>
      <c r="M447" s="459"/>
      <c r="N447" s="459"/>
    </row>
    <row r="448" spans="1:14">
      <c r="A448" s="459"/>
      <c r="B448" s="459"/>
      <c r="C448" s="459"/>
      <c r="D448" s="459"/>
      <c r="E448" s="459"/>
      <c r="F448" s="459"/>
      <c r="G448" s="459"/>
      <c r="H448" s="459"/>
      <c r="I448" s="459"/>
      <c r="J448" s="459"/>
      <c r="K448" s="459"/>
      <c r="L448" s="416"/>
      <c r="M448" s="459"/>
      <c r="N448" s="459"/>
    </row>
    <row r="449" spans="1:14">
      <c r="A449" s="459"/>
      <c r="B449" s="459"/>
      <c r="C449" s="459"/>
      <c r="D449" s="459"/>
      <c r="E449" s="459"/>
      <c r="F449" s="459"/>
      <c r="G449" s="459"/>
      <c r="H449" s="459"/>
      <c r="I449" s="459"/>
      <c r="J449" s="459"/>
      <c r="K449" s="459"/>
      <c r="L449" s="416"/>
      <c r="M449" s="459"/>
      <c r="N449" s="459"/>
    </row>
    <row r="450" spans="1:14">
      <c r="A450" s="459"/>
      <c r="B450" s="459"/>
      <c r="C450" s="459"/>
      <c r="D450" s="459"/>
      <c r="E450" s="459"/>
      <c r="F450" s="459"/>
      <c r="G450" s="459"/>
      <c r="H450" s="459"/>
      <c r="I450" s="459"/>
      <c r="J450" s="459"/>
      <c r="K450" s="459"/>
      <c r="L450" s="416"/>
      <c r="M450" s="459"/>
      <c r="N450" s="459"/>
    </row>
    <row r="451" spans="1:14">
      <c r="A451" s="459"/>
      <c r="B451" s="459"/>
      <c r="C451" s="459"/>
      <c r="D451" s="459"/>
      <c r="E451" s="459"/>
      <c r="F451" s="459"/>
      <c r="G451" s="459"/>
      <c r="H451" s="459"/>
      <c r="I451" s="459"/>
      <c r="J451" s="459"/>
      <c r="K451" s="459"/>
      <c r="L451" s="416"/>
      <c r="M451" s="459"/>
      <c r="N451" s="459"/>
    </row>
    <row r="452" spans="1:14">
      <c r="A452" s="459"/>
      <c r="B452" s="459"/>
      <c r="C452" s="459"/>
      <c r="D452" s="459"/>
      <c r="E452" s="459"/>
      <c r="F452" s="459"/>
      <c r="G452" s="459"/>
      <c r="H452" s="459"/>
      <c r="I452" s="459"/>
      <c r="J452" s="459"/>
      <c r="K452" s="459"/>
      <c r="L452" s="416"/>
      <c r="M452" s="459"/>
      <c r="N452" s="459"/>
    </row>
    <row r="453" spans="1:14">
      <c r="A453" s="459"/>
      <c r="B453" s="459"/>
      <c r="C453" s="459"/>
      <c r="D453" s="459"/>
      <c r="E453" s="459"/>
      <c r="F453" s="459"/>
      <c r="G453" s="459"/>
      <c r="H453" s="459"/>
      <c r="I453" s="459"/>
      <c r="J453" s="459"/>
      <c r="K453" s="459"/>
      <c r="L453" s="416"/>
      <c r="M453" s="459"/>
      <c r="N453" s="459"/>
    </row>
    <row r="454" spans="1:14">
      <c r="A454" s="459"/>
      <c r="B454" s="459"/>
      <c r="C454" s="459"/>
      <c r="D454" s="459"/>
      <c r="E454" s="459"/>
      <c r="F454" s="459"/>
      <c r="G454" s="459"/>
      <c r="H454" s="459"/>
      <c r="I454" s="459"/>
      <c r="J454" s="459"/>
      <c r="K454" s="459"/>
      <c r="L454" s="416"/>
      <c r="M454" s="459"/>
      <c r="N454" s="459"/>
    </row>
    <row r="455" spans="1:14">
      <c r="A455" s="459"/>
      <c r="B455" s="459"/>
      <c r="C455" s="459"/>
      <c r="D455" s="459"/>
      <c r="E455" s="459"/>
      <c r="F455" s="459"/>
      <c r="G455" s="459"/>
      <c r="H455" s="459"/>
      <c r="I455" s="459"/>
      <c r="J455" s="459"/>
      <c r="K455" s="459"/>
      <c r="L455" s="416"/>
      <c r="M455" s="459"/>
      <c r="N455" s="459"/>
    </row>
    <row r="456" spans="1:14">
      <c r="A456" s="459"/>
      <c r="B456" s="459"/>
      <c r="C456" s="459"/>
      <c r="D456" s="459"/>
      <c r="E456" s="459"/>
      <c r="F456" s="459"/>
      <c r="G456" s="459"/>
      <c r="H456" s="459"/>
      <c r="I456" s="459"/>
      <c r="J456" s="459"/>
      <c r="K456" s="459"/>
      <c r="L456" s="416"/>
      <c r="M456" s="459"/>
      <c r="N456" s="459"/>
    </row>
    <row r="457" spans="1:14">
      <c r="A457" s="459"/>
      <c r="B457" s="459"/>
      <c r="C457" s="459"/>
      <c r="D457" s="459"/>
      <c r="E457" s="459"/>
      <c r="F457" s="459"/>
      <c r="G457" s="459"/>
      <c r="H457" s="459"/>
      <c r="I457" s="459"/>
      <c r="J457" s="459"/>
      <c r="K457" s="459"/>
      <c r="L457" s="416"/>
      <c r="M457" s="459"/>
      <c r="N457" s="459"/>
    </row>
    <row r="458" spans="1:14">
      <c r="A458" s="459"/>
      <c r="B458" s="459"/>
      <c r="C458" s="459"/>
      <c r="D458" s="459"/>
      <c r="E458" s="459"/>
      <c r="F458" s="459"/>
      <c r="G458" s="459"/>
      <c r="H458" s="459"/>
      <c r="I458" s="459"/>
      <c r="J458" s="459"/>
      <c r="K458" s="459"/>
      <c r="L458" s="416"/>
      <c r="M458" s="459"/>
      <c r="N458" s="459"/>
    </row>
    <row r="459" spans="1:14">
      <c r="A459" s="459"/>
      <c r="B459" s="459"/>
      <c r="C459" s="459"/>
      <c r="D459" s="459"/>
      <c r="E459" s="459"/>
      <c r="F459" s="459"/>
      <c r="G459" s="459"/>
      <c r="H459" s="459"/>
      <c r="I459" s="459"/>
      <c r="J459" s="459"/>
      <c r="K459" s="459"/>
      <c r="L459" s="416"/>
      <c r="M459" s="459"/>
      <c r="N459" s="459"/>
    </row>
    <row r="460" spans="1:14">
      <c r="A460" s="459"/>
      <c r="B460" s="459"/>
      <c r="C460" s="459"/>
      <c r="D460" s="459"/>
      <c r="E460" s="459"/>
      <c r="F460" s="459"/>
      <c r="G460" s="459"/>
      <c r="H460" s="459"/>
      <c r="I460" s="459"/>
      <c r="J460" s="459"/>
      <c r="K460" s="459"/>
      <c r="L460" s="416"/>
      <c r="M460" s="459"/>
      <c r="N460" s="459"/>
    </row>
    <row r="461" spans="1:14">
      <c r="A461" s="459"/>
      <c r="B461" s="459"/>
      <c r="C461" s="459"/>
      <c r="D461" s="459"/>
      <c r="E461" s="459"/>
      <c r="F461" s="459"/>
      <c r="G461" s="459"/>
      <c r="H461" s="459"/>
      <c r="I461" s="459"/>
      <c r="J461" s="459"/>
      <c r="K461" s="459"/>
      <c r="L461" s="416"/>
      <c r="M461" s="459"/>
      <c r="N461" s="459"/>
    </row>
    <row r="462" spans="1:14">
      <c r="A462" s="459"/>
      <c r="B462" s="459"/>
      <c r="C462" s="459"/>
      <c r="D462" s="459"/>
      <c r="E462" s="459"/>
      <c r="F462" s="459"/>
      <c r="G462" s="459"/>
      <c r="H462" s="459"/>
      <c r="I462" s="459"/>
      <c r="J462" s="459"/>
      <c r="K462" s="459"/>
      <c r="L462" s="416"/>
      <c r="M462" s="459"/>
      <c r="N462" s="459"/>
    </row>
    <row r="463" spans="1:14">
      <c r="A463" s="459"/>
      <c r="B463" s="459"/>
      <c r="C463" s="459"/>
      <c r="D463" s="459"/>
      <c r="E463" s="459"/>
      <c r="F463" s="459"/>
      <c r="G463" s="459"/>
      <c r="H463" s="459"/>
      <c r="I463" s="459"/>
      <c r="J463" s="459"/>
      <c r="K463" s="459"/>
      <c r="L463" s="416"/>
      <c r="M463" s="459"/>
      <c r="N463" s="459"/>
    </row>
    <row r="464" spans="1:14">
      <c r="A464" s="459"/>
      <c r="B464" s="459"/>
      <c r="C464" s="459"/>
      <c r="D464" s="459"/>
      <c r="E464" s="459"/>
      <c r="F464" s="459"/>
      <c r="G464" s="459"/>
      <c r="H464" s="459"/>
      <c r="I464" s="459"/>
      <c r="J464" s="459"/>
      <c r="K464" s="459"/>
      <c r="L464" s="416"/>
      <c r="M464" s="459"/>
      <c r="N464" s="459"/>
    </row>
    <row r="465" spans="1:14">
      <c r="A465" s="459"/>
      <c r="B465" s="459"/>
      <c r="C465" s="459"/>
      <c r="D465" s="459"/>
      <c r="E465" s="459"/>
      <c r="F465" s="459"/>
      <c r="G465" s="459"/>
      <c r="H465" s="459"/>
      <c r="I465" s="459"/>
      <c r="J465" s="459"/>
      <c r="K465" s="459"/>
      <c r="L465" s="416"/>
      <c r="M465" s="459"/>
      <c r="N465" s="459"/>
    </row>
    <row r="466" spans="1:14">
      <c r="A466" s="459"/>
      <c r="B466" s="459"/>
      <c r="C466" s="459"/>
      <c r="D466" s="459"/>
      <c r="E466" s="459"/>
      <c r="F466" s="459"/>
      <c r="G466" s="459"/>
      <c r="H466" s="459"/>
      <c r="I466" s="459"/>
      <c r="J466" s="459"/>
      <c r="K466" s="459"/>
      <c r="L466" s="416"/>
      <c r="M466" s="459"/>
      <c r="N466" s="459"/>
    </row>
    <row r="467" spans="1:14">
      <c r="A467" s="459"/>
      <c r="B467" s="459"/>
      <c r="C467" s="459"/>
      <c r="D467" s="459"/>
      <c r="E467" s="459"/>
      <c r="F467" s="459"/>
      <c r="G467" s="459"/>
      <c r="H467" s="459"/>
      <c r="I467" s="459"/>
      <c r="J467" s="459"/>
      <c r="K467" s="459"/>
      <c r="L467" s="416"/>
      <c r="M467" s="459"/>
      <c r="N467" s="459"/>
    </row>
    <row r="468" spans="1:14">
      <c r="A468" s="459"/>
      <c r="B468" s="459"/>
      <c r="C468" s="459"/>
      <c r="D468" s="459"/>
      <c r="E468" s="459"/>
      <c r="F468" s="459"/>
      <c r="G468" s="459"/>
      <c r="H468" s="459"/>
      <c r="I468" s="459"/>
      <c r="J468" s="459"/>
      <c r="K468" s="459"/>
      <c r="L468" s="416"/>
      <c r="M468" s="459"/>
      <c r="N468" s="459"/>
    </row>
    <row r="469" spans="1:14">
      <c r="A469" s="459"/>
      <c r="B469" s="459"/>
      <c r="C469" s="459"/>
      <c r="D469" s="459"/>
      <c r="E469" s="459"/>
      <c r="F469" s="459"/>
      <c r="G469" s="459"/>
      <c r="H469" s="459"/>
      <c r="I469" s="459"/>
      <c r="J469" s="459"/>
      <c r="K469" s="459"/>
      <c r="L469" s="416"/>
      <c r="M469" s="459"/>
      <c r="N469" s="459"/>
    </row>
    <row r="470" spans="1:14">
      <c r="A470" s="459"/>
      <c r="B470" s="459"/>
      <c r="C470" s="459"/>
      <c r="D470" s="459"/>
      <c r="E470" s="459"/>
      <c r="F470" s="459"/>
      <c r="G470" s="459"/>
      <c r="H470" s="459"/>
      <c r="I470" s="459"/>
      <c r="J470" s="459"/>
      <c r="K470" s="459"/>
      <c r="L470" s="416"/>
      <c r="M470" s="459"/>
      <c r="N470" s="459"/>
    </row>
    <row r="471" spans="1:14">
      <c r="A471" s="459"/>
      <c r="B471" s="459"/>
      <c r="C471" s="459"/>
      <c r="D471" s="459"/>
      <c r="E471" s="459"/>
      <c r="F471" s="459"/>
      <c r="G471" s="459"/>
      <c r="H471" s="459"/>
      <c r="I471" s="459"/>
      <c r="J471" s="459"/>
      <c r="K471" s="459"/>
      <c r="L471" s="416"/>
      <c r="M471" s="459"/>
      <c r="N471" s="459"/>
    </row>
    <row r="472" spans="1:14">
      <c r="A472" s="459"/>
      <c r="B472" s="459"/>
      <c r="C472" s="459"/>
      <c r="D472" s="459"/>
      <c r="E472" s="459"/>
      <c r="F472" s="459"/>
      <c r="G472" s="459"/>
      <c r="H472" s="459"/>
      <c r="I472" s="459"/>
      <c r="J472" s="459"/>
      <c r="K472" s="459"/>
      <c r="L472" s="416"/>
      <c r="M472" s="459"/>
      <c r="N472" s="459"/>
    </row>
    <row r="473" spans="1:14">
      <c r="A473" s="459"/>
      <c r="B473" s="459"/>
      <c r="C473" s="459"/>
      <c r="D473" s="459"/>
      <c r="E473" s="459"/>
      <c r="F473" s="459"/>
      <c r="G473" s="459"/>
      <c r="H473" s="459"/>
      <c r="I473" s="459"/>
      <c r="J473" s="459"/>
      <c r="K473" s="459"/>
      <c r="L473" s="416"/>
      <c r="M473" s="459"/>
      <c r="N473" s="459"/>
    </row>
    <row r="474" spans="1:14">
      <c r="A474" s="459"/>
      <c r="B474" s="459"/>
      <c r="C474" s="459"/>
      <c r="D474" s="459"/>
      <c r="E474" s="459"/>
      <c r="F474" s="459"/>
      <c r="G474" s="459"/>
      <c r="H474" s="459"/>
      <c r="I474" s="459"/>
      <c r="J474" s="459"/>
      <c r="K474" s="459"/>
      <c r="L474" s="416"/>
      <c r="M474" s="459"/>
      <c r="N474" s="459"/>
    </row>
    <row r="475" spans="1:14">
      <c r="A475" s="459"/>
      <c r="B475" s="459"/>
      <c r="C475" s="459"/>
      <c r="D475" s="459"/>
      <c r="E475" s="459"/>
      <c r="F475" s="459"/>
      <c r="G475" s="459"/>
      <c r="H475" s="459"/>
      <c r="I475" s="459"/>
      <c r="J475" s="459"/>
      <c r="K475" s="459"/>
      <c r="L475" s="416"/>
      <c r="M475" s="459"/>
      <c r="N475" s="459"/>
    </row>
    <row r="476" spans="1:14">
      <c r="A476" s="459"/>
      <c r="B476" s="459"/>
      <c r="C476" s="459"/>
      <c r="D476" s="459"/>
      <c r="E476" s="459"/>
      <c r="F476" s="459"/>
      <c r="G476" s="459"/>
      <c r="H476" s="459"/>
      <c r="I476" s="459"/>
      <c r="J476" s="459"/>
      <c r="K476" s="459"/>
      <c r="L476" s="416"/>
      <c r="M476" s="459"/>
      <c r="N476" s="459"/>
    </row>
    <row r="477" spans="1:14">
      <c r="A477" s="459"/>
      <c r="B477" s="459"/>
      <c r="C477" s="459"/>
      <c r="D477" s="459"/>
      <c r="E477" s="459"/>
      <c r="F477" s="459"/>
      <c r="G477" s="459"/>
      <c r="H477" s="459"/>
      <c r="I477" s="459"/>
      <c r="J477" s="459"/>
      <c r="K477" s="459"/>
      <c r="L477" s="416"/>
      <c r="M477" s="459"/>
      <c r="N477" s="459"/>
    </row>
    <row r="478" spans="1:14">
      <c r="A478" s="459"/>
      <c r="B478" s="459"/>
      <c r="C478" s="459"/>
      <c r="D478" s="459"/>
      <c r="E478" s="459"/>
      <c r="F478" s="459"/>
      <c r="G478" s="459"/>
      <c r="H478" s="459"/>
      <c r="I478" s="459"/>
      <c r="J478" s="459"/>
      <c r="K478" s="459"/>
      <c r="L478" s="416"/>
      <c r="M478" s="459"/>
      <c r="N478" s="459"/>
    </row>
    <row r="479" spans="1:14">
      <c r="A479" s="459"/>
      <c r="B479" s="459"/>
      <c r="C479" s="459"/>
      <c r="D479" s="459"/>
      <c r="E479" s="459"/>
      <c r="F479" s="459"/>
      <c r="G479" s="459"/>
      <c r="H479" s="459"/>
      <c r="I479" s="459"/>
      <c r="J479" s="459"/>
      <c r="K479" s="459"/>
      <c r="L479" s="416"/>
      <c r="M479" s="459"/>
      <c r="N479" s="459"/>
    </row>
    <row r="480" spans="1:14">
      <c r="A480" s="459"/>
      <c r="B480" s="459"/>
      <c r="C480" s="459"/>
      <c r="D480" s="459"/>
      <c r="E480" s="459"/>
      <c r="F480" s="459"/>
      <c r="G480" s="459"/>
      <c r="H480" s="459"/>
      <c r="I480" s="459"/>
      <c r="J480" s="459"/>
      <c r="K480" s="459"/>
      <c r="L480" s="416"/>
      <c r="M480" s="459"/>
      <c r="N480" s="459"/>
    </row>
    <row r="481" spans="1:14">
      <c r="A481" s="459"/>
      <c r="B481" s="459"/>
      <c r="C481" s="459"/>
      <c r="D481" s="459"/>
      <c r="E481" s="459"/>
      <c r="F481" s="459"/>
      <c r="G481" s="459"/>
      <c r="H481" s="459"/>
      <c r="I481" s="459"/>
      <c r="J481" s="459"/>
      <c r="K481" s="459"/>
      <c r="L481" s="416"/>
      <c r="M481" s="459"/>
      <c r="N481" s="459"/>
    </row>
    <row r="482" spans="1:14">
      <c r="A482" s="459"/>
      <c r="B482" s="459"/>
      <c r="C482" s="459"/>
      <c r="D482" s="459"/>
      <c r="E482" s="459"/>
      <c r="F482" s="459"/>
      <c r="G482" s="459"/>
      <c r="H482" s="459"/>
      <c r="I482" s="459"/>
      <c r="J482" s="459"/>
      <c r="K482" s="459"/>
      <c r="L482" s="416"/>
      <c r="M482" s="459"/>
      <c r="N482" s="459"/>
    </row>
    <row r="483" spans="1:14">
      <c r="A483" s="459"/>
      <c r="B483" s="459"/>
      <c r="C483" s="459"/>
      <c r="D483" s="459"/>
      <c r="E483" s="459"/>
      <c r="F483" s="459"/>
      <c r="G483" s="459"/>
      <c r="H483" s="459"/>
      <c r="I483" s="459"/>
      <c r="J483" s="459"/>
      <c r="K483" s="459"/>
      <c r="L483" s="416"/>
      <c r="M483" s="459"/>
      <c r="N483" s="459"/>
    </row>
    <row r="484" spans="1:14">
      <c r="A484" s="459"/>
      <c r="B484" s="459"/>
      <c r="C484" s="459"/>
      <c r="D484" s="459"/>
      <c r="E484" s="459"/>
      <c r="F484" s="459"/>
      <c r="G484" s="459"/>
      <c r="H484" s="459"/>
      <c r="I484" s="459"/>
      <c r="J484" s="459"/>
      <c r="K484" s="459"/>
      <c r="L484" s="416"/>
      <c r="M484" s="459"/>
      <c r="N484" s="459"/>
    </row>
    <row r="485" spans="1:14">
      <c r="A485" s="459"/>
      <c r="B485" s="459"/>
      <c r="C485" s="459"/>
      <c r="D485" s="459"/>
      <c r="E485" s="459"/>
      <c r="F485" s="459"/>
      <c r="G485" s="459"/>
      <c r="H485" s="459"/>
      <c r="I485" s="459"/>
      <c r="J485" s="459"/>
      <c r="K485" s="459"/>
      <c r="L485" s="416"/>
      <c r="M485" s="459"/>
      <c r="N485" s="459"/>
    </row>
    <row r="486" spans="1:14">
      <c r="A486" s="459"/>
      <c r="B486" s="459"/>
      <c r="C486" s="459"/>
      <c r="D486" s="459"/>
      <c r="E486" s="459"/>
      <c r="F486" s="459"/>
      <c r="G486" s="459"/>
      <c r="H486" s="459"/>
      <c r="I486" s="459"/>
      <c r="J486" s="459"/>
      <c r="K486" s="459"/>
      <c r="L486" s="416"/>
      <c r="M486" s="459"/>
      <c r="N486" s="459"/>
    </row>
    <row r="487" spans="1:14">
      <c r="A487" s="459"/>
      <c r="B487" s="459"/>
      <c r="C487" s="459"/>
      <c r="D487" s="459"/>
      <c r="E487" s="459"/>
      <c r="F487" s="459"/>
      <c r="G487" s="459"/>
      <c r="H487" s="459"/>
      <c r="I487" s="459"/>
      <c r="J487" s="459"/>
      <c r="K487" s="459"/>
      <c r="L487" s="416"/>
      <c r="M487" s="459"/>
      <c r="N487" s="459"/>
    </row>
    <row r="488" spans="1:14">
      <c r="A488" s="459"/>
      <c r="B488" s="459"/>
      <c r="C488" s="459"/>
      <c r="D488" s="459"/>
      <c r="E488" s="459"/>
      <c r="F488" s="459"/>
      <c r="G488" s="459"/>
      <c r="H488" s="459"/>
      <c r="I488" s="459"/>
      <c r="J488" s="459"/>
      <c r="K488" s="459"/>
      <c r="L488" s="416"/>
      <c r="M488" s="459"/>
      <c r="N488" s="459"/>
    </row>
    <row r="489" spans="1:14">
      <c r="A489" s="459"/>
      <c r="B489" s="459"/>
      <c r="C489" s="459"/>
      <c r="D489" s="459"/>
      <c r="E489" s="459"/>
      <c r="F489" s="459"/>
      <c r="G489" s="459"/>
      <c r="H489" s="459"/>
      <c r="I489" s="459"/>
      <c r="J489" s="459"/>
      <c r="K489" s="459"/>
      <c r="L489" s="416"/>
      <c r="M489" s="459"/>
      <c r="N489" s="459"/>
    </row>
    <row r="490" spans="1:14">
      <c r="A490" s="459"/>
      <c r="B490" s="459"/>
      <c r="C490" s="459"/>
      <c r="D490" s="459"/>
      <c r="E490" s="459"/>
      <c r="F490" s="459"/>
      <c r="G490" s="459"/>
      <c r="H490" s="459"/>
      <c r="I490" s="459"/>
      <c r="J490" s="459"/>
      <c r="K490" s="459"/>
      <c r="L490" s="416"/>
      <c r="M490" s="459"/>
      <c r="N490" s="459"/>
    </row>
    <row r="491" spans="1:14">
      <c r="A491" s="459"/>
      <c r="B491" s="459"/>
      <c r="C491" s="459"/>
      <c r="D491" s="459"/>
      <c r="E491" s="459"/>
      <c r="F491" s="459"/>
      <c r="G491" s="459"/>
      <c r="H491" s="459"/>
      <c r="I491" s="459"/>
      <c r="J491" s="459"/>
      <c r="K491" s="459"/>
      <c r="L491" s="416"/>
      <c r="M491" s="459"/>
      <c r="N491" s="459"/>
    </row>
    <row r="492" spans="1:14">
      <c r="A492" s="459"/>
      <c r="B492" s="459"/>
      <c r="C492" s="459"/>
      <c r="D492" s="459"/>
      <c r="E492" s="459"/>
      <c r="F492" s="459"/>
      <c r="G492" s="459"/>
      <c r="H492" s="459"/>
      <c r="I492" s="459"/>
      <c r="J492" s="459"/>
      <c r="K492" s="459"/>
      <c r="L492" s="416"/>
      <c r="M492" s="459"/>
      <c r="N492" s="459"/>
    </row>
    <row r="493" spans="1:14">
      <c r="A493" s="459"/>
      <c r="B493" s="459"/>
      <c r="C493" s="459"/>
      <c r="D493" s="459"/>
      <c r="E493" s="459"/>
      <c r="F493" s="459"/>
      <c r="G493" s="459"/>
      <c r="H493" s="459"/>
      <c r="I493" s="459"/>
      <c r="J493" s="459"/>
      <c r="K493" s="459"/>
      <c r="L493" s="416"/>
      <c r="M493" s="459"/>
      <c r="N493" s="459"/>
    </row>
    <row r="494" spans="1:14">
      <c r="A494" s="459"/>
      <c r="B494" s="459"/>
      <c r="C494" s="459"/>
      <c r="D494" s="459"/>
      <c r="E494" s="459"/>
      <c r="F494" s="459"/>
      <c r="G494" s="459"/>
      <c r="H494" s="459"/>
      <c r="I494" s="459"/>
      <c r="J494" s="459"/>
      <c r="K494" s="459"/>
      <c r="L494" s="416"/>
      <c r="M494" s="459"/>
      <c r="N494" s="459"/>
    </row>
    <row r="495" spans="1:14">
      <c r="A495" s="459"/>
      <c r="B495" s="459"/>
      <c r="C495" s="459"/>
      <c r="D495" s="459"/>
      <c r="E495" s="459"/>
      <c r="F495" s="459"/>
      <c r="G495" s="459"/>
      <c r="H495" s="459"/>
      <c r="I495" s="459"/>
      <c r="J495" s="459"/>
      <c r="K495" s="459"/>
      <c r="L495" s="416"/>
      <c r="M495" s="459"/>
      <c r="N495" s="459"/>
    </row>
    <row r="496" spans="1:14">
      <c r="A496" s="459"/>
      <c r="B496" s="459"/>
      <c r="C496" s="459"/>
      <c r="D496" s="459"/>
      <c r="E496" s="459"/>
      <c r="F496" s="459"/>
      <c r="G496" s="459"/>
      <c r="H496" s="459"/>
      <c r="I496" s="459"/>
      <c r="J496" s="459"/>
      <c r="K496" s="459"/>
      <c r="L496" s="416"/>
      <c r="M496" s="459"/>
      <c r="N496" s="459"/>
    </row>
    <row r="497" spans="1:14">
      <c r="A497" s="459"/>
      <c r="B497" s="459"/>
      <c r="C497" s="459"/>
      <c r="D497" s="459"/>
      <c r="E497" s="459"/>
      <c r="F497" s="459"/>
      <c r="G497" s="459"/>
      <c r="H497" s="459"/>
      <c r="I497" s="459"/>
      <c r="J497" s="459"/>
      <c r="K497" s="459"/>
      <c r="L497" s="416"/>
      <c r="M497" s="459"/>
      <c r="N497" s="459"/>
    </row>
    <row r="498" spans="1:14">
      <c r="A498" s="459"/>
      <c r="B498" s="459"/>
      <c r="C498" s="459"/>
      <c r="D498" s="459"/>
      <c r="E498" s="459"/>
      <c r="F498" s="459"/>
      <c r="G498" s="459"/>
      <c r="H498" s="459"/>
      <c r="I498" s="459"/>
      <c r="J498" s="459"/>
      <c r="K498" s="459"/>
      <c r="L498" s="416"/>
      <c r="M498" s="459"/>
      <c r="N498" s="459"/>
    </row>
    <row r="499" spans="1:14">
      <c r="A499" s="459"/>
      <c r="B499" s="459"/>
      <c r="C499" s="459"/>
      <c r="D499" s="459"/>
      <c r="E499" s="459"/>
      <c r="F499" s="459"/>
      <c r="G499" s="459"/>
      <c r="H499" s="459"/>
      <c r="I499" s="459"/>
      <c r="J499" s="459"/>
      <c r="K499" s="459"/>
      <c r="L499" s="416"/>
      <c r="M499" s="459"/>
      <c r="N499" s="459"/>
    </row>
    <row r="500" spans="1:14">
      <c r="A500" s="459"/>
      <c r="B500" s="459"/>
      <c r="C500" s="459"/>
      <c r="D500" s="459"/>
      <c r="E500" s="459"/>
      <c r="F500" s="459"/>
      <c r="G500" s="459"/>
      <c r="H500" s="459"/>
      <c r="I500" s="459"/>
      <c r="J500" s="459"/>
      <c r="K500" s="459"/>
      <c r="L500" s="416"/>
      <c r="M500" s="459"/>
      <c r="N500" s="459"/>
    </row>
    <row r="501" spans="1:14">
      <c r="A501" s="459"/>
      <c r="B501" s="459"/>
      <c r="C501" s="459"/>
      <c r="D501" s="459"/>
      <c r="E501" s="459"/>
      <c r="F501" s="459"/>
      <c r="G501" s="459"/>
      <c r="H501" s="459"/>
      <c r="I501" s="459"/>
      <c r="J501" s="459"/>
      <c r="K501" s="459"/>
      <c r="L501" s="416"/>
      <c r="M501" s="459"/>
      <c r="N501" s="459"/>
    </row>
    <row r="502" spans="1:14">
      <c r="A502" s="459"/>
      <c r="B502" s="459"/>
      <c r="C502" s="459"/>
      <c r="D502" s="459"/>
      <c r="E502" s="459"/>
      <c r="F502" s="459"/>
      <c r="G502" s="459"/>
      <c r="H502" s="459"/>
      <c r="I502" s="459"/>
      <c r="J502" s="459"/>
      <c r="K502" s="459"/>
      <c r="L502" s="416"/>
      <c r="M502" s="459"/>
      <c r="N502" s="459"/>
    </row>
    <row r="503" spans="1:14">
      <c r="A503" s="459"/>
      <c r="B503" s="459"/>
      <c r="C503" s="459"/>
      <c r="D503" s="459"/>
      <c r="E503" s="459"/>
      <c r="F503" s="459"/>
      <c r="G503" s="459"/>
      <c r="H503" s="459"/>
      <c r="I503" s="459"/>
      <c r="J503" s="459"/>
      <c r="K503" s="459"/>
      <c r="L503" s="416"/>
      <c r="M503" s="459"/>
      <c r="N503" s="459"/>
    </row>
    <row r="504" spans="1:14">
      <c r="A504" s="459"/>
      <c r="B504" s="459"/>
      <c r="C504" s="459"/>
      <c r="D504" s="459"/>
      <c r="E504" s="459"/>
      <c r="F504" s="459"/>
      <c r="G504" s="459"/>
      <c r="H504" s="459"/>
      <c r="I504" s="459"/>
      <c r="J504" s="459"/>
      <c r="K504" s="459"/>
      <c r="L504" s="416"/>
      <c r="M504" s="459"/>
      <c r="N504" s="459"/>
    </row>
    <row r="505" spans="1:14">
      <c r="A505" s="459"/>
      <c r="B505" s="459"/>
      <c r="C505" s="459"/>
      <c r="D505" s="459"/>
      <c r="E505" s="459"/>
      <c r="F505" s="459"/>
      <c r="G505" s="459"/>
      <c r="H505" s="459"/>
      <c r="I505" s="459"/>
      <c r="J505" s="459"/>
      <c r="K505" s="459"/>
      <c r="L505" s="416"/>
      <c r="M505" s="459"/>
      <c r="N505" s="459"/>
    </row>
    <row r="506" spans="1:14">
      <c r="A506" s="459"/>
      <c r="B506" s="459"/>
      <c r="C506" s="459"/>
      <c r="D506" s="459"/>
      <c r="E506" s="459"/>
      <c r="F506" s="459"/>
      <c r="G506" s="459"/>
      <c r="H506" s="459"/>
      <c r="I506" s="459"/>
      <c r="J506" s="459"/>
      <c r="K506" s="459"/>
      <c r="L506" s="416"/>
      <c r="M506" s="459"/>
      <c r="N506" s="459"/>
    </row>
    <row r="507" spans="1:14">
      <c r="A507" s="459"/>
      <c r="B507" s="459"/>
      <c r="C507" s="459"/>
      <c r="D507" s="459"/>
      <c r="E507" s="459"/>
      <c r="F507" s="459"/>
      <c r="G507" s="459"/>
      <c r="H507" s="459"/>
      <c r="I507" s="459"/>
      <c r="J507" s="459"/>
      <c r="K507" s="459"/>
      <c r="L507" s="416"/>
      <c r="M507" s="459"/>
      <c r="N507" s="459"/>
    </row>
    <row r="508" spans="1:14">
      <c r="A508" s="459"/>
      <c r="B508" s="459"/>
      <c r="C508" s="459"/>
      <c r="D508" s="459"/>
      <c r="E508" s="459"/>
      <c r="F508" s="459"/>
      <c r="G508" s="459"/>
      <c r="H508" s="459"/>
      <c r="I508" s="459"/>
      <c r="J508" s="459"/>
      <c r="K508" s="459"/>
      <c r="L508" s="416"/>
      <c r="M508" s="459"/>
      <c r="N508" s="459"/>
    </row>
    <row r="509" spans="1:14">
      <c r="A509" s="459"/>
      <c r="B509" s="459"/>
      <c r="C509" s="459"/>
      <c r="D509" s="459"/>
      <c r="E509" s="459"/>
      <c r="F509" s="459"/>
      <c r="G509" s="459"/>
      <c r="H509" s="459"/>
      <c r="I509" s="459"/>
      <c r="J509" s="459"/>
      <c r="K509" s="459"/>
      <c r="L509" s="416"/>
      <c r="M509" s="459"/>
      <c r="N509" s="459"/>
    </row>
    <row r="510" spans="1:14">
      <c r="A510" s="459"/>
      <c r="B510" s="459"/>
      <c r="C510" s="459"/>
      <c r="D510" s="459"/>
      <c r="E510" s="459"/>
      <c r="F510" s="459"/>
      <c r="G510" s="459"/>
      <c r="H510" s="459"/>
      <c r="I510" s="459"/>
      <c r="J510" s="459"/>
      <c r="K510" s="459"/>
      <c r="L510" s="416"/>
      <c r="M510" s="459"/>
      <c r="N510" s="459"/>
    </row>
    <row r="511" spans="1:14">
      <c r="A511" s="459"/>
      <c r="B511" s="459"/>
      <c r="C511" s="459"/>
      <c r="D511" s="459"/>
      <c r="E511" s="459"/>
      <c r="F511" s="459"/>
      <c r="G511" s="459"/>
      <c r="H511" s="459"/>
      <c r="I511" s="459"/>
      <c r="J511" s="459"/>
      <c r="K511" s="459"/>
      <c r="L511" s="416"/>
      <c r="M511" s="459"/>
      <c r="N511" s="459"/>
    </row>
    <row r="512" spans="1:14">
      <c r="A512" s="459"/>
      <c r="B512" s="459"/>
      <c r="C512" s="459"/>
      <c r="D512" s="459"/>
      <c r="E512" s="459"/>
      <c r="F512" s="459"/>
      <c r="G512" s="459"/>
      <c r="H512" s="459"/>
      <c r="I512" s="459"/>
      <c r="J512" s="459"/>
      <c r="K512" s="459"/>
      <c r="L512" s="416"/>
      <c r="M512" s="459"/>
      <c r="N512" s="459"/>
    </row>
    <row r="513" spans="1:14">
      <c r="A513" s="459"/>
      <c r="B513" s="459"/>
      <c r="C513" s="459"/>
      <c r="D513" s="459"/>
      <c r="E513" s="459"/>
      <c r="F513" s="459"/>
      <c r="G513" s="459"/>
      <c r="H513" s="459"/>
      <c r="I513" s="459"/>
      <c r="J513" s="459"/>
      <c r="K513" s="459"/>
      <c r="L513" s="416"/>
      <c r="M513" s="459"/>
      <c r="N513" s="459"/>
    </row>
    <row r="514" spans="1:14">
      <c r="A514" s="459"/>
      <c r="B514" s="459"/>
      <c r="C514" s="459"/>
      <c r="D514" s="459"/>
      <c r="E514" s="459"/>
      <c r="F514" s="459"/>
      <c r="G514" s="459"/>
      <c r="H514" s="459"/>
      <c r="I514" s="459"/>
      <c r="J514" s="459"/>
      <c r="K514" s="459"/>
      <c r="L514" s="416"/>
      <c r="M514" s="459"/>
      <c r="N514" s="459"/>
    </row>
    <row r="515" spans="1:14">
      <c r="A515" s="459"/>
      <c r="B515" s="459"/>
      <c r="C515" s="459"/>
      <c r="D515" s="459"/>
      <c r="E515" s="459"/>
      <c r="F515" s="459"/>
      <c r="G515" s="459"/>
      <c r="H515" s="459"/>
      <c r="I515" s="459"/>
      <c r="J515" s="459"/>
      <c r="K515" s="459"/>
      <c r="L515" s="416"/>
      <c r="M515" s="459"/>
      <c r="N515" s="459"/>
    </row>
    <row r="516" spans="1:14">
      <c r="A516" s="459"/>
      <c r="B516" s="459"/>
      <c r="C516" s="459"/>
      <c r="D516" s="459"/>
      <c r="E516" s="459"/>
      <c r="F516" s="459"/>
      <c r="G516" s="459"/>
      <c r="H516" s="459"/>
      <c r="I516" s="459"/>
      <c r="J516" s="459"/>
      <c r="K516" s="459"/>
      <c r="L516" s="416"/>
      <c r="M516" s="459"/>
      <c r="N516" s="459"/>
    </row>
    <row r="517" spans="1:14">
      <c r="A517" s="459"/>
      <c r="B517" s="459"/>
      <c r="C517" s="459"/>
      <c r="D517" s="459"/>
      <c r="E517" s="459"/>
      <c r="F517" s="459"/>
      <c r="G517" s="459"/>
      <c r="H517" s="459"/>
      <c r="I517" s="459"/>
      <c r="J517" s="459"/>
      <c r="K517" s="459"/>
      <c r="L517" s="416"/>
      <c r="M517" s="459"/>
      <c r="N517" s="459"/>
    </row>
    <row r="518" spans="1:14">
      <c r="A518" s="459"/>
      <c r="B518" s="459"/>
      <c r="C518" s="459"/>
      <c r="D518" s="459"/>
      <c r="E518" s="459"/>
      <c r="F518" s="459"/>
      <c r="G518" s="459"/>
      <c r="H518" s="459"/>
      <c r="I518" s="459"/>
      <c r="J518" s="459"/>
      <c r="K518" s="459"/>
      <c r="L518" s="416"/>
      <c r="M518" s="459"/>
      <c r="N518" s="459"/>
    </row>
    <row r="519" spans="1:14">
      <c r="A519" s="459"/>
      <c r="B519" s="459"/>
      <c r="C519" s="459"/>
      <c r="D519" s="459"/>
      <c r="E519" s="459"/>
      <c r="F519" s="459"/>
      <c r="G519" s="459"/>
      <c r="H519" s="459"/>
      <c r="I519" s="459"/>
      <c r="J519" s="459"/>
      <c r="K519" s="459"/>
      <c r="L519" s="416"/>
      <c r="M519" s="459"/>
      <c r="N519" s="459"/>
    </row>
    <row r="520" spans="1:14">
      <c r="A520" s="459"/>
      <c r="B520" s="459"/>
      <c r="C520" s="459"/>
      <c r="D520" s="459"/>
      <c r="E520" s="459"/>
      <c r="F520" s="459"/>
      <c r="G520" s="459"/>
      <c r="H520" s="459"/>
      <c r="I520" s="459"/>
      <c r="J520" s="459"/>
      <c r="K520" s="459"/>
      <c r="L520" s="416"/>
      <c r="M520" s="459"/>
      <c r="N520" s="459"/>
    </row>
    <row r="521" spans="1:14">
      <c r="A521" s="459"/>
      <c r="B521" s="459"/>
      <c r="C521" s="459"/>
      <c r="D521" s="459"/>
      <c r="E521" s="459"/>
      <c r="F521" s="459"/>
      <c r="G521" s="459"/>
      <c r="H521" s="459"/>
      <c r="I521" s="459"/>
      <c r="J521" s="459"/>
      <c r="K521" s="459"/>
      <c r="L521" s="416"/>
      <c r="M521" s="459"/>
      <c r="N521" s="459"/>
    </row>
    <row r="522" spans="1:14">
      <c r="A522" s="459"/>
      <c r="B522" s="459"/>
      <c r="C522" s="459"/>
      <c r="D522" s="459"/>
      <c r="E522" s="459"/>
      <c r="F522" s="459"/>
      <c r="G522" s="459"/>
      <c r="H522" s="459"/>
      <c r="I522" s="459"/>
      <c r="J522" s="459"/>
      <c r="K522" s="459"/>
      <c r="L522" s="416"/>
      <c r="M522" s="459"/>
      <c r="N522" s="459"/>
    </row>
    <row r="523" spans="1:14">
      <c r="A523" s="459"/>
      <c r="B523" s="459"/>
      <c r="C523" s="459"/>
      <c r="D523" s="459"/>
      <c r="E523" s="459"/>
      <c r="F523" s="459"/>
      <c r="G523" s="459"/>
      <c r="H523" s="459"/>
      <c r="I523" s="459"/>
      <c r="J523" s="459"/>
      <c r="K523" s="459"/>
      <c r="L523" s="416"/>
      <c r="M523" s="459"/>
      <c r="N523" s="459"/>
    </row>
    <row r="524" spans="1:14">
      <c r="A524" s="459"/>
      <c r="B524" s="459"/>
      <c r="C524" s="459"/>
      <c r="D524" s="459"/>
      <c r="E524" s="459"/>
      <c r="F524" s="459"/>
      <c r="G524" s="459"/>
      <c r="H524" s="459"/>
      <c r="I524" s="459"/>
      <c r="J524" s="459"/>
      <c r="K524" s="459"/>
      <c r="L524" s="416"/>
      <c r="M524" s="459"/>
      <c r="N524" s="459"/>
    </row>
    <row r="525" spans="1:14">
      <c r="A525" s="459"/>
      <c r="B525" s="459"/>
      <c r="C525" s="459"/>
      <c r="D525" s="459"/>
      <c r="E525" s="459"/>
      <c r="F525" s="459"/>
      <c r="G525" s="459"/>
      <c r="H525" s="459"/>
      <c r="I525" s="459"/>
      <c r="J525" s="459"/>
      <c r="K525" s="459"/>
      <c r="L525" s="416"/>
      <c r="M525" s="459"/>
      <c r="N525" s="459"/>
    </row>
    <row r="526" spans="1:14">
      <c r="A526" s="459"/>
      <c r="B526" s="459"/>
      <c r="C526" s="459"/>
      <c r="D526" s="459"/>
      <c r="E526" s="459"/>
      <c r="F526" s="459"/>
      <c r="G526" s="459"/>
      <c r="H526" s="459"/>
      <c r="I526" s="459"/>
      <c r="J526" s="459"/>
      <c r="K526" s="459"/>
      <c r="L526" s="416"/>
      <c r="M526" s="459"/>
      <c r="N526" s="459"/>
    </row>
    <row r="527" spans="1:14">
      <c r="A527" s="459"/>
      <c r="B527" s="459"/>
      <c r="C527" s="459"/>
      <c r="D527" s="459"/>
      <c r="E527" s="459"/>
      <c r="F527" s="459"/>
      <c r="G527" s="459"/>
      <c r="H527" s="459"/>
      <c r="I527" s="459"/>
      <c r="J527" s="459"/>
      <c r="K527" s="459"/>
      <c r="L527" s="416"/>
      <c r="M527" s="459"/>
      <c r="N527" s="459"/>
    </row>
    <row r="528" spans="1:14">
      <c r="A528" s="459"/>
      <c r="B528" s="459"/>
      <c r="C528" s="459"/>
      <c r="D528" s="459"/>
      <c r="E528" s="459"/>
      <c r="F528" s="459"/>
      <c r="G528" s="459"/>
      <c r="H528" s="459"/>
      <c r="I528" s="459"/>
      <c r="J528" s="459"/>
      <c r="K528" s="459"/>
      <c r="L528" s="416"/>
      <c r="M528" s="459"/>
      <c r="N528" s="459"/>
    </row>
    <row r="529" spans="1:14">
      <c r="A529" s="459"/>
      <c r="B529" s="459"/>
      <c r="C529" s="459"/>
      <c r="D529" s="459"/>
      <c r="E529" s="459"/>
      <c r="F529" s="459"/>
      <c r="G529" s="459"/>
      <c r="H529" s="459"/>
      <c r="I529" s="459"/>
      <c r="J529" s="459"/>
      <c r="K529" s="459"/>
      <c r="L529" s="416"/>
      <c r="M529" s="459"/>
      <c r="N529" s="459"/>
    </row>
    <row r="530" spans="1:14">
      <c r="A530" s="459"/>
      <c r="B530" s="459"/>
      <c r="C530" s="459"/>
      <c r="D530" s="459"/>
      <c r="E530" s="459"/>
      <c r="F530" s="459"/>
      <c r="G530" s="459"/>
      <c r="H530" s="459"/>
      <c r="I530" s="459"/>
      <c r="J530" s="459"/>
      <c r="K530" s="459"/>
      <c r="L530" s="416"/>
      <c r="M530" s="459"/>
      <c r="N530" s="459"/>
    </row>
    <row r="531" spans="1:14">
      <c r="A531" s="459"/>
      <c r="B531" s="459"/>
      <c r="C531" s="459"/>
      <c r="D531" s="459"/>
      <c r="E531" s="459"/>
      <c r="F531" s="459"/>
      <c r="G531" s="459"/>
      <c r="H531" s="459"/>
      <c r="I531" s="459"/>
      <c r="J531" s="459"/>
      <c r="K531" s="459"/>
      <c r="L531" s="416"/>
      <c r="M531" s="459"/>
      <c r="N531" s="459"/>
    </row>
    <row r="532" spans="1:14">
      <c r="A532" s="459"/>
      <c r="B532" s="459"/>
      <c r="C532" s="459"/>
      <c r="D532" s="459"/>
      <c r="E532" s="459"/>
      <c r="F532" s="459"/>
      <c r="G532" s="459"/>
      <c r="H532" s="459"/>
      <c r="I532" s="459"/>
      <c r="J532" s="459"/>
      <c r="K532" s="459"/>
      <c r="L532" s="416"/>
      <c r="M532" s="459"/>
      <c r="N532" s="459"/>
    </row>
    <row r="533" spans="1:14">
      <c r="A533" s="459"/>
      <c r="B533" s="459"/>
      <c r="C533" s="459"/>
      <c r="D533" s="459"/>
      <c r="E533" s="459"/>
      <c r="F533" s="459"/>
      <c r="G533" s="459"/>
      <c r="H533" s="459"/>
      <c r="I533" s="459"/>
      <c r="J533" s="459"/>
      <c r="K533" s="459"/>
      <c r="L533" s="416"/>
      <c r="M533" s="459"/>
      <c r="N533" s="459"/>
    </row>
    <row r="534" spans="1:14">
      <c r="A534" s="459"/>
      <c r="B534" s="459"/>
      <c r="C534" s="459"/>
      <c r="D534" s="459"/>
      <c r="E534" s="459"/>
      <c r="F534" s="459"/>
      <c r="G534" s="459"/>
      <c r="H534" s="459"/>
      <c r="I534" s="459"/>
      <c r="J534" s="459"/>
      <c r="K534" s="459"/>
      <c r="L534" s="416"/>
      <c r="M534" s="459"/>
      <c r="N534" s="459"/>
    </row>
    <row r="535" spans="1:14">
      <c r="A535" s="459"/>
      <c r="B535" s="459"/>
      <c r="C535" s="459"/>
      <c r="D535" s="459"/>
      <c r="E535" s="459"/>
      <c r="F535" s="459"/>
      <c r="G535" s="459"/>
      <c r="H535" s="459"/>
      <c r="I535" s="459"/>
      <c r="J535" s="459"/>
      <c r="K535" s="459"/>
      <c r="L535" s="416"/>
      <c r="M535" s="459"/>
      <c r="N535" s="459"/>
    </row>
    <row r="536" spans="1:14">
      <c r="A536" s="459"/>
      <c r="B536" s="459"/>
      <c r="C536" s="459"/>
      <c r="D536" s="459"/>
      <c r="E536" s="459"/>
      <c r="F536" s="459"/>
      <c r="G536" s="459"/>
      <c r="H536" s="459"/>
      <c r="I536" s="459"/>
      <c r="J536" s="459"/>
      <c r="K536" s="459"/>
      <c r="L536" s="416"/>
      <c r="M536" s="459"/>
      <c r="N536" s="459"/>
    </row>
    <row r="537" spans="1:14">
      <c r="A537" s="459"/>
      <c r="B537" s="459"/>
      <c r="C537" s="459"/>
      <c r="D537" s="459"/>
      <c r="E537" s="459"/>
      <c r="F537" s="459"/>
      <c r="G537" s="459"/>
      <c r="H537" s="459"/>
      <c r="I537" s="459"/>
      <c r="J537" s="459"/>
      <c r="K537" s="459"/>
      <c r="L537" s="416"/>
      <c r="M537" s="459"/>
      <c r="N537" s="459"/>
    </row>
    <row r="538" spans="1:14">
      <c r="A538" s="459"/>
      <c r="B538" s="459"/>
      <c r="C538" s="459"/>
      <c r="D538" s="459"/>
      <c r="E538" s="459"/>
      <c r="F538" s="459"/>
      <c r="G538" s="459"/>
      <c r="H538" s="459"/>
      <c r="I538" s="459"/>
      <c r="J538" s="459"/>
      <c r="K538" s="459"/>
      <c r="L538" s="416"/>
      <c r="M538" s="459"/>
      <c r="N538" s="459"/>
    </row>
    <row r="539" spans="1:14">
      <c r="A539" s="459"/>
      <c r="B539" s="459"/>
      <c r="C539" s="459"/>
      <c r="D539" s="459"/>
      <c r="E539" s="459"/>
      <c r="F539" s="459"/>
      <c r="G539" s="459"/>
      <c r="H539" s="459"/>
      <c r="I539" s="459"/>
      <c r="J539" s="459"/>
      <c r="K539" s="459"/>
      <c r="L539" s="416"/>
      <c r="M539" s="459"/>
      <c r="N539" s="459"/>
    </row>
    <row r="540" spans="1:14">
      <c r="A540" s="459"/>
      <c r="B540" s="459"/>
      <c r="C540" s="459"/>
      <c r="D540" s="459"/>
      <c r="E540" s="459"/>
      <c r="F540" s="459"/>
      <c r="G540" s="459"/>
      <c r="H540" s="459"/>
      <c r="I540" s="459"/>
      <c r="J540" s="459"/>
      <c r="K540" s="459"/>
      <c r="L540" s="416"/>
      <c r="M540" s="459"/>
      <c r="N540" s="459"/>
    </row>
    <row r="541" spans="1:14">
      <c r="A541" s="459"/>
      <c r="B541" s="459"/>
      <c r="C541" s="459"/>
      <c r="D541" s="459"/>
      <c r="E541" s="459"/>
      <c r="F541" s="459"/>
      <c r="G541" s="459"/>
      <c r="H541" s="459"/>
      <c r="I541" s="459"/>
      <c r="J541" s="459"/>
      <c r="K541" s="459"/>
      <c r="L541" s="416"/>
      <c r="M541" s="459"/>
      <c r="N541" s="459"/>
    </row>
    <row r="542" spans="1:14">
      <c r="A542" s="459"/>
      <c r="B542" s="459"/>
      <c r="C542" s="459"/>
      <c r="D542" s="459"/>
      <c r="E542" s="459"/>
      <c r="F542" s="459"/>
      <c r="G542" s="459"/>
      <c r="H542" s="459"/>
      <c r="I542" s="459"/>
      <c r="J542" s="459"/>
      <c r="K542" s="459"/>
      <c r="L542" s="416"/>
      <c r="M542" s="459"/>
      <c r="N542" s="459"/>
    </row>
    <row r="543" spans="1:14">
      <c r="A543" s="459"/>
      <c r="B543" s="459"/>
      <c r="C543" s="459"/>
      <c r="D543" s="459"/>
      <c r="E543" s="459"/>
      <c r="F543" s="459"/>
      <c r="G543" s="459"/>
      <c r="H543" s="459"/>
      <c r="I543" s="459"/>
      <c r="J543" s="459"/>
      <c r="K543" s="459"/>
      <c r="L543" s="416"/>
      <c r="M543" s="459"/>
      <c r="N543" s="459"/>
    </row>
    <row r="544" spans="1:14">
      <c r="A544" s="459"/>
      <c r="B544" s="459"/>
      <c r="C544" s="459"/>
      <c r="D544" s="459"/>
      <c r="E544" s="459"/>
      <c r="F544" s="459"/>
      <c r="G544" s="459"/>
      <c r="H544" s="459"/>
      <c r="I544" s="459"/>
      <c r="J544" s="459"/>
      <c r="K544" s="459"/>
      <c r="L544" s="416"/>
      <c r="M544" s="459"/>
      <c r="N544" s="459"/>
    </row>
    <row r="545" spans="1:14">
      <c r="A545" s="459"/>
      <c r="B545" s="459"/>
      <c r="C545" s="459"/>
      <c r="D545" s="459"/>
      <c r="E545" s="459"/>
      <c r="F545" s="459"/>
      <c r="G545" s="459"/>
      <c r="H545" s="459"/>
      <c r="I545" s="459"/>
      <c r="J545" s="459"/>
      <c r="K545" s="459"/>
      <c r="L545" s="416"/>
      <c r="M545" s="459"/>
      <c r="N545" s="459"/>
    </row>
    <row r="546" spans="1:14">
      <c r="A546" s="459"/>
      <c r="B546" s="459"/>
      <c r="C546" s="459"/>
      <c r="D546" s="459"/>
      <c r="E546" s="459"/>
      <c r="F546" s="459"/>
      <c r="G546" s="459"/>
      <c r="H546" s="459"/>
      <c r="I546" s="459"/>
      <c r="J546" s="459"/>
      <c r="K546" s="459"/>
      <c r="L546" s="416"/>
      <c r="M546" s="459"/>
      <c r="N546" s="459"/>
    </row>
    <row r="547" spans="1:14">
      <c r="A547" s="459"/>
      <c r="B547" s="459"/>
      <c r="C547" s="459"/>
      <c r="D547" s="459"/>
      <c r="E547" s="459"/>
      <c r="F547" s="459"/>
      <c r="G547" s="459"/>
      <c r="H547" s="459"/>
      <c r="I547" s="459"/>
      <c r="J547" s="459"/>
      <c r="K547" s="459"/>
      <c r="L547" s="416"/>
      <c r="M547" s="459"/>
      <c r="N547" s="459"/>
    </row>
    <row r="548" spans="1:14">
      <c r="A548" s="459"/>
      <c r="B548" s="459"/>
      <c r="C548" s="459"/>
      <c r="D548" s="459"/>
      <c r="E548" s="459"/>
      <c r="F548" s="459"/>
      <c r="G548" s="459"/>
      <c r="H548" s="459"/>
      <c r="I548" s="459"/>
      <c r="J548" s="459"/>
      <c r="K548" s="459"/>
      <c r="L548" s="416"/>
      <c r="M548" s="459"/>
      <c r="N548" s="459"/>
    </row>
    <row r="549" spans="1:14">
      <c r="A549" s="459"/>
      <c r="B549" s="459"/>
      <c r="C549" s="459"/>
      <c r="D549" s="459"/>
      <c r="E549" s="459"/>
      <c r="F549" s="459"/>
      <c r="G549" s="459"/>
      <c r="H549" s="459"/>
      <c r="I549" s="459"/>
      <c r="J549" s="459"/>
      <c r="K549" s="459"/>
      <c r="L549" s="416"/>
      <c r="M549" s="459"/>
      <c r="N549" s="459"/>
    </row>
    <row r="550" spans="1:14">
      <c r="A550" s="459"/>
      <c r="B550" s="459"/>
      <c r="C550" s="459"/>
      <c r="D550" s="459"/>
      <c r="E550" s="459"/>
      <c r="F550" s="459"/>
      <c r="G550" s="459"/>
      <c r="H550" s="459"/>
      <c r="I550" s="459"/>
      <c r="J550" s="459"/>
      <c r="K550" s="459"/>
      <c r="L550" s="416"/>
      <c r="M550" s="459"/>
      <c r="N550" s="459"/>
    </row>
    <row r="551" spans="1:14">
      <c r="A551" s="459"/>
      <c r="B551" s="459"/>
      <c r="C551" s="459"/>
      <c r="D551" s="459"/>
      <c r="E551" s="459"/>
      <c r="F551" s="459"/>
      <c r="G551" s="459"/>
      <c r="H551" s="459"/>
      <c r="I551" s="459"/>
      <c r="J551" s="459"/>
      <c r="K551" s="459"/>
      <c r="L551" s="416"/>
      <c r="M551" s="459"/>
      <c r="N551" s="459"/>
    </row>
    <row r="552" spans="1:14">
      <c r="A552" s="459"/>
      <c r="B552" s="459"/>
      <c r="C552" s="459"/>
      <c r="D552" s="459"/>
      <c r="E552" s="459"/>
      <c r="F552" s="459"/>
      <c r="G552" s="459"/>
      <c r="H552" s="459"/>
      <c r="I552" s="459"/>
      <c r="J552" s="459"/>
      <c r="K552" s="459"/>
      <c r="L552" s="416"/>
      <c r="M552" s="459"/>
      <c r="N552" s="459"/>
    </row>
    <row r="553" spans="1:14">
      <c r="A553" s="459"/>
      <c r="B553" s="459"/>
      <c r="C553" s="459"/>
      <c r="D553" s="459"/>
      <c r="E553" s="459"/>
      <c r="F553" s="459"/>
      <c r="G553" s="459"/>
      <c r="H553" s="459"/>
      <c r="I553" s="459"/>
      <c r="J553" s="459"/>
      <c r="K553" s="459"/>
      <c r="L553" s="416"/>
      <c r="M553" s="459"/>
      <c r="N553" s="459"/>
    </row>
    <row r="554" spans="1:14">
      <c r="A554" s="459"/>
      <c r="B554" s="459"/>
      <c r="C554" s="459"/>
      <c r="D554" s="459"/>
      <c r="E554" s="459"/>
      <c r="F554" s="459"/>
      <c r="G554" s="459"/>
      <c r="H554" s="459"/>
      <c r="I554" s="459"/>
      <c r="J554" s="459"/>
      <c r="K554" s="459"/>
      <c r="L554" s="416"/>
      <c r="M554" s="459"/>
      <c r="N554" s="459"/>
    </row>
    <row r="555" spans="1:14">
      <c r="A555" s="459"/>
      <c r="B555" s="459"/>
      <c r="C555" s="459"/>
      <c r="D555" s="459"/>
      <c r="E555" s="459"/>
      <c r="F555" s="459"/>
      <c r="G555" s="459"/>
      <c r="H555" s="459"/>
      <c r="I555" s="459"/>
      <c r="J555" s="459"/>
      <c r="K555" s="459"/>
      <c r="L555" s="416"/>
      <c r="M555" s="459"/>
      <c r="N555" s="459"/>
    </row>
    <row r="556" spans="1:14">
      <c r="A556" s="459"/>
      <c r="B556" s="459"/>
      <c r="C556" s="459"/>
      <c r="D556" s="459"/>
      <c r="E556" s="459"/>
      <c r="F556" s="459"/>
      <c r="G556" s="459"/>
      <c r="H556" s="459"/>
      <c r="I556" s="459"/>
      <c r="J556" s="459"/>
      <c r="K556" s="459"/>
      <c r="L556" s="416"/>
      <c r="M556" s="459"/>
      <c r="N556" s="459"/>
    </row>
    <row r="557" spans="1:14">
      <c r="A557" s="459"/>
      <c r="B557" s="459"/>
      <c r="C557" s="459"/>
      <c r="D557" s="459"/>
      <c r="E557" s="459"/>
      <c r="F557" s="459"/>
      <c r="G557" s="459"/>
      <c r="H557" s="459"/>
      <c r="I557" s="459"/>
      <c r="J557" s="459"/>
      <c r="K557" s="459"/>
      <c r="L557" s="416"/>
      <c r="M557" s="459"/>
      <c r="N557" s="459"/>
    </row>
    <row r="558" spans="1:14">
      <c r="A558" s="459"/>
      <c r="B558" s="459"/>
      <c r="C558" s="459"/>
      <c r="D558" s="459"/>
      <c r="E558" s="459"/>
      <c r="F558" s="459"/>
      <c r="G558" s="459"/>
      <c r="H558" s="459"/>
      <c r="I558" s="459"/>
      <c r="J558" s="459"/>
      <c r="K558" s="459"/>
      <c r="L558" s="416"/>
      <c r="M558" s="459"/>
      <c r="N558" s="459"/>
    </row>
    <row r="559" spans="1:14">
      <c r="A559" s="459"/>
      <c r="B559" s="459"/>
      <c r="C559" s="459"/>
      <c r="D559" s="459"/>
      <c r="E559" s="459"/>
      <c r="F559" s="459"/>
      <c r="G559" s="459"/>
      <c r="H559" s="459"/>
      <c r="I559" s="459"/>
      <c r="J559" s="459"/>
      <c r="K559" s="459"/>
      <c r="L559" s="416"/>
      <c r="M559" s="459"/>
      <c r="N559" s="459"/>
    </row>
    <row r="560" spans="1:14">
      <c r="A560" s="459"/>
      <c r="B560" s="459"/>
      <c r="C560" s="459"/>
      <c r="D560" s="459"/>
      <c r="E560" s="459"/>
      <c r="F560" s="459"/>
      <c r="G560" s="459"/>
      <c r="H560" s="459"/>
      <c r="I560" s="459"/>
      <c r="J560" s="459"/>
      <c r="K560" s="459"/>
      <c r="L560" s="416"/>
      <c r="M560" s="459"/>
      <c r="N560" s="459"/>
    </row>
    <row r="561" spans="1:14">
      <c r="A561" s="459"/>
      <c r="B561" s="459"/>
      <c r="C561" s="459"/>
      <c r="D561" s="459"/>
      <c r="E561" s="459"/>
      <c r="F561" s="459"/>
      <c r="G561" s="459"/>
      <c r="H561" s="459"/>
      <c r="I561" s="459"/>
      <c r="J561" s="459"/>
      <c r="K561" s="459"/>
      <c r="L561" s="416"/>
      <c r="M561" s="459"/>
      <c r="N561" s="459"/>
    </row>
    <row r="562" spans="1:14">
      <c r="A562" s="459"/>
      <c r="B562" s="459"/>
      <c r="C562" s="459"/>
      <c r="D562" s="459"/>
      <c r="E562" s="459"/>
      <c r="F562" s="459"/>
      <c r="G562" s="459"/>
      <c r="H562" s="459"/>
      <c r="I562" s="459"/>
      <c r="J562" s="459"/>
      <c r="K562" s="459"/>
      <c r="L562" s="416"/>
      <c r="M562" s="459"/>
      <c r="N562" s="459"/>
    </row>
    <row r="563" spans="1:14">
      <c r="A563" s="459"/>
      <c r="B563" s="459"/>
      <c r="C563" s="459"/>
      <c r="D563" s="459"/>
      <c r="E563" s="459"/>
      <c r="F563" s="459"/>
      <c r="G563" s="459"/>
      <c r="H563" s="459"/>
      <c r="I563" s="459"/>
      <c r="J563" s="459"/>
      <c r="K563" s="459"/>
      <c r="L563" s="416"/>
      <c r="M563" s="459"/>
      <c r="N563" s="459"/>
    </row>
    <row r="564" spans="1:14">
      <c r="A564" s="459"/>
      <c r="B564" s="459"/>
      <c r="C564" s="459"/>
      <c r="D564" s="459"/>
      <c r="E564" s="459"/>
      <c r="F564" s="459"/>
      <c r="G564" s="459"/>
      <c r="H564" s="459"/>
      <c r="I564" s="459"/>
      <c r="J564" s="459"/>
      <c r="K564" s="459"/>
      <c r="L564" s="416"/>
      <c r="M564" s="459"/>
      <c r="N564" s="459"/>
    </row>
    <row r="565" spans="1:14">
      <c r="A565" s="459"/>
      <c r="B565" s="459"/>
      <c r="C565" s="459"/>
      <c r="D565" s="459"/>
      <c r="E565" s="459"/>
      <c r="F565" s="459"/>
      <c r="G565" s="459"/>
      <c r="H565" s="459"/>
      <c r="I565" s="459"/>
      <c r="J565" s="459"/>
      <c r="K565" s="459"/>
      <c r="L565" s="416"/>
      <c r="M565" s="459"/>
      <c r="N565" s="459"/>
    </row>
    <row r="566" spans="1:14">
      <c r="A566" s="459"/>
      <c r="B566" s="459"/>
      <c r="C566" s="459"/>
      <c r="D566" s="459"/>
      <c r="E566" s="459"/>
      <c r="F566" s="459"/>
      <c r="G566" s="459"/>
      <c r="H566" s="459"/>
      <c r="I566" s="459"/>
      <c r="J566" s="459"/>
      <c r="K566" s="459"/>
      <c r="L566" s="416"/>
      <c r="M566" s="459"/>
      <c r="N566" s="459"/>
    </row>
    <row r="567" spans="1:14">
      <c r="A567" s="459"/>
      <c r="B567" s="459"/>
      <c r="C567" s="459"/>
      <c r="D567" s="459"/>
      <c r="E567" s="459"/>
      <c r="F567" s="459"/>
      <c r="G567" s="459"/>
      <c r="H567" s="459"/>
      <c r="I567" s="459"/>
      <c r="J567" s="459"/>
      <c r="K567" s="459"/>
      <c r="L567" s="416"/>
      <c r="M567" s="459"/>
      <c r="N567" s="459"/>
    </row>
    <row r="568" spans="1:14">
      <c r="A568" s="459"/>
      <c r="B568" s="459"/>
      <c r="C568" s="459"/>
      <c r="D568" s="459"/>
      <c r="E568" s="459"/>
      <c r="F568" s="459"/>
      <c r="G568" s="459"/>
      <c r="H568" s="459"/>
      <c r="I568" s="459"/>
      <c r="J568" s="459"/>
      <c r="K568" s="459"/>
      <c r="L568" s="416"/>
      <c r="M568" s="459"/>
      <c r="N568" s="459"/>
    </row>
    <row r="569" spans="1:14">
      <c r="A569" s="459"/>
      <c r="B569" s="459"/>
      <c r="C569" s="459"/>
      <c r="D569" s="459"/>
      <c r="E569" s="459"/>
      <c r="F569" s="459"/>
      <c r="G569" s="459"/>
      <c r="H569" s="459"/>
      <c r="I569" s="459"/>
      <c r="J569" s="459"/>
      <c r="K569" s="459"/>
      <c r="L569" s="416"/>
      <c r="M569" s="459"/>
      <c r="N569" s="459"/>
    </row>
    <row r="570" spans="1:14">
      <c r="A570" s="459"/>
      <c r="B570" s="459"/>
      <c r="C570" s="459"/>
      <c r="D570" s="459"/>
      <c r="E570" s="459"/>
      <c r="F570" s="459"/>
      <c r="G570" s="459"/>
      <c r="H570" s="459"/>
      <c r="I570" s="459"/>
      <c r="J570" s="459"/>
      <c r="K570" s="459"/>
      <c r="L570" s="416"/>
      <c r="M570" s="459"/>
      <c r="N570" s="459"/>
    </row>
    <row r="571" spans="1:14">
      <c r="A571" s="459"/>
      <c r="B571" s="459"/>
      <c r="C571" s="459"/>
      <c r="D571" s="459"/>
      <c r="E571" s="459"/>
      <c r="F571" s="459"/>
      <c r="G571" s="459"/>
      <c r="H571" s="459"/>
      <c r="I571" s="459"/>
      <c r="J571" s="459"/>
      <c r="K571" s="459"/>
      <c r="L571" s="416"/>
      <c r="M571" s="459"/>
      <c r="N571" s="459"/>
    </row>
    <row r="572" spans="1:14">
      <c r="A572" s="459"/>
      <c r="B572" s="459"/>
      <c r="C572" s="459"/>
      <c r="D572" s="459"/>
      <c r="E572" s="459"/>
      <c r="F572" s="459"/>
      <c r="G572" s="459"/>
      <c r="H572" s="459"/>
      <c r="I572" s="459"/>
      <c r="J572" s="459"/>
      <c r="K572" s="459"/>
      <c r="L572" s="416"/>
      <c r="M572" s="459"/>
      <c r="N572" s="459"/>
    </row>
    <row r="573" spans="1:14">
      <c r="A573" s="459"/>
      <c r="B573" s="459"/>
      <c r="C573" s="459"/>
      <c r="D573" s="459"/>
      <c r="E573" s="459"/>
      <c r="F573" s="459"/>
      <c r="G573" s="459"/>
      <c r="H573" s="459"/>
      <c r="I573" s="459"/>
      <c r="J573" s="459"/>
      <c r="K573" s="459"/>
      <c r="L573" s="416"/>
      <c r="M573" s="459"/>
      <c r="N573" s="459"/>
    </row>
    <row r="574" spans="1:14">
      <c r="A574" s="459"/>
      <c r="B574" s="459"/>
      <c r="C574" s="459"/>
      <c r="D574" s="459"/>
      <c r="E574" s="459"/>
      <c r="F574" s="459"/>
      <c r="G574" s="459"/>
      <c r="H574" s="459"/>
      <c r="I574" s="459"/>
      <c r="J574" s="459"/>
      <c r="K574" s="459"/>
      <c r="L574" s="416"/>
      <c r="M574" s="459"/>
      <c r="N574" s="459"/>
    </row>
    <row r="575" spans="1:14">
      <c r="A575" s="459"/>
      <c r="B575" s="459"/>
      <c r="C575" s="459"/>
      <c r="D575" s="459"/>
      <c r="E575" s="459"/>
      <c r="F575" s="459"/>
      <c r="G575" s="459"/>
      <c r="H575" s="459"/>
      <c r="I575" s="459"/>
      <c r="J575" s="459"/>
      <c r="K575" s="459"/>
      <c r="L575" s="416"/>
      <c r="M575" s="459"/>
      <c r="N575" s="459"/>
    </row>
    <row r="576" spans="1:14">
      <c r="A576" s="459"/>
      <c r="B576" s="459"/>
      <c r="C576" s="459"/>
      <c r="D576" s="459"/>
      <c r="E576" s="459"/>
      <c r="F576" s="459"/>
      <c r="G576" s="459"/>
      <c r="H576" s="459"/>
      <c r="I576" s="459"/>
      <c r="J576" s="459"/>
      <c r="K576" s="459"/>
      <c r="L576" s="416"/>
      <c r="M576" s="459"/>
      <c r="N576" s="459"/>
    </row>
    <row r="577" spans="1:14">
      <c r="A577" s="459"/>
      <c r="B577" s="459"/>
      <c r="C577" s="459"/>
      <c r="D577" s="459"/>
      <c r="E577" s="459"/>
      <c r="F577" s="459"/>
      <c r="G577" s="459"/>
      <c r="H577" s="459"/>
      <c r="I577" s="459"/>
      <c r="J577" s="459"/>
      <c r="K577" s="459"/>
      <c r="L577" s="416"/>
      <c r="M577" s="459"/>
      <c r="N577" s="459"/>
    </row>
    <row r="578" spans="1:14">
      <c r="A578" s="459"/>
      <c r="B578" s="459"/>
      <c r="C578" s="459"/>
      <c r="D578" s="459"/>
      <c r="E578" s="459"/>
      <c r="F578" s="459"/>
      <c r="G578" s="459"/>
      <c r="H578" s="459"/>
      <c r="I578" s="459"/>
      <c r="J578" s="459"/>
      <c r="K578" s="459"/>
      <c r="L578" s="416"/>
      <c r="M578" s="459"/>
      <c r="N578" s="459"/>
    </row>
    <row r="579" spans="1:14">
      <c r="A579" s="459"/>
      <c r="B579" s="459"/>
      <c r="C579" s="459"/>
      <c r="D579" s="459"/>
      <c r="E579" s="459"/>
      <c r="F579" s="459"/>
      <c r="G579" s="459"/>
      <c r="H579" s="459"/>
      <c r="I579" s="459"/>
      <c r="J579" s="459"/>
      <c r="K579" s="459"/>
      <c r="L579" s="416"/>
      <c r="M579" s="459"/>
      <c r="N579" s="459"/>
    </row>
    <row r="580" spans="1:14">
      <c r="A580" s="459"/>
      <c r="B580" s="459"/>
      <c r="C580" s="459"/>
      <c r="D580" s="459"/>
      <c r="E580" s="459"/>
      <c r="F580" s="459"/>
      <c r="G580" s="459"/>
      <c r="H580" s="459"/>
      <c r="I580" s="459"/>
      <c r="J580" s="459"/>
      <c r="K580" s="459"/>
      <c r="L580" s="416"/>
      <c r="M580" s="459"/>
      <c r="N580" s="459"/>
    </row>
    <row r="581" spans="1:14">
      <c r="A581" s="459"/>
      <c r="B581" s="459"/>
      <c r="C581" s="459"/>
      <c r="D581" s="459"/>
      <c r="E581" s="459"/>
      <c r="F581" s="459"/>
      <c r="G581" s="459"/>
      <c r="H581" s="459"/>
      <c r="I581" s="459"/>
      <c r="J581" s="459"/>
      <c r="K581" s="459"/>
      <c r="L581" s="416"/>
      <c r="M581" s="459"/>
      <c r="N581" s="459"/>
    </row>
    <row r="582" spans="1:14">
      <c r="A582" s="459"/>
      <c r="B582" s="459"/>
      <c r="C582" s="459"/>
      <c r="D582" s="459"/>
      <c r="E582" s="459"/>
      <c r="F582" s="459"/>
      <c r="G582" s="459"/>
      <c r="H582" s="459"/>
      <c r="I582" s="459"/>
      <c r="J582" s="459"/>
      <c r="K582" s="459"/>
      <c r="L582" s="416"/>
      <c r="M582" s="459"/>
      <c r="N582" s="459"/>
    </row>
    <row r="583" spans="1:14">
      <c r="A583" s="459"/>
      <c r="B583" s="459"/>
      <c r="C583" s="459"/>
      <c r="D583" s="459"/>
      <c r="E583" s="459"/>
      <c r="F583" s="459"/>
      <c r="G583" s="459"/>
      <c r="H583" s="459"/>
      <c r="I583" s="459"/>
      <c r="J583" s="459"/>
      <c r="K583" s="459"/>
      <c r="L583" s="416"/>
      <c r="M583" s="459"/>
      <c r="N583" s="459"/>
    </row>
    <row r="584" spans="1:14">
      <c r="A584" s="459"/>
      <c r="B584" s="459"/>
      <c r="C584" s="459"/>
      <c r="D584" s="459"/>
      <c r="E584" s="459"/>
      <c r="F584" s="459"/>
      <c r="G584" s="459"/>
      <c r="H584" s="459"/>
      <c r="I584" s="459"/>
      <c r="J584" s="459"/>
      <c r="K584" s="459"/>
      <c r="L584" s="416"/>
      <c r="M584" s="459"/>
      <c r="N584" s="459"/>
    </row>
    <row r="585" spans="1:14">
      <c r="A585" s="459"/>
      <c r="B585" s="459"/>
      <c r="C585" s="459"/>
      <c r="D585" s="459"/>
      <c r="E585" s="459"/>
      <c r="F585" s="459"/>
      <c r="G585" s="459"/>
      <c r="H585" s="459"/>
      <c r="I585" s="459"/>
      <c r="J585" s="459"/>
      <c r="K585" s="459"/>
      <c r="L585" s="416"/>
      <c r="M585" s="459"/>
      <c r="N585" s="459"/>
    </row>
    <row r="586" spans="1:14">
      <c r="A586" s="459"/>
      <c r="B586" s="459"/>
      <c r="C586" s="459"/>
      <c r="D586" s="459"/>
      <c r="E586" s="459"/>
      <c r="F586" s="459"/>
      <c r="G586" s="459"/>
      <c r="H586" s="459"/>
      <c r="I586" s="459"/>
      <c r="J586" s="459"/>
      <c r="K586" s="459"/>
      <c r="L586" s="416"/>
      <c r="M586" s="459"/>
      <c r="N586" s="459"/>
    </row>
    <row r="587" spans="1:14">
      <c r="A587" s="459"/>
      <c r="B587" s="459"/>
      <c r="C587" s="459"/>
      <c r="D587" s="459"/>
      <c r="E587" s="459"/>
      <c r="F587" s="459"/>
      <c r="G587" s="459"/>
      <c r="H587" s="459"/>
      <c r="I587" s="459"/>
      <c r="J587" s="459"/>
      <c r="K587" s="459"/>
      <c r="L587" s="416"/>
      <c r="M587" s="459"/>
      <c r="N587" s="459"/>
    </row>
    <row r="588" spans="1:14">
      <c r="A588" s="459"/>
      <c r="B588" s="459"/>
      <c r="C588" s="459"/>
      <c r="D588" s="459"/>
      <c r="E588" s="459"/>
      <c r="F588" s="459"/>
      <c r="G588" s="459"/>
      <c r="H588" s="459"/>
      <c r="I588" s="459"/>
      <c r="J588" s="459"/>
      <c r="K588" s="459"/>
      <c r="L588" s="416"/>
      <c r="M588" s="459"/>
      <c r="N588" s="459"/>
    </row>
    <row r="589" spans="1:14">
      <c r="A589" s="459"/>
      <c r="B589" s="459"/>
      <c r="C589" s="459"/>
      <c r="D589" s="459"/>
      <c r="E589" s="459"/>
      <c r="F589" s="459"/>
      <c r="G589" s="459"/>
      <c r="H589" s="459"/>
      <c r="I589" s="459"/>
      <c r="J589" s="459"/>
      <c r="K589" s="459"/>
      <c r="L589" s="416"/>
      <c r="M589" s="459"/>
      <c r="N589" s="459"/>
    </row>
    <row r="590" spans="1:14">
      <c r="A590" s="459"/>
      <c r="B590" s="459"/>
      <c r="C590" s="459"/>
      <c r="D590" s="459"/>
      <c r="E590" s="459"/>
      <c r="F590" s="459"/>
      <c r="G590" s="459"/>
      <c r="H590" s="459"/>
      <c r="I590" s="459"/>
      <c r="J590" s="459"/>
      <c r="K590" s="459"/>
      <c r="L590" s="416"/>
      <c r="M590" s="459"/>
      <c r="N590" s="459"/>
    </row>
    <row r="591" spans="1:14">
      <c r="A591" s="459"/>
      <c r="B591" s="459"/>
      <c r="C591" s="459"/>
      <c r="D591" s="459"/>
      <c r="E591" s="459"/>
      <c r="F591" s="459"/>
      <c r="G591" s="459"/>
      <c r="H591" s="459"/>
      <c r="I591" s="459"/>
      <c r="J591" s="459"/>
      <c r="K591" s="459"/>
      <c r="L591" s="416"/>
      <c r="M591" s="459"/>
      <c r="N591" s="459"/>
    </row>
    <row r="592" spans="1:14">
      <c r="A592" s="459"/>
      <c r="B592" s="459"/>
      <c r="C592" s="459"/>
      <c r="D592" s="459"/>
      <c r="E592" s="459"/>
      <c r="F592" s="459"/>
      <c r="G592" s="459"/>
      <c r="H592" s="459"/>
      <c r="I592" s="459"/>
      <c r="J592" s="459"/>
      <c r="K592" s="459"/>
      <c r="L592" s="416"/>
      <c r="M592" s="459"/>
      <c r="N592" s="459"/>
    </row>
    <row r="593" spans="1:14">
      <c r="A593" s="459"/>
      <c r="B593" s="459"/>
      <c r="C593" s="459"/>
      <c r="D593" s="459"/>
      <c r="E593" s="459"/>
      <c r="F593" s="459"/>
      <c r="G593" s="459"/>
      <c r="H593" s="459"/>
      <c r="I593" s="459"/>
      <c r="J593" s="459"/>
      <c r="K593" s="459"/>
      <c r="L593" s="416"/>
      <c r="M593" s="459"/>
      <c r="N593" s="459"/>
    </row>
    <row r="594" spans="1:14">
      <c r="A594" s="459"/>
      <c r="B594" s="459"/>
      <c r="C594" s="459"/>
      <c r="D594" s="459"/>
      <c r="E594" s="459"/>
      <c r="F594" s="459"/>
      <c r="G594" s="459"/>
      <c r="H594" s="459"/>
      <c r="I594" s="459"/>
      <c r="J594" s="459"/>
      <c r="K594" s="459"/>
      <c r="L594" s="416"/>
      <c r="M594" s="459"/>
      <c r="N594" s="459"/>
    </row>
    <row r="595" spans="1:14">
      <c r="A595" s="459"/>
      <c r="B595" s="459"/>
      <c r="C595" s="459"/>
      <c r="D595" s="459"/>
      <c r="E595" s="459"/>
      <c r="F595" s="459"/>
      <c r="G595" s="459"/>
      <c r="H595" s="459"/>
      <c r="I595" s="459"/>
      <c r="J595" s="459"/>
      <c r="K595" s="459"/>
      <c r="L595" s="416"/>
      <c r="M595" s="459"/>
      <c r="N595" s="459"/>
    </row>
    <row r="596" spans="1:14">
      <c r="A596" s="459"/>
      <c r="B596" s="459"/>
      <c r="C596" s="459"/>
      <c r="D596" s="459"/>
      <c r="E596" s="459"/>
      <c r="F596" s="459"/>
      <c r="G596" s="459"/>
      <c r="H596" s="459"/>
      <c r="I596" s="459"/>
      <c r="J596" s="459"/>
      <c r="K596" s="459"/>
      <c r="L596" s="416"/>
      <c r="M596" s="459"/>
      <c r="N596" s="459"/>
    </row>
    <row r="597" spans="1:14">
      <c r="A597" s="459"/>
      <c r="B597" s="459"/>
      <c r="C597" s="459"/>
      <c r="D597" s="459"/>
      <c r="E597" s="459"/>
      <c r="F597" s="459"/>
      <c r="G597" s="459"/>
      <c r="H597" s="459"/>
      <c r="I597" s="459"/>
      <c r="J597" s="459"/>
      <c r="K597" s="459"/>
      <c r="L597" s="416"/>
      <c r="M597" s="459"/>
      <c r="N597" s="459"/>
    </row>
    <row r="598" spans="1:14">
      <c r="A598" s="459"/>
      <c r="B598" s="459"/>
      <c r="C598" s="459"/>
      <c r="D598" s="459"/>
      <c r="E598" s="459"/>
      <c r="F598" s="459"/>
      <c r="G598" s="459"/>
      <c r="H598" s="459"/>
      <c r="I598" s="459"/>
      <c r="J598" s="459"/>
      <c r="K598" s="459"/>
      <c r="L598" s="416"/>
      <c r="M598" s="459"/>
      <c r="N598" s="459"/>
    </row>
    <row r="599" spans="1:14">
      <c r="A599" s="459"/>
      <c r="B599" s="459"/>
      <c r="C599" s="459"/>
      <c r="D599" s="459"/>
      <c r="E599" s="459"/>
      <c r="F599" s="459"/>
      <c r="G599" s="459"/>
      <c r="H599" s="459"/>
      <c r="I599" s="459"/>
      <c r="J599" s="459"/>
      <c r="K599" s="459"/>
      <c r="L599" s="416"/>
      <c r="M599" s="459"/>
      <c r="N599" s="459"/>
    </row>
    <row r="600" spans="1:14">
      <c r="A600" s="459"/>
      <c r="B600" s="459"/>
      <c r="C600" s="459"/>
      <c r="D600" s="459"/>
      <c r="E600" s="459"/>
      <c r="F600" s="459"/>
      <c r="G600" s="459"/>
      <c r="H600" s="459"/>
      <c r="I600" s="459"/>
      <c r="J600" s="459"/>
      <c r="K600" s="459"/>
      <c r="L600" s="416"/>
      <c r="M600" s="459"/>
      <c r="N600" s="459"/>
    </row>
    <row r="601" spans="1:14">
      <c r="A601" s="459"/>
      <c r="B601" s="459"/>
      <c r="C601" s="459"/>
      <c r="D601" s="459"/>
      <c r="E601" s="459"/>
      <c r="F601" s="459"/>
      <c r="G601" s="459"/>
      <c r="H601" s="459"/>
      <c r="I601" s="459"/>
      <c r="J601" s="459"/>
      <c r="K601" s="459"/>
      <c r="L601" s="416"/>
      <c r="M601" s="459"/>
      <c r="N601" s="459"/>
    </row>
    <row r="602" spans="1:14">
      <c r="A602" s="459"/>
      <c r="B602" s="459"/>
      <c r="C602" s="459"/>
      <c r="D602" s="459"/>
      <c r="E602" s="459"/>
      <c r="F602" s="459"/>
      <c r="G602" s="459"/>
      <c r="H602" s="459"/>
      <c r="I602" s="459"/>
      <c r="J602" s="459"/>
      <c r="K602" s="459"/>
      <c r="L602" s="416"/>
      <c r="M602" s="459"/>
      <c r="N602" s="459"/>
    </row>
    <row r="603" spans="1:14">
      <c r="A603" s="459"/>
      <c r="B603" s="459"/>
      <c r="C603" s="459"/>
      <c r="D603" s="459"/>
      <c r="E603" s="459"/>
      <c r="F603" s="459"/>
      <c r="G603" s="459"/>
      <c r="H603" s="459"/>
      <c r="I603" s="459"/>
      <c r="J603" s="459"/>
      <c r="K603" s="459"/>
      <c r="L603" s="416"/>
      <c r="M603" s="459"/>
      <c r="N603" s="459"/>
    </row>
    <row r="604" spans="1:14">
      <c r="A604" s="459"/>
      <c r="B604" s="459"/>
      <c r="C604" s="459"/>
      <c r="D604" s="459"/>
      <c r="E604" s="459"/>
      <c r="F604" s="459"/>
      <c r="G604" s="459"/>
      <c r="H604" s="459"/>
      <c r="I604" s="459"/>
      <c r="J604" s="459"/>
      <c r="K604" s="459"/>
      <c r="L604" s="416"/>
      <c r="M604" s="459"/>
      <c r="N604" s="459"/>
    </row>
    <row r="605" spans="1:14">
      <c r="A605" s="459"/>
      <c r="B605" s="459"/>
      <c r="C605" s="459"/>
      <c r="D605" s="459"/>
      <c r="E605" s="459"/>
      <c r="F605" s="459"/>
      <c r="G605" s="459"/>
      <c r="H605" s="459"/>
      <c r="I605" s="459"/>
      <c r="J605" s="459"/>
      <c r="K605" s="459"/>
      <c r="L605" s="416"/>
      <c r="M605" s="459"/>
      <c r="N605" s="459"/>
    </row>
    <row r="606" spans="1:14">
      <c r="A606" s="459"/>
      <c r="B606" s="459"/>
      <c r="C606" s="459"/>
      <c r="D606" s="459"/>
      <c r="E606" s="459"/>
      <c r="F606" s="459"/>
      <c r="G606" s="459"/>
      <c r="H606" s="459"/>
      <c r="I606" s="459"/>
      <c r="J606" s="459"/>
      <c r="K606" s="459"/>
      <c r="L606" s="416"/>
      <c r="M606" s="459"/>
      <c r="N606" s="459"/>
    </row>
    <row r="607" spans="1:14">
      <c r="A607" s="459"/>
      <c r="B607" s="459"/>
      <c r="C607" s="459"/>
      <c r="D607" s="459"/>
      <c r="E607" s="459"/>
      <c r="F607" s="459"/>
      <c r="G607" s="459"/>
      <c r="H607" s="459"/>
      <c r="I607" s="459"/>
      <c r="J607" s="459"/>
      <c r="K607" s="459"/>
      <c r="L607" s="416"/>
      <c r="M607" s="459"/>
      <c r="N607" s="459"/>
    </row>
    <row r="608" spans="1:14">
      <c r="A608" s="459"/>
      <c r="B608" s="459"/>
      <c r="C608" s="459"/>
      <c r="D608" s="459"/>
      <c r="E608" s="459"/>
      <c r="F608" s="459"/>
      <c r="G608" s="459"/>
      <c r="H608" s="459"/>
      <c r="I608" s="459"/>
      <c r="J608" s="459"/>
      <c r="K608" s="459"/>
      <c r="L608" s="416"/>
      <c r="M608" s="459"/>
      <c r="N608" s="459"/>
    </row>
    <row r="609" spans="1:14">
      <c r="A609" s="459"/>
      <c r="B609" s="459"/>
      <c r="C609" s="459"/>
      <c r="D609" s="459"/>
      <c r="E609" s="459"/>
      <c r="F609" s="459"/>
      <c r="G609" s="459"/>
      <c r="H609" s="459"/>
      <c r="I609" s="459"/>
      <c r="J609" s="459"/>
      <c r="K609" s="459"/>
      <c r="L609" s="416"/>
      <c r="M609" s="459"/>
      <c r="N609" s="459"/>
    </row>
    <row r="610" spans="1:14">
      <c r="A610" s="459"/>
      <c r="B610" s="459"/>
      <c r="C610" s="459"/>
      <c r="D610" s="459"/>
      <c r="E610" s="459"/>
      <c r="F610" s="459"/>
      <c r="G610" s="459"/>
      <c r="H610" s="459"/>
      <c r="I610" s="459"/>
      <c r="J610" s="459"/>
      <c r="K610" s="459"/>
      <c r="L610" s="416"/>
      <c r="M610" s="459"/>
      <c r="N610" s="459"/>
    </row>
    <row r="611" spans="1:14">
      <c r="A611" s="459"/>
      <c r="B611" s="459"/>
      <c r="C611" s="459"/>
      <c r="D611" s="459"/>
      <c r="E611" s="459"/>
      <c r="F611" s="459"/>
      <c r="G611" s="459"/>
      <c r="H611" s="459"/>
      <c r="I611" s="459"/>
      <c r="J611" s="459"/>
      <c r="K611" s="459"/>
      <c r="L611" s="416"/>
      <c r="M611" s="459"/>
      <c r="N611" s="459"/>
    </row>
    <row r="612" spans="1:14">
      <c r="A612" s="459"/>
      <c r="B612" s="459"/>
      <c r="C612" s="459"/>
      <c r="D612" s="459"/>
      <c r="E612" s="459"/>
      <c r="F612" s="459"/>
      <c r="G612" s="459"/>
      <c r="H612" s="459"/>
      <c r="I612" s="459"/>
      <c r="J612" s="459"/>
      <c r="K612" s="459"/>
      <c r="L612" s="416"/>
      <c r="M612" s="459"/>
      <c r="N612" s="459"/>
    </row>
    <row r="613" spans="1:14">
      <c r="A613" s="459"/>
      <c r="B613" s="459"/>
      <c r="C613" s="459"/>
      <c r="D613" s="459"/>
      <c r="E613" s="459"/>
      <c r="F613" s="459"/>
      <c r="G613" s="459"/>
      <c r="H613" s="459"/>
      <c r="I613" s="459"/>
      <c r="J613" s="459"/>
      <c r="K613" s="459"/>
      <c r="L613" s="416"/>
      <c r="M613" s="459"/>
      <c r="N613" s="459"/>
    </row>
    <row r="614" spans="1:14">
      <c r="A614" s="459"/>
      <c r="B614" s="459"/>
      <c r="C614" s="459"/>
      <c r="D614" s="459"/>
      <c r="E614" s="459"/>
      <c r="F614" s="459"/>
      <c r="G614" s="459"/>
      <c r="H614" s="459"/>
      <c r="I614" s="459"/>
      <c r="J614" s="459"/>
      <c r="K614" s="459"/>
      <c r="L614" s="416"/>
      <c r="M614" s="459"/>
      <c r="N614" s="459"/>
    </row>
    <row r="615" spans="1:14">
      <c r="A615" s="459"/>
      <c r="B615" s="459"/>
      <c r="C615" s="459"/>
      <c r="D615" s="459"/>
      <c r="E615" s="459"/>
      <c r="F615" s="459"/>
      <c r="G615" s="459"/>
      <c r="H615" s="459"/>
      <c r="I615" s="459"/>
      <c r="J615" s="459"/>
      <c r="K615" s="459"/>
      <c r="L615" s="416"/>
      <c r="M615" s="459"/>
      <c r="N615" s="459"/>
    </row>
    <row r="616" spans="1:14">
      <c r="A616" s="459"/>
      <c r="B616" s="459"/>
      <c r="C616" s="459"/>
      <c r="D616" s="459"/>
      <c r="E616" s="459"/>
      <c r="F616" s="459"/>
      <c r="G616" s="459"/>
      <c r="H616" s="459"/>
      <c r="I616" s="459"/>
      <c r="J616" s="459"/>
      <c r="K616" s="459"/>
      <c r="L616" s="416"/>
      <c r="M616" s="459"/>
      <c r="N616" s="459"/>
    </row>
    <row r="617" spans="1:14">
      <c r="A617" s="459"/>
      <c r="B617" s="459"/>
      <c r="C617" s="459"/>
      <c r="D617" s="459"/>
      <c r="E617" s="459"/>
      <c r="F617" s="459"/>
      <c r="G617" s="459"/>
      <c r="H617" s="459"/>
      <c r="I617" s="459"/>
      <c r="J617" s="459"/>
      <c r="K617" s="459"/>
      <c r="L617" s="416"/>
      <c r="M617" s="459"/>
      <c r="N617" s="459"/>
    </row>
    <row r="618" spans="1:14">
      <c r="A618" s="459"/>
      <c r="B618" s="459"/>
      <c r="C618" s="459"/>
      <c r="D618" s="459"/>
      <c r="E618" s="459"/>
      <c r="F618" s="459"/>
      <c r="G618" s="459"/>
      <c r="H618" s="459"/>
      <c r="I618" s="459"/>
      <c r="J618" s="459"/>
      <c r="K618" s="459"/>
      <c r="L618" s="416"/>
      <c r="M618" s="459"/>
      <c r="N618" s="459"/>
    </row>
    <row r="619" spans="1:14">
      <c r="A619" s="459"/>
      <c r="B619" s="459"/>
      <c r="C619" s="459"/>
      <c r="D619" s="459"/>
      <c r="E619" s="459"/>
      <c r="F619" s="459"/>
      <c r="G619" s="459"/>
      <c r="H619" s="459"/>
      <c r="I619" s="459"/>
      <c r="J619" s="459"/>
      <c r="K619" s="459"/>
      <c r="L619" s="416"/>
      <c r="M619" s="459"/>
      <c r="N619" s="459"/>
    </row>
    <row r="620" spans="1:14">
      <c r="A620" s="459"/>
      <c r="B620" s="459"/>
      <c r="C620" s="459"/>
      <c r="D620" s="459"/>
      <c r="E620" s="459"/>
      <c r="F620" s="459"/>
      <c r="G620" s="459"/>
      <c r="H620" s="459"/>
      <c r="I620" s="459"/>
      <c r="J620" s="459"/>
      <c r="K620" s="459"/>
      <c r="L620" s="416"/>
      <c r="M620" s="459"/>
      <c r="N620" s="459"/>
    </row>
    <row r="621" spans="1:14">
      <c r="A621" s="459"/>
      <c r="B621" s="459"/>
      <c r="C621" s="459"/>
      <c r="D621" s="459"/>
      <c r="E621" s="459"/>
      <c r="F621" s="459"/>
      <c r="G621" s="459"/>
      <c r="H621" s="459"/>
      <c r="I621" s="459"/>
      <c r="J621" s="459"/>
      <c r="K621" s="459"/>
      <c r="L621" s="416"/>
      <c r="M621" s="459"/>
      <c r="N621" s="459"/>
    </row>
    <row r="622" spans="1:14">
      <c r="A622" s="459"/>
      <c r="B622" s="459"/>
      <c r="C622" s="459"/>
      <c r="D622" s="459"/>
      <c r="E622" s="459"/>
      <c r="F622" s="459"/>
      <c r="G622" s="459"/>
      <c r="H622" s="459"/>
      <c r="I622" s="459"/>
      <c r="J622" s="459"/>
      <c r="K622" s="459"/>
      <c r="L622" s="416"/>
      <c r="M622" s="459"/>
      <c r="N622" s="459"/>
    </row>
    <row r="623" spans="1:14">
      <c r="A623" s="459"/>
      <c r="B623" s="459"/>
      <c r="C623" s="459"/>
      <c r="D623" s="459"/>
      <c r="E623" s="459"/>
      <c r="F623" s="459"/>
      <c r="G623" s="459"/>
      <c r="H623" s="459"/>
      <c r="I623" s="459"/>
      <c r="J623" s="459"/>
      <c r="K623" s="459"/>
      <c r="L623" s="416"/>
      <c r="M623" s="459"/>
      <c r="N623" s="459"/>
    </row>
    <row r="624" spans="1:14">
      <c r="A624" s="459"/>
      <c r="B624" s="459"/>
      <c r="C624" s="459"/>
      <c r="D624" s="459"/>
      <c r="E624" s="459"/>
      <c r="F624" s="459"/>
      <c r="G624" s="459"/>
      <c r="H624" s="459"/>
      <c r="I624" s="459"/>
      <c r="J624" s="459"/>
      <c r="K624" s="459"/>
      <c r="L624" s="416"/>
      <c r="M624" s="459"/>
      <c r="N624" s="459"/>
    </row>
    <row r="625" spans="1:14">
      <c r="A625" s="459"/>
      <c r="B625" s="459"/>
      <c r="C625" s="459"/>
      <c r="D625" s="459"/>
      <c r="E625" s="459"/>
      <c r="F625" s="459"/>
      <c r="G625" s="459"/>
      <c r="H625" s="459"/>
      <c r="I625" s="459"/>
      <c r="J625" s="459"/>
      <c r="K625" s="459"/>
      <c r="L625" s="416"/>
      <c r="M625" s="459"/>
      <c r="N625" s="459"/>
    </row>
    <row r="626" spans="1:14">
      <c r="A626" s="459"/>
      <c r="B626" s="459"/>
      <c r="C626" s="459"/>
      <c r="D626" s="459"/>
      <c r="E626" s="459"/>
      <c r="F626" s="459"/>
      <c r="G626" s="459"/>
      <c r="H626" s="459"/>
      <c r="I626" s="459"/>
      <c r="J626" s="459"/>
      <c r="K626" s="459"/>
      <c r="L626" s="416"/>
      <c r="M626" s="459"/>
      <c r="N626" s="459"/>
    </row>
    <row r="627" spans="1:14">
      <c r="A627" s="459"/>
      <c r="B627" s="459"/>
      <c r="C627" s="459"/>
      <c r="D627" s="459"/>
      <c r="E627" s="459"/>
      <c r="F627" s="459"/>
      <c r="G627" s="459"/>
      <c r="H627" s="459"/>
      <c r="I627" s="459"/>
      <c r="J627" s="459"/>
      <c r="K627" s="459"/>
      <c r="L627" s="416"/>
      <c r="M627" s="459"/>
      <c r="N627" s="459"/>
    </row>
    <row r="628" spans="1:14">
      <c r="A628" s="459"/>
      <c r="B628" s="459"/>
      <c r="C628" s="459"/>
      <c r="D628" s="459"/>
      <c r="E628" s="459"/>
      <c r="F628" s="459"/>
      <c r="G628" s="459"/>
      <c r="H628" s="459"/>
      <c r="I628" s="459"/>
      <c r="J628" s="459"/>
      <c r="K628" s="459"/>
      <c r="L628" s="416"/>
      <c r="M628" s="459"/>
      <c r="N628" s="459"/>
    </row>
    <row r="629" spans="1:14">
      <c r="A629" s="459"/>
      <c r="B629" s="459"/>
      <c r="C629" s="459"/>
      <c r="D629" s="459"/>
      <c r="E629" s="459"/>
      <c r="F629" s="459"/>
      <c r="G629" s="459"/>
      <c r="H629" s="459"/>
      <c r="I629" s="459"/>
      <c r="J629" s="459"/>
      <c r="K629" s="459"/>
      <c r="L629" s="416"/>
      <c r="M629" s="459"/>
      <c r="N629" s="459"/>
    </row>
    <row r="630" spans="1:14">
      <c r="A630" s="459"/>
      <c r="B630" s="459"/>
      <c r="C630" s="459"/>
      <c r="D630" s="459"/>
      <c r="E630" s="459"/>
      <c r="F630" s="459"/>
      <c r="G630" s="459"/>
      <c r="H630" s="459"/>
      <c r="I630" s="459"/>
      <c r="J630" s="459"/>
      <c r="K630" s="459"/>
      <c r="L630" s="416"/>
      <c r="M630" s="459"/>
      <c r="N630" s="459"/>
    </row>
    <row r="631" spans="1:14">
      <c r="A631" s="459"/>
      <c r="B631" s="459"/>
      <c r="C631" s="459"/>
      <c r="D631" s="459"/>
      <c r="E631" s="459"/>
      <c r="F631" s="459"/>
      <c r="G631" s="459"/>
      <c r="H631" s="459"/>
      <c r="I631" s="459"/>
      <c r="J631" s="459"/>
      <c r="K631" s="459"/>
      <c r="L631" s="416"/>
      <c r="M631" s="459"/>
      <c r="N631" s="459"/>
    </row>
    <row r="632" spans="1:14">
      <c r="A632" s="459"/>
      <c r="B632" s="459"/>
      <c r="C632" s="459"/>
      <c r="D632" s="459"/>
      <c r="E632" s="459"/>
      <c r="F632" s="459"/>
      <c r="G632" s="459"/>
      <c r="H632" s="459"/>
      <c r="I632" s="459"/>
      <c r="J632" s="459"/>
      <c r="K632" s="459"/>
      <c r="L632" s="416"/>
      <c r="M632" s="459"/>
      <c r="N632" s="459"/>
    </row>
    <row r="633" spans="1:14">
      <c r="A633" s="459"/>
      <c r="B633" s="459"/>
      <c r="C633" s="459"/>
      <c r="D633" s="459"/>
      <c r="E633" s="459"/>
      <c r="F633" s="459"/>
      <c r="G633" s="459"/>
      <c r="H633" s="459"/>
      <c r="I633" s="459"/>
      <c r="J633" s="459"/>
      <c r="K633" s="459"/>
      <c r="L633" s="416"/>
      <c r="M633" s="459"/>
      <c r="N633" s="459"/>
    </row>
    <row r="634" spans="1:14">
      <c r="A634" s="459"/>
      <c r="B634" s="459"/>
      <c r="C634" s="459"/>
      <c r="D634" s="459"/>
      <c r="E634" s="459"/>
      <c r="F634" s="459"/>
      <c r="G634" s="459"/>
      <c r="H634" s="459"/>
      <c r="I634" s="459"/>
      <c r="J634" s="459"/>
      <c r="K634" s="459"/>
      <c r="L634" s="416"/>
      <c r="M634" s="459"/>
      <c r="N634" s="459"/>
    </row>
    <row r="635" spans="1:14">
      <c r="A635" s="459"/>
      <c r="B635" s="459"/>
      <c r="C635" s="459"/>
      <c r="D635" s="459"/>
      <c r="E635" s="459"/>
      <c r="F635" s="459"/>
      <c r="G635" s="459"/>
      <c r="H635" s="459"/>
      <c r="I635" s="459"/>
      <c r="J635" s="459"/>
      <c r="K635" s="459"/>
      <c r="L635" s="416"/>
      <c r="M635" s="459"/>
      <c r="N635" s="459"/>
    </row>
    <row r="636" spans="1:14">
      <c r="A636" s="459"/>
      <c r="B636" s="459"/>
      <c r="C636" s="459"/>
      <c r="D636" s="459"/>
      <c r="E636" s="459"/>
      <c r="F636" s="459"/>
      <c r="G636" s="459"/>
      <c r="H636" s="459"/>
      <c r="I636" s="459"/>
      <c r="J636" s="459"/>
      <c r="K636" s="459"/>
      <c r="L636" s="416"/>
      <c r="M636" s="459"/>
      <c r="N636" s="459"/>
    </row>
    <row r="637" spans="1:14">
      <c r="A637" s="459"/>
      <c r="B637" s="459"/>
      <c r="C637" s="459"/>
      <c r="D637" s="459"/>
      <c r="E637" s="459"/>
      <c r="F637" s="459"/>
      <c r="G637" s="459"/>
      <c r="H637" s="459"/>
      <c r="I637" s="459"/>
      <c r="J637" s="459"/>
      <c r="K637" s="459"/>
      <c r="L637" s="416"/>
      <c r="M637" s="459"/>
      <c r="N637" s="459"/>
    </row>
    <row r="638" spans="1:14">
      <c r="A638" s="459"/>
      <c r="B638" s="459"/>
      <c r="C638" s="459"/>
      <c r="D638" s="459"/>
      <c r="E638" s="459"/>
      <c r="F638" s="459"/>
      <c r="G638" s="459"/>
      <c r="H638" s="459"/>
      <c r="I638" s="459"/>
      <c r="J638" s="459"/>
      <c r="K638" s="459"/>
      <c r="L638" s="416"/>
      <c r="M638" s="459"/>
      <c r="N638" s="459"/>
    </row>
    <row r="639" spans="1:14">
      <c r="A639" s="459"/>
      <c r="B639" s="459"/>
      <c r="C639" s="459"/>
      <c r="D639" s="459"/>
      <c r="E639" s="459"/>
      <c r="F639" s="459"/>
      <c r="G639" s="459"/>
      <c r="H639" s="459"/>
      <c r="I639" s="459"/>
      <c r="J639" s="459"/>
      <c r="K639" s="459"/>
      <c r="L639" s="416"/>
      <c r="M639" s="459"/>
      <c r="N639" s="459"/>
    </row>
    <row r="640" spans="1:14">
      <c r="A640" s="459"/>
      <c r="B640" s="459"/>
      <c r="C640" s="459"/>
      <c r="D640" s="459"/>
      <c r="E640" s="459"/>
      <c r="F640" s="459"/>
      <c r="G640" s="459"/>
      <c r="H640" s="459"/>
      <c r="I640" s="459"/>
      <c r="J640" s="459"/>
      <c r="K640" s="459"/>
      <c r="L640" s="416"/>
      <c r="M640" s="459"/>
      <c r="N640" s="459"/>
    </row>
    <row r="641" spans="1:14">
      <c r="A641" s="459"/>
      <c r="B641" s="459"/>
      <c r="C641" s="459"/>
      <c r="D641" s="459"/>
      <c r="E641" s="459"/>
      <c r="F641" s="459"/>
      <c r="G641" s="459"/>
      <c r="H641" s="459"/>
      <c r="I641" s="459"/>
      <c r="J641" s="459"/>
      <c r="K641" s="459"/>
      <c r="L641" s="416"/>
      <c r="M641" s="459"/>
      <c r="N641" s="459"/>
    </row>
    <row r="642" spans="1:14">
      <c r="A642" s="459"/>
      <c r="B642" s="459"/>
      <c r="C642" s="459"/>
      <c r="D642" s="459"/>
      <c r="E642" s="459"/>
      <c r="F642" s="459"/>
      <c r="G642" s="459"/>
      <c r="H642" s="459"/>
      <c r="I642" s="459"/>
      <c r="J642" s="459"/>
      <c r="K642" s="459"/>
      <c r="L642" s="416"/>
      <c r="M642" s="459"/>
      <c r="N642" s="459"/>
    </row>
    <row r="643" spans="1:14">
      <c r="A643" s="459"/>
      <c r="B643" s="459"/>
      <c r="C643" s="459"/>
      <c r="D643" s="459"/>
      <c r="E643" s="459"/>
      <c r="F643" s="459"/>
      <c r="G643" s="459"/>
      <c r="H643" s="459"/>
      <c r="I643" s="459"/>
      <c r="J643" s="459"/>
      <c r="K643" s="459"/>
      <c r="L643" s="416"/>
      <c r="M643" s="459"/>
      <c r="N643" s="459"/>
    </row>
    <row r="644" spans="1:14">
      <c r="A644" s="459"/>
      <c r="B644" s="459"/>
      <c r="C644" s="459"/>
      <c r="D644" s="459"/>
      <c r="E644" s="459"/>
      <c r="F644" s="459"/>
      <c r="G644" s="459"/>
      <c r="H644" s="459"/>
      <c r="I644" s="459"/>
      <c r="J644" s="459"/>
      <c r="K644" s="459"/>
      <c r="L644" s="416"/>
      <c r="M644" s="459"/>
      <c r="N644" s="459"/>
    </row>
    <row r="645" spans="1:14">
      <c r="A645" s="459"/>
      <c r="B645" s="459"/>
      <c r="C645" s="459"/>
      <c r="D645" s="459"/>
      <c r="E645" s="459"/>
      <c r="F645" s="459"/>
      <c r="G645" s="459"/>
      <c r="H645" s="459"/>
      <c r="I645" s="459"/>
      <c r="J645" s="459"/>
      <c r="K645" s="459"/>
      <c r="L645" s="416"/>
      <c r="M645" s="459"/>
      <c r="N645" s="459"/>
    </row>
    <row r="646" spans="1:14">
      <c r="A646" s="459"/>
      <c r="B646" s="459"/>
      <c r="C646" s="459"/>
      <c r="D646" s="459"/>
      <c r="E646" s="459"/>
      <c r="F646" s="459"/>
      <c r="G646" s="459"/>
      <c r="H646" s="459"/>
      <c r="I646" s="459"/>
      <c r="J646" s="459"/>
      <c r="K646" s="459"/>
      <c r="L646" s="416"/>
      <c r="M646" s="459"/>
      <c r="N646" s="459"/>
    </row>
    <row r="647" spans="1:14">
      <c r="A647" s="459"/>
      <c r="B647" s="459"/>
      <c r="C647" s="459"/>
      <c r="D647" s="459"/>
      <c r="E647" s="459"/>
      <c r="F647" s="459"/>
      <c r="G647" s="459"/>
      <c r="H647" s="459"/>
      <c r="I647" s="459"/>
      <c r="J647" s="459"/>
      <c r="K647" s="459"/>
      <c r="L647" s="416"/>
      <c r="M647" s="459"/>
      <c r="N647" s="459"/>
    </row>
    <row r="648" spans="1:14">
      <c r="A648" s="459"/>
      <c r="B648" s="459"/>
      <c r="C648" s="459"/>
      <c r="D648" s="459"/>
      <c r="E648" s="459"/>
      <c r="F648" s="459"/>
      <c r="G648" s="459"/>
      <c r="H648" s="459"/>
      <c r="I648" s="459"/>
      <c r="J648" s="459"/>
      <c r="K648" s="459"/>
      <c r="L648" s="416"/>
      <c r="M648" s="459"/>
      <c r="N648" s="459"/>
    </row>
    <row r="649" spans="1:14">
      <c r="A649" s="459"/>
      <c r="B649" s="459"/>
      <c r="C649" s="459"/>
      <c r="D649" s="459"/>
      <c r="E649" s="459"/>
      <c r="F649" s="459"/>
      <c r="G649" s="459"/>
      <c r="H649" s="459"/>
      <c r="I649" s="459"/>
      <c r="J649" s="459"/>
      <c r="K649" s="459"/>
      <c r="L649" s="416"/>
      <c r="M649" s="459"/>
      <c r="N649" s="459"/>
    </row>
    <row r="650" spans="1:14">
      <c r="A650" s="459"/>
      <c r="B650" s="459"/>
      <c r="C650" s="459"/>
      <c r="D650" s="459"/>
      <c r="E650" s="459"/>
      <c r="F650" s="459"/>
      <c r="G650" s="459"/>
      <c r="H650" s="459"/>
      <c r="I650" s="459"/>
      <c r="J650" s="459"/>
      <c r="K650" s="459"/>
      <c r="L650" s="416"/>
      <c r="M650" s="459"/>
      <c r="N650" s="459"/>
    </row>
    <row r="651" spans="1:14">
      <c r="A651" s="459"/>
      <c r="B651" s="459"/>
      <c r="C651" s="459"/>
      <c r="D651" s="459"/>
      <c r="E651" s="459"/>
      <c r="F651" s="459"/>
      <c r="G651" s="459"/>
      <c r="H651" s="459"/>
      <c r="I651" s="459"/>
      <c r="J651" s="459"/>
      <c r="K651" s="459"/>
      <c r="L651" s="416"/>
      <c r="M651" s="459"/>
      <c r="N651" s="459"/>
    </row>
    <row r="652" spans="1:14">
      <c r="A652" s="459"/>
      <c r="B652" s="459"/>
      <c r="C652" s="459"/>
      <c r="D652" s="459"/>
      <c r="E652" s="459"/>
      <c r="F652" s="459"/>
      <c r="G652" s="459"/>
      <c r="H652" s="459"/>
      <c r="I652" s="459"/>
      <c r="J652" s="459"/>
      <c r="K652" s="459"/>
      <c r="L652" s="416"/>
      <c r="M652" s="459"/>
      <c r="N652" s="459"/>
    </row>
    <row r="653" spans="1:14">
      <c r="A653" s="459"/>
      <c r="B653" s="459"/>
      <c r="C653" s="459"/>
      <c r="D653" s="459"/>
      <c r="E653" s="459"/>
      <c r="F653" s="459"/>
      <c r="G653" s="459"/>
      <c r="H653" s="459"/>
      <c r="I653" s="459"/>
      <c r="J653" s="459"/>
      <c r="K653" s="459"/>
      <c r="L653" s="416"/>
      <c r="M653" s="459"/>
      <c r="N653" s="459"/>
    </row>
    <row r="654" spans="1:14">
      <c r="A654" s="459"/>
      <c r="B654" s="459"/>
      <c r="C654" s="459"/>
      <c r="D654" s="459"/>
      <c r="E654" s="459"/>
      <c r="F654" s="459"/>
      <c r="G654" s="459"/>
      <c r="H654" s="459"/>
      <c r="I654" s="459"/>
      <c r="J654" s="459"/>
      <c r="K654" s="459"/>
      <c r="L654" s="416"/>
      <c r="M654" s="459"/>
      <c r="N654" s="459"/>
    </row>
    <row r="655" spans="1:14">
      <c r="A655" s="459"/>
      <c r="B655" s="459"/>
      <c r="C655" s="459"/>
      <c r="D655" s="459"/>
      <c r="E655" s="459"/>
      <c r="F655" s="459"/>
      <c r="G655" s="459"/>
      <c r="H655" s="459"/>
      <c r="I655" s="459"/>
      <c r="J655" s="459"/>
      <c r="K655" s="459"/>
      <c r="L655" s="416"/>
      <c r="M655" s="459"/>
      <c r="N655" s="459"/>
    </row>
    <row r="656" spans="1:14">
      <c r="A656" s="459"/>
      <c r="B656" s="459"/>
      <c r="C656" s="459"/>
      <c r="D656" s="459"/>
      <c r="E656" s="459"/>
      <c r="F656" s="459"/>
      <c r="G656" s="459"/>
      <c r="H656" s="459"/>
      <c r="I656" s="459"/>
      <c r="J656" s="459"/>
      <c r="K656" s="459"/>
      <c r="L656" s="416"/>
      <c r="M656" s="459"/>
      <c r="N656" s="459"/>
    </row>
    <row r="657" spans="1:14">
      <c r="A657" s="459"/>
      <c r="B657" s="459"/>
      <c r="C657" s="459"/>
      <c r="D657" s="459"/>
      <c r="E657" s="459"/>
      <c r="F657" s="459"/>
      <c r="G657" s="459"/>
      <c r="H657" s="459"/>
      <c r="I657" s="459"/>
      <c r="J657" s="459"/>
      <c r="K657" s="459"/>
      <c r="L657" s="416"/>
      <c r="M657" s="459"/>
      <c r="N657" s="459"/>
    </row>
    <row r="658" spans="1:14">
      <c r="A658" s="459"/>
      <c r="B658" s="459"/>
      <c r="C658" s="459"/>
      <c r="D658" s="459"/>
      <c r="E658" s="459"/>
      <c r="F658" s="459"/>
      <c r="G658" s="459"/>
      <c r="H658" s="459"/>
      <c r="I658" s="459"/>
      <c r="J658" s="459"/>
      <c r="K658" s="459"/>
      <c r="L658" s="416"/>
      <c r="M658" s="459"/>
      <c r="N658" s="459"/>
    </row>
    <row r="659" spans="1:14">
      <c r="A659" s="459"/>
      <c r="B659" s="459"/>
      <c r="C659" s="459"/>
      <c r="D659" s="459"/>
      <c r="E659" s="459"/>
      <c r="F659" s="459"/>
      <c r="G659" s="459"/>
      <c r="H659" s="459"/>
      <c r="I659" s="459"/>
      <c r="J659" s="459"/>
      <c r="K659" s="459"/>
      <c r="L659" s="416"/>
      <c r="M659" s="459"/>
      <c r="N659" s="459"/>
    </row>
    <row r="660" spans="1:14">
      <c r="A660" s="459"/>
      <c r="B660" s="459"/>
      <c r="C660" s="459"/>
      <c r="D660" s="459"/>
      <c r="E660" s="459"/>
      <c r="F660" s="459"/>
      <c r="G660" s="459"/>
      <c r="H660" s="459"/>
      <c r="I660" s="459"/>
      <c r="J660" s="459"/>
      <c r="K660" s="459"/>
      <c r="L660" s="416"/>
      <c r="M660" s="459"/>
      <c r="N660" s="459"/>
    </row>
    <row r="661" spans="1:14">
      <c r="A661" s="459"/>
      <c r="B661" s="459"/>
      <c r="C661" s="459"/>
      <c r="D661" s="459"/>
      <c r="E661" s="459"/>
      <c r="F661" s="459"/>
      <c r="G661" s="459"/>
      <c r="H661" s="459"/>
      <c r="I661" s="459"/>
      <c r="J661" s="459"/>
      <c r="K661" s="459"/>
      <c r="L661" s="416"/>
      <c r="M661" s="459"/>
      <c r="N661" s="459"/>
    </row>
    <row r="662" spans="1:14">
      <c r="A662" s="459"/>
      <c r="B662" s="459"/>
      <c r="C662" s="459"/>
      <c r="D662" s="459"/>
      <c r="E662" s="459"/>
      <c r="F662" s="459"/>
      <c r="G662" s="459"/>
      <c r="H662" s="459"/>
      <c r="I662" s="459"/>
      <c r="J662" s="459"/>
      <c r="K662" s="459"/>
      <c r="L662" s="416"/>
      <c r="M662" s="459"/>
      <c r="N662" s="459"/>
    </row>
    <row r="663" spans="1:14">
      <c r="A663" s="459"/>
      <c r="B663" s="459"/>
      <c r="C663" s="459"/>
      <c r="D663" s="459"/>
      <c r="E663" s="459"/>
      <c r="F663" s="459"/>
      <c r="G663" s="459"/>
      <c r="H663" s="459"/>
      <c r="I663" s="459"/>
      <c r="J663" s="459"/>
      <c r="K663" s="459"/>
      <c r="L663" s="416"/>
      <c r="M663" s="459"/>
      <c r="N663" s="459"/>
    </row>
    <row r="664" spans="1:14">
      <c r="A664" s="459"/>
      <c r="B664" s="459"/>
      <c r="C664" s="459"/>
      <c r="D664" s="459"/>
      <c r="E664" s="459"/>
      <c r="F664" s="459"/>
      <c r="G664" s="459"/>
      <c r="H664" s="459"/>
      <c r="I664" s="459"/>
      <c r="J664" s="459"/>
      <c r="K664" s="459"/>
      <c r="L664" s="416"/>
      <c r="M664" s="459"/>
      <c r="N664" s="459"/>
    </row>
    <row r="665" spans="1:14">
      <c r="A665" s="459"/>
      <c r="B665" s="459"/>
      <c r="C665" s="459"/>
      <c r="D665" s="459"/>
      <c r="E665" s="459"/>
      <c r="F665" s="459"/>
      <c r="G665" s="459"/>
      <c r="H665" s="459"/>
      <c r="I665" s="459"/>
      <c r="J665" s="459"/>
      <c r="K665" s="459"/>
      <c r="L665" s="416"/>
      <c r="M665" s="459"/>
      <c r="N665" s="459"/>
    </row>
    <row r="666" spans="1:14">
      <c r="A666" s="459"/>
      <c r="B666" s="459"/>
      <c r="C666" s="459"/>
      <c r="D666" s="459"/>
      <c r="E666" s="459"/>
      <c r="F666" s="459"/>
      <c r="G666" s="459"/>
      <c r="H666" s="459"/>
      <c r="I666" s="459"/>
      <c r="J666" s="459"/>
      <c r="K666" s="459"/>
      <c r="L666" s="416"/>
      <c r="M666" s="459"/>
      <c r="N666" s="459"/>
    </row>
    <row r="667" spans="1:14">
      <c r="A667" s="459"/>
      <c r="B667" s="459"/>
      <c r="C667" s="459"/>
      <c r="D667" s="459"/>
      <c r="E667" s="459"/>
      <c r="F667" s="459"/>
      <c r="G667" s="459"/>
      <c r="H667" s="459"/>
      <c r="I667" s="459"/>
      <c r="J667" s="459"/>
      <c r="K667" s="459"/>
      <c r="L667" s="416"/>
      <c r="M667" s="459"/>
      <c r="N667" s="459"/>
    </row>
    <row r="668" spans="1:14">
      <c r="A668" s="459"/>
      <c r="B668" s="459"/>
      <c r="C668" s="459"/>
      <c r="D668" s="459"/>
      <c r="E668" s="459"/>
      <c r="F668" s="459"/>
      <c r="G668" s="459"/>
      <c r="H668" s="459"/>
      <c r="I668" s="459"/>
      <c r="J668" s="459"/>
      <c r="K668" s="459"/>
      <c r="L668" s="416"/>
      <c r="M668" s="459"/>
      <c r="N668" s="459"/>
    </row>
    <row r="669" spans="1:14">
      <c r="A669" s="459"/>
      <c r="B669" s="459"/>
      <c r="C669" s="459"/>
      <c r="D669" s="459"/>
      <c r="E669" s="459"/>
      <c r="F669" s="459"/>
      <c r="G669" s="459"/>
      <c r="H669" s="459"/>
      <c r="I669" s="459"/>
      <c r="J669" s="459"/>
      <c r="K669" s="459"/>
      <c r="L669" s="416"/>
      <c r="M669" s="459"/>
      <c r="N669" s="459"/>
    </row>
    <row r="670" spans="1:14">
      <c r="A670" s="459"/>
      <c r="B670" s="459"/>
      <c r="C670" s="459"/>
      <c r="D670" s="459"/>
      <c r="E670" s="459"/>
      <c r="F670" s="459"/>
      <c r="G670" s="459"/>
      <c r="H670" s="459"/>
      <c r="I670" s="459"/>
      <c r="J670" s="459"/>
      <c r="K670" s="459"/>
      <c r="L670" s="416"/>
      <c r="M670" s="459"/>
      <c r="N670" s="459"/>
    </row>
    <row r="671" spans="1:14">
      <c r="A671" s="459"/>
      <c r="B671" s="459"/>
      <c r="C671" s="459"/>
      <c r="D671" s="459"/>
      <c r="E671" s="459"/>
      <c r="F671" s="459"/>
      <c r="G671" s="459"/>
      <c r="H671" s="459"/>
      <c r="I671" s="459"/>
      <c r="J671" s="459"/>
      <c r="K671" s="459"/>
      <c r="L671" s="416"/>
      <c r="M671" s="459"/>
      <c r="N671" s="459"/>
    </row>
    <row r="672" spans="1:14">
      <c r="A672" s="459"/>
      <c r="B672" s="459"/>
      <c r="C672" s="459"/>
      <c r="D672" s="459"/>
      <c r="E672" s="459"/>
      <c r="F672" s="459"/>
      <c r="G672" s="459"/>
      <c r="H672" s="459"/>
      <c r="I672" s="459"/>
      <c r="J672" s="459"/>
      <c r="K672" s="459"/>
      <c r="L672" s="416"/>
      <c r="M672" s="459"/>
      <c r="N672" s="459"/>
    </row>
    <row r="673" spans="1:14">
      <c r="A673" s="459"/>
      <c r="B673" s="459"/>
      <c r="C673" s="459"/>
      <c r="D673" s="459"/>
      <c r="E673" s="459"/>
      <c r="F673" s="459"/>
      <c r="G673" s="459"/>
      <c r="H673" s="459"/>
      <c r="I673" s="459"/>
      <c r="J673" s="459"/>
      <c r="K673" s="459"/>
      <c r="L673" s="416"/>
      <c r="M673" s="459"/>
      <c r="N673" s="459"/>
    </row>
    <row r="674" spans="1:14">
      <c r="A674" s="459"/>
      <c r="B674" s="459"/>
      <c r="C674" s="459"/>
      <c r="D674" s="459"/>
      <c r="E674" s="459"/>
      <c r="F674" s="459"/>
      <c r="G674" s="459"/>
      <c r="H674" s="459"/>
      <c r="I674" s="459"/>
      <c r="J674" s="459"/>
      <c r="K674" s="459"/>
      <c r="L674" s="416"/>
      <c r="M674" s="459"/>
      <c r="N674" s="459"/>
    </row>
    <row r="675" spans="1:14">
      <c r="A675" s="459"/>
      <c r="B675" s="459"/>
      <c r="C675" s="459"/>
      <c r="D675" s="459"/>
      <c r="E675" s="459"/>
      <c r="F675" s="459"/>
      <c r="G675" s="459"/>
      <c r="H675" s="459"/>
      <c r="I675" s="459"/>
      <c r="J675" s="459"/>
      <c r="K675" s="459"/>
      <c r="L675" s="416"/>
      <c r="M675" s="459"/>
      <c r="N675" s="459"/>
    </row>
    <row r="676" spans="1:14">
      <c r="A676" s="459"/>
      <c r="B676" s="459"/>
      <c r="C676" s="459"/>
      <c r="D676" s="459"/>
      <c r="E676" s="459"/>
      <c r="F676" s="459"/>
      <c r="G676" s="459"/>
      <c r="H676" s="459"/>
      <c r="I676" s="459"/>
      <c r="J676" s="459"/>
      <c r="K676" s="459"/>
      <c r="L676" s="416"/>
      <c r="M676" s="459"/>
      <c r="N676" s="459"/>
    </row>
    <row r="677" spans="1:14">
      <c r="A677" s="459"/>
      <c r="B677" s="459"/>
      <c r="C677" s="459"/>
      <c r="D677" s="459"/>
      <c r="E677" s="459"/>
      <c r="F677" s="459"/>
      <c r="G677" s="459"/>
      <c r="H677" s="459"/>
      <c r="I677" s="459"/>
      <c r="J677" s="459"/>
      <c r="K677" s="459"/>
      <c r="L677" s="416"/>
      <c r="M677" s="459"/>
      <c r="N677" s="459"/>
    </row>
    <row r="678" spans="1:14">
      <c r="A678" s="459"/>
      <c r="B678" s="459"/>
      <c r="C678" s="459"/>
      <c r="D678" s="459"/>
      <c r="E678" s="459"/>
      <c r="F678" s="459"/>
      <c r="G678" s="459"/>
      <c r="H678" s="459"/>
      <c r="I678" s="459"/>
      <c r="J678" s="459"/>
      <c r="K678" s="459"/>
      <c r="L678" s="416"/>
      <c r="M678" s="459"/>
      <c r="N678" s="459"/>
    </row>
    <row r="679" spans="1:14">
      <c r="A679" s="459"/>
      <c r="B679" s="459"/>
      <c r="C679" s="459"/>
      <c r="D679" s="459"/>
      <c r="E679" s="459"/>
      <c r="F679" s="459"/>
      <c r="G679" s="459"/>
      <c r="H679" s="459"/>
      <c r="I679" s="459"/>
      <c r="J679" s="459"/>
      <c r="K679" s="459"/>
      <c r="L679" s="416"/>
      <c r="M679" s="459"/>
      <c r="N679" s="459"/>
    </row>
    <row r="680" spans="1:14">
      <c r="A680" s="459"/>
      <c r="B680" s="459"/>
      <c r="C680" s="459"/>
      <c r="D680" s="459"/>
      <c r="E680" s="459"/>
      <c r="F680" s="459"/>
      <c r="G680" s="459"/>
      <c r="H680" s="459"/>
      <c r="I680" s="459"/>
      <c r="J680" s="459"/>
      <c r="K680" s="459"/>
      <c r="L680" s="416"/>
      <c r="M680" s="459"/>
      <c r="N680" s="459"/>
    </row>
    <row r="681" spans="1:14">
      <c r="A681" s="459"/>
      <c r="B681" s="459"/>
      <c r="C681" s="459"/>
      <c r="D681" s="459"/>
      <c r="E681" s="459"/>
      <c r="F681" s="459"/>
      <c r="G681" s="459"/>
      <c r="H681" s="459"/>
      <c r="I681" s="459"/>
      <c r="J681" s="459"/>
      <c r="K681" s="459"/>
      <c r="L681" s="416"/>
      <c r="M681" s="459"/>
      <c r="N681" s="459"/>
    </row>
    <row r="682" spans="1:14">
      <c r="A682" s="459"/>
      <c r="B682" s="459"/>
      <c r="C682" s="459"/>
      <c r="D682" s="459"/>
      <c r="E682" s="459"/>
      <c r="F682" s="459"/>
      <c r="G682" s="459"/>
      <c r="H682" s="459"/>
      <c r="I682" s="459"/>
      <c r="J682" s="459"/>
      <c r="K682" s="459"/>
      <c r="L682" s="416"/>
      <c r="M682" s="459"/>
      <c r="N682" s="459"/>
    </row>
    <row r="683" spans="1:14">
      <c r="A683" s="459"/>
      <c r="B683" s="459"/>
      <c r="C683" s="459"/>
      <c r="D683" s="459"/>
      <c r="E683" s="459"/>
      <c r="F683" s="459"/>
      <c r="G683" s="459"/>
      <c r="H683" s="459"/>
      <c r="I683" s="459"/>
      <c r="J683" s="459"/>
      <c r="K683" s="459"/>
      <c r="L683" s="416"/>
      <c r="M683" s="459"/>
      <c r="N683" s="459"/>
    </row>
    <row r="684" spans="1:14">
      <c r="A684" s="459"/>
      <c r="B684" s="459"/>
      <c r="C684" s="459"/>
      <c r="D684" s="459"/>
      <c r="E684" s="459"/>
      <c r="F684" s="459"/>
      <c r="G684" s="459"/>
      <c r="H684" s="459"/>
      <c r="I684" s="459"/>
      <c r="J684" s="459"/>
      <c r="K684" s="459"/>
      <c r="L684" s="416"/>
      <c r="M684" s="459"/>
      <c r="N684" s="459"/>
    </row>
    <row r="685" spans="1:14">
      <c r="A685" s="459"/>
      <c r="B685" s="459"/>
      <c r="C685" s="459"/>
      <c r="D685" s="459"/>
      <c r="E685" s="459"/>
      <c r="F685" s="459"/>
      <c r="G685" s="459"/>
      <c r="H685" s="459"/>
      <c r="I685" s="459"/>
      <c r="J685" s="459"/>
      <c r="K685" s="459"/>
      <c r="L685" s="416"/>
      <c r="M685" s="459"/>
      <c r="N685" s="459"/>
    </row>
    <row r="686" spans="1:14">
      <c r="A686" s="459"/>
      <c r="B686" s="459"/>
      <c r="C686" s="459"/>
      <c r="D686" s="459"/>
      <c r="E686" s="459"/>
      <c r="F686" s="459"/>
      <c r="G686" s="459"/>
      <c r="H686" s="459"/>
      <c r="I686" s="459"/>
      <c r="J686" s="459"/>
      <c r="K686" s="459"/>
      <c r="L686" s="416"/>
      <c r="M686" s="459"/>
      <c r="N686" s="459"/>
    </row>
    <row r="687" spans="1:14">
      <c r="A687" s="459"/>
      <c r="B687" s="459"/>
      <c r="C687" s="459"/>
      <c r="D687" s="459"/>
      <c r="E687" s="459"/>
      <c r="F687" s="459"/>
      <c r="G687" s="459"/>
      <c r="H687" s="459"/>
      <c r="I687" s="459"/>
      <c r="J687" s="459"/>
      <c r="K687" s="459"/>
      <c r="L687" s="416"/>
      <c r="M687" s="459"/>
      <c r="N687" s="459"/>
    </row>
    <row r="688" spans="1:14">
      <c r="A688" s="459"/>
      <c r="B688" s="459"/>
      <c r="C688" s="459"/>
      <c r="D688" s="459"/>
      <c r="E688" s="459"/>
      <c r="F688" s="459"/>
      <c r="G688" s="459"/>
      <c r="H688" s="459"/>
      <c r="I688" s="459"/>
      <c r="J688" s="459"/>
      <c r="K688" s="459"/>
      <c r="L688" s="416"/>
      <c r="M688" s="459"/>
      <c r="N688" s="459"/>
    </row>
    <row r="689" spans="1:14">
      <c r="A689" s="459"/>
      <c r="B689" s="459"/>
      <c r="C689" s="459"/>
      <c r="D689" s="459"/>
      <c r="E689" s="459"/>
      <c r="F689" s="459"/>
      <c r="G689" s="459"/>
      <c r="H689" s="459"/>
      <c r="I689" s="459"/>
      <c r="J689" s="459"/>
      <c r="K689" s="459"/>
      <c r="L689" s="416"/>
      <c r="M689" s="459"/>
      <c r="N689" s="459"/>
    </row>
    <row r="690" spans="1:14">
      <c r="A690" s="459"/>
      <c r="B690" s="459"/>
      <c r="C690" s="459"/>
      <c r="D690" s="459"/>
      <c r="E690" s="459"/>
      <c r="F690" s="459"/>
      <c r="G690" s="459"/>
      <c r="H690" s="459"/>
      <c r="I690" s="459"/>
      <c r="J690" s="459"/>
      <c r="K690" s="459"/>
      <c r="L690" s="416"/>
      <c r="M690" s="459"/>
      <c r="N690" s="459"/>
    </row>
    <row r="691" spans="1:14">
      <c r="A691" s="459"/>
      <c r="B691" s="459"/>
      <c r="C691" s="459"/>
      <c r="D691" s="459"/>
      <c r="E691" s="459"/>
      <c r="F691" s="459"/>
      <c r="G691" s="459"/>
      <c r="H691" s="459"/>
      <c r="I691" s="459"/>
      <c r="J691" s="459"/>
      <c r="K691" s="459"/>
      <c r="L691" s="416"/>
      <c r="M691" s="459"/>
      <c r="N691" s="459"/>
    </row>
    <row r="692" spans="1:14">
      <c r="A692" s="459"/>
      <c r="B692" s="459"/>
      <c r="C692" s="459"/>
      <c r="D692" s="459"/>
      <c r="E692" s="459"/>
      <c r="F692" s="459"/>
      <c r="G692" s="459"/>
      <c r="H692" s="459"/>
      <c r="I692" s="459"/>
      <c r="J692" s="459"/>
      <c r="K692" s="459"/>
      <c r="L692" s="416"/>
      <c r="M692" s="459"/>
      <c r="N692" s="459"/>
    </row>
    <row r="693" spans="1:14">
      <c r="A693" s="459"/>
      <c r="B693" s="459"/>
      <c r="C693" s="459"/>
      <c r="D693" s="459"/>
      <c r="E693" s="459"/>
      <c r="F693" s="459"/>
      <c r="G693" s="459"/>
      <c r="H693" s="459"/>
      <c r="I693" s="459"/>
      <c r="J693" s="459"/>
      <c r="K693" s="459"/>
      <c r="L693" s="416"/>
      <c r="M693" s="459"/>
      <c r="N693" s="459"/>
    </row>
    <row r="694" spans="1:14">
      <c r="A694" s="459"/>
      <c r="B694" s="459"/>
      <c r="C694" s="459"/>
      <c r="D694" s="459"/>
      <c r="E694" s="459"/>
      <c r="F694" s="459"/>
      <c r="G694" s="459"/>
      <c r="H694" s="459"/>
      <c r="I694" s="459"/>
      <c r="J694" s="459"/>
      <c r="K694" s="459"/>
      <c r="L694" s="416"/>
      <c r="M694" s="459"/>
      <c r="N694" s="459"/>
    </row>
    <row r="695" spans="1:14">
      <c r="A695" s="459"/>
      <c r="B695" s="459"/>
      <c r="C695" s="459"/>
      <c r="D695" s="459"/>
      <c r="E695" s="459"/>
      <c r="F695" s="459"/>
      <c r="G695" s="459"/>
      <c r="H695" s="459"/>
      <c r="I695" s="459"/>
      <c r="J695" s="459"/>
      <c r="K695" s="459"/>
      <c r="L695" s="416"/>
      <c r="M695" s="459"/>
      <c r="N695" s="459"/>
    </row>
    <row r="696" spans="1:14">
      <c r="A696" s="459"/>
      <c r="B696" s="459"/>
      <c r="C696" s="459"/>
      <c r="D696" s="459"/>
      <c r="E696" s="459"/>
      <c r="F696" s="459"/>
      <c r="G696" s="459"/>
      <c r="H696" s="459"/>
      <c r="I696" s="459"/>
      <c r="J696" s="459"/>
      <c r="K696" s="459"/>
      <c r="L696" s="416"/>
      <c r="M696" s="459"/>
      <c r="N696" s="459"/>
    </row>
    <row r="697" spans="1:14">
      <c r="A697" s="459"/>
      <c r="B697" s="459"/>
      <c r="C697" s="459"/>
      <c r="D697" s="459"/>
      <c r="E697" s="459"/>
      <c r="F697" s="459"/>
      <c r="G697" s="459"/>
      <c r="H697" s="459"/>
      <c r="I697" s="459"/>
      <c r="J697" s="459"/>
      <c r="K697" s="459"/>
      <c r="L697" s="416"/>
      <c r="M697" s="459"/>
      <c r="N697" s="459"/>
    </row>
    <row r="698" spans="1:14">
      <c r="A698" s="459"/>
      <c r="B698" s="459"/>
      <c r="C698" s="459"/>
      <c r="D698" s="459"/>
      <c r="E698" s="459"/>
      <c r="F698" s="459"/>
      <c r="G698" s="459"/>
      <c r="H698" s="459"/>
      <c r="I698" s="459"/>
      <c r="J698" s="459"/>
      <c r="K698" s="459"/>
      <c r="L698" s="416"/>
      <c r="M698" s="459"/>
      <c r="N698" s="459"/>
    </row>
    <row r="699" spans="1:14">
      <c r="A699" s="459"/>
      <c r="B699" s="459"/>
      <c r="C699" s="459"/>
      <c r="D699" s="459"/>
      <c r="E699" s="459"/>
      <c r="F699" s="459"/>
      <c r="G699" s="459"/>
      <c r="H699" s="459"/>
      <c r="I699" s="459"/>
      <c r="J699" s="459"/>
      <c r="K699" s="459"/>
      <c r="L699" s="416"/>
      <c r="M699" s="459"/>
      <c r="N699" s="459"/>
    </row>
    <row r="700" spans="1:14">
      <c r="A700" s="459"/>
      <c r="B700" s="459"/>
      <c r="C700" s="459"/>
      <c r="D700" s="459"/>
      <c r="E700" s="459"/>
      <c r="F700" s="459"/>
      <c r="G700" s="459"/>
      <c r="H700" s="459"/>
      <c r="I700" s="459"/>
      <c r="J700" s="459"/>
      <c r="K700" s="459"/>
      <c r="L700" s="416"/>
      <c r="M700" s="459"/>
      <c r="N700" s="459"/>
    </row>
    <row r="701" spans="1:14">
      <c r="A701" s="459"/>
      <c r="B701" s="459"/>
      <c r="C701" s="459"/>
      <c r="D701" s="459"/>
      <c r="E701" s="459"/>
      <c r="F701" s="459"/>
      <c r="G701" s="459"/>
      <c r="H701" s="459"/>
      <c r="I701" s="459"/>
      <c r="J701" s="459"/>
      <c r="K701" s="459"/>
      <c r="L701" s="416"/>
      <c r="M701" s="459"/>
      <c r="N701" s="459"/>
    </row>
    <row r="702" spans="1:14">
      <c r="A702" s="459"/>
      <c r="B702" s="459"/>
      <c r="C702" s="459"/>
      <c r="D702" s="459"/>
      <c r="E702" s="459"/>
      <c r="F702" s="459"/>
      <c r="G702" s="459"/>
      <c r="H702" s="459"/>
      <c r="I702" s="459"/>
      <c r="J702" s="459"/>
      <c r="K702" s="459"/>
      <c r="L702" s="416"/>
      <c r="M702" s="459"/>
      <c r="N702" s="459"/>
    </row>
    <row r="703" spans="1:14">
      <c r="A703" s="459"/>
      <c r="B703" s="459"/>
      <c r="C703" s="459"/>
      <c r="D703" s="459"/>
      <c r="E703" s="459"/>
      <c r="F703" s="459"/>
      <c r="G703" s="459"/>
      <c r="H703" s="459"/>
      <c r="I703" s="459"/>
      <c r="J703" s="459"/>
      <c r="K703" s="459"/>
      <c r="L703" s="416"/>
      <c r="M703" s="459"/>
      <c r="N703" s="459"/>
    </row>
    <row r="704" spans="1:14">
      <c r="A704" s="459"/>
      <c r="B704" s="459"/>
      <c r="C704" s="459"/>
      <c r="D704" s="459"/>
      <c r="E704" s="459"/>
      <c r="F704" s="459"/>
      <c r="G704" s="459"/>
      <c r="H704" s="459"/>
      <c r="I704" s="459"/>
      <c r="J704" s="459"/>
      <c r="K704" s="459"/>
      <c r="L704" s="416"/>
      <c r="M704" s="459"/>
      <c r="N704" s="459"/>
    </row>
    <row r="705" spans="1:14">
      <c r="A705" s="459"/>
      <c r="B705" s="459"/>
      <c r="C705" s="459"/>
      <c r="D705" s="459"/>
      <c r="E705" s="459"/>
      <c r="F705" s="459"/>
      <c r="G705" s="459"/>
      <c r="H705" s="459"/>
      <c r="I705" s="459"/>
      <c r="J705" s="459"/>
      <c r="K705" s="459"/>
      <c r="L705" s="416"/>
      <c r="M705" s="459"/>
      <c r="N705" s="459"/>
    </row>
    <row r="706" spans="1:14">
      <c r="A706" s="459"/>
      <c r="B706" s="459"/>
      <c r="C706" s="459"/>
      <c r="D706" s="459"/>
      <c r="E706" s="459"/>
      <c r="F706" s="459"/>
      <c r="G706" s="459"/>
      <c r="H706" s="459"/>
      <c r="I706" s="459"/>
      <c r="J706" s="459"/>
      <c r="K706" s="459"/>
      <c r="L706" s="416"/>
      <c r="M706" s="459"/>
      <c r="N706" s="459"/>
    </row>
    <row r="707" spans="1:14">
      <c r="A707" s="459"/>
      <c r="B707" s="459"/>
      <c r="C707" s="459"/>
      <c r="D707" s="459"/>
      <c r="E707" s="459"/>
      <c r="F707" s="459"/>
      <c r="G707" s="459"/>
      <c r="H707" s="459"/>
      <c r="I707" s="459"/>
      <c r="J707" s="459"/>
      <c r="K707" s="459"/>
      <c r="L707" s="416"/>
      <c r="M707" s="459"/>
      <c r="N707" s="459"/>
    </row>
    <row r="708" spans="1:14">
      <c r="A708" s="459"/>
      <c r="B708" s="459"/>
      <c r="C708" s="459"/>
      <c r="D708" s="459"/>
      <c r="E708" s="459"/>
      <c r="F708" s="459"/>
      <c r="G708" s="459"/>
      <c r="H708" s="459"/>
      <c r="I708" s="459"/>
      <c r="J708" s="459"/>
      <c r="K708" s="459"/>
      <c r="L708" s="416"/>
      <c r="M708" s="459"/>
      <c r="N708" s="459"/>
    </row>
    <row r="709" spans="1:14">
      <c r="A709" s="459"/>
      <c r="B709" s="459"/>
      <c r="C709" s="459"/>
      <c r="D709" s="459"/>
      <c r="E709" s="459"/>
      <c r="F709" s="459"/>
      <c r="G709" s="459"/>
      <c r="H709" s="459"/>
      <c r="I709" s="459"/>
      <c r="J709" s="459"/>
      <c r="K709" s="459"/>
      <c r="L709" s="416"/>
      <c r="M709" s="459"/>
      <c r="N709" s="459"/>
    </row>
    <row r="710" spans="1:14">
      <c r="A710" s="459"/>
      <c r="B710" s="459"/>
      <c r="C710" s="459"/>
      <c r="D710" s="459"/>
      <c r="E710" s="459"/>
      <c r="F710" s="459"/>
      <c r="G710" s="459"/>
      <c r="H710" s="459"/>
      <c r="I710" s="459"/>
      <c r="J710" s="459"/>
      <c r="K710" s="459"/>
      <c r="L710" s="416"/>
      <c r="M710" s="459"/>
      <c r="N710" s="459"/>
    </row>
    <row r="711" spans="1:14">
      <c r="A711" s="459"/>
      <c r="B711" s="459"/>
      <c r="C711" s="459"/>
      <c r="D711" s="459"/>
      <c r="E711" s="459"/>
      <c r="F711" s="459"/>
      <c r="G711" s="459"/>
      <c r="H711" s="459"/>
      <c r="I711" s="459"/>
      <c r="J711" s="459"/>
      <c r="K711" s="459"/>
      <c r="L711" s="416"/>
      <c r="M711" s="459"/>
      <c r="N711" s="459"/>
    </row>
    <row r="712" spans="1:14">
      <c r="A712" s="459"/>
      <c r="B712" s="459"/>
      <c r="C712" s="459"/>
      <c r="D712" s="459"/>
      <c r="E712" s="459"/>
      <c r="F712" s="459"/>
      <c r="G712" s="459"/>
      <c r="H712" s="459"/>
      <c r="I712" s="459"/>
      <c r="J712" s="459"/>
      <c r="K712" s="459"/>
      <c r="L712" s="416"/>
      <c r="M712" s="459"/>
      <c r="N712" s="459"/>
    </row>
    <row r="713" spans="1:14">
      <c r="A713" s="459"/>
      <c r="B713" s="459"/>
      <c r="C713" s="459"/>
      <c r="D713" s="459"/>
      <c r="E713" s="459"/>
      <c r="F713" s="459"/>
      <c r="G713" s="459"/>
      <c r="H713" s="459"/>
      <c r="I713" s="459"/>
      <c r="J713" s="459"/>
      <c r="K713" s="459"/>
      <c r="L713" s="416"/>
      <c r="M713" s="459"/>
      <c r="N713" s="459"/>
    </row>
    <row r="714" spans="1:14">
      <c r="A714" s="459"/>
      <c r="B714" s="459"/>
      <c r="C714" s="459"/>
      <c r="D714" s="459"/>
      <c r="E714" s="459"/>
      <c r="F714" s="459"/>
      <c r="G714" s="459"/>
      <c r="H714" s="459"/>
      <c r="I714" s="459"/>
      <c r="J714" s="459"/>
      <c r="K714" s="459"/>
      <c r="L714" s="416"/>
      <c r="M714" s="459"/>
      <c r="N714" s="459"/>
    </row>
    <row r="715" spans="1:14">
      <c r="A715" s="459"/>
      <c r="B715" s="459"/>
      <c r="C715" s="459"/>
      <c r="D715" s="459"/>
      <c r="E715" s="459"/>
      <c r="F715" s="459"/>
      <c r="G715" s="459"/>
      <c r="H715" s="459"/>
      <c r="I715" s="459"/>
      <c r="J715" s="459"/>
      <c r="K715" s="459"/>
      <c r="L715" s="416"/>
      <c r="M715" s="459"/>
      <c r="N715" s="459"/>
    </row>
    <row r="716" spans="1:14">
      <c r="A716" s="459"/>
      <c r="B716" s="459"/>
      <c r="C716" s="459"/>
      <c r="D716" s="459"/>
      <c r="E716" s="459"/>
      <c r="F716" s="459"/>
      <c r="G716" s="459"/>
      <c r="H716" s="459"/>
      <c r="I716" s="459"/>
      <c r="J716" s="459"/>
      <c r="K716" s="459"/>
      <c r="L716" s="416"/>
      <c r="M716" s="459"/>
      <c r="N716" s="459"/>
    </row>
    <row r="717" spans="1:14">
      <c r="A717" s="459"/>
      <c r="B717" s="459"/>
      <c r="C717" s="459"/>
      <c r="D717" s="459"/>
      <c r="E717" s="459"/>
      <c r="F717" s="459"/>
      <c r="G717" s="459"/>
      <c r="H717" s="459"/>
      <c r="I717" s="459"/>
      <c r="J717" s="459"/>
      <c r="K717" s="459"/>
      <c r="L717" s="416"/>
      <c r="M717" s="459"/>
      <c r="N717" s="459"/>
    </row>
    <row r="718" spans="1:14">
      <c r="A718" s="459"/>
      <c r="B718" s="459"/>
      <c r="C718" s="459"/>
      <c r="D718" s="459"/>
      <c r="E718" s="459"/>
      <c r="F718" s="459"/>
      <c r="G718" s="459"/>
      <c r="H718" s="459"/>
      <c r="I718" s="459"/>
      <c r="J718" s="459"/>
      <c r="K718" s="459"/>
      <c r="L718" s="416"/>
      <c r="M718" s="459"/>
      <c r="N718" s="459"/>
    </row>
    <row r="719" spans="1:14">
      <c r="A719" s="459"/>
      <c r="B719" s="459"/>
      <c r="C719" s="459"/>
      <c r="D719" s="459"/>
      <c r="E719" s="459"/>
      <c r="F719" s="459"/>
      <c r="G719" s="459"/>
      <c r="H719" s="459"/>
      <c r="I719" s="459"/>
      <c r="J719" s="459"/>
      <c r="K719" s="459"/>
      <c r="L719" s="416"/>
      <c r="M719" s="459"/>
      <c r="N719" s="459"/>
    </row>
    <row r="720" spans="1:14">
      <c r="A720" s="459"/>
      <c r="B720" s="459"/>
      <c r="C720" s="459"/>
      <c r="D720" s="459"/>
      <c r="E720" s="459"/>
      <c r="F720" s="459"/>
      <c r="G720" s="459"/>
      <c r="H720" s="459"/>
      <c r="I720" s="459"/>
      <c r="J720" s="459"/>
      <c r="K720" s="459"/>
      <c r="L720" s="416"/>
      <c r="M720" s="459"/>
      <c r="N720" s="459"/>
    </row>
    <row r="721" spans="1:14">
      <c r="A721" s="459"/>
      <c r="B721" s="459"/>
      <c r="C721" s="459"/>
      <c r="D721" s="459"/>
      <c r="E721" s="459"/>
      <c r="F721" s="459"/>
      <c r="G721" s="459"/>
      <c r="H721" s="459"/>
      <c r="I721" s="459"/>
      <c r="J721" s="459"/>
      <c r="K721" s="459"/>
      <c r="L721" s="416"/>
      <c r="M721" s="459"/>
      <c r="N721" s="459"/>
    </row>
    <row r="722" spans="1:14">
      <c r="A722" s="459"/>
      <c r="B722" s="459"/>
      <c r="C722" s="459"/>
      <c r="D722" s="459"/>
      <c r="E722" s="459"/>
      <c r="F722" s="459"/>
      <c r="G722" s="459"/>
      <c r="H722" s="459"/>
      <c r="I722" s="459"/>
      <c r="J722" s="459"/>
      <c r="K722" s="459"/>
      <c r="L722" s="416"/>
      <c r="M722" s="459"/>
      <c r="N722" s="459"/>
    </row>
    <row r="723" spans="1:14">
      <c r="A723" s="459"/>
      <c r="B723" s="459"/>
      <c r="C723" s="459"/>
      <c r="D723" s="459"/>
      <c r="E723" s="459"/>
      <c r="F723" s="459"/>
      <c r="G723" s="459"/>
      <c r="H723" s="459"/>
      <c r="I723" s="459"/>
      <c r="J723" s="459"/>
      <c r="K723" s="459"/>
      <c r="L723" s="416"/>
      <c r="M723" s="459"/>
      <c r="N723" s="459"/>
    </row>
    <row r="724" spans="1:14">
      <c r="A724" s="459"/>
      <c r="B724" s="459"/>
      <c r="C724" s="459"/>
      <c r="D724" s="459"/>
      <c r="E724" s="459"/>
      <c r="F724" s="459"/>
      <c r="G724" s="459"/>
      <c r="H724" s="459"/>
      <c r="I724" s="459"/>
      <c r="J724" s="459"/>
      <c r="K724" s="459"/>
      <c r="L724" s="416"/>
      <c r="M724" s="459"/>
      <c r="N724" s="459"/>
    </row>
    <row r="725" spans="1:14">
      <c r="A725" s="459"/>
      <c r="B725" s="459"/>
      <c r="C725" s="459"/>
      <c r="D725" s="459"/>
      <c r="E725" s="459"/>
      <c r="F725" s="459"/>
      <c r="G725" s="459"/>
      <c r="H725" s="459"/>
      <c r="I725" s="459"/>
      <c r="J725" s="459"/>
      <c r="K725" s="459"/>
      <c r="L725" s="416"/>
      <c r="M725" s="459"/>
      <c r="N725" s="459"/>
    </row>
    <row r="726" spans="1:14">
      <c r="A726" s="459"/>
      <c r="B726" s="459"/>
      <c r="C726" s="459"/>
      <c r="D726" s="459"/>
      <c r="E726" s="459"/>
      <c r="F726" s="459"/>
      <c r="G726" s="459"/>
      <c r="H726" s="459"/>
      <c r="I726" s="459"/>
      <c r="J726" s="459"/>
      <c r="K726" s="459"/>
      <c r="L726" s="416"/>
      <c r="M726" s="459"/>
      <c r="N726" s="459"/>
    </row>
    <row r="727" spans="1:14">
      <c r="A727" s="459"/>
      <c r="B727" s="459"/>
      <c r="C727" s="459"/>
      <c r="D727" s="459"/>
      <c r="E727" s="459"/>
      <c r="F727" s="459"/>
      <c r="G727" s="459"/>
      <c r="H727" s="459"/>
      <c r="I727" s="459"/>
      <c r="J727" s="459"/>
      <c r="K727" s="459"/>
      <c r="L727" s="416"/>
      <c r="M727" s="459"/>
      <c r="N727" s="459"/>
    </row>
    <row r="728" spans="1:14">
      <c r="A728" s="459"/>
      <c r="B728" s="459"/>
      <c r="C728" s="459"/>
      <c r="D728" s="459"/>
      <c r="E728" s="459"/>
      <c r="F728" s="459"/>
      <c r="G728" s="459"/>
      <c r="H728" s="459"/>
      <c r="I728" s="459"/>
      <c r="J728" s="459"/>
      <c r="K728" s="459"/>
      <c r="L728" s="416"/>
      <c r="M728" s="459"/>
      <c r="N728" s="459"/>
    </row>
    <row r="729" spans="1:14">
      <c r="A729" s="459"/>
      <c r="B729" s="459"/>
      <c r="C729" s="459"/>
      <c r="D729" s="459"/>
      <c r="E729" s="459"/>
      <c r="F729" s="459"/>
      <c r="G729" s="459"/>
      <c r="H729" s="459"/>
      <c r="I729" s="459"/>
      <c r="J729" s="459"/>
      <c r="K729" s="459"/>
      <c r="L729" s="416"/>
      <c r="M729" s="459"/>
      <c r="N729" s="459"/>
    </row>
    <row r="730" spans="1:14">
      <c r="A730" s="459"/>
      <c r="B730" s="459"/>
      <c r="C730" s="459"/>
      <c r="D730" s="459"/>
      <c r="E730" s="459"/>
      <c r="F730" s="459"/>
      <c r="G730" s="459"/>
      <c r="H730" s="459"/>
      <c r="I730" s="459"/>
      <c r="J730" s="459"/>
      <c r="K730" s="459"/>
      <c r="L730" s="416"/>
      <c r="M730" s="459"/>
      <c r="N730" s="459"/>
    </row>
    <row r="731" spans="1:14">
      <c r="A731" s="459"/>
      <c r="B731" s="459"/>
      <c r="C731" s="459"/>
      <c r="D731" s="459"/>
      <c r="E731" s="459"/>
      <c r="F731" s="459"/>
      <c r="G731" s="459"/>
      <c r="H731" s="459"/>
      <c r="I731" s="459"/>
      <c r="J731" s="459"/>
      <c r="K731" s="459"/>
      <c r="L731" s="416"/>
      <c r="M731" s="459"/>
      <c r="N731" s="459"/>
    </row>
    <row r="732" spans="1:14">
      <c r="A732" s="459"/>
      <c r="B732" s="459"/>
      <c r="C732" s="459"/>
      <c r="D732" s="459"/>
      <c r="E732" s="459"/>
      <c r="F732" s="459"/>
      <c r="G732" s="459"/>
      <c r="H732" s="459"/>
      <c r="I732" s="459"/>
      <c r="J732" s="459"/>
      <c r="K732" s="459"/>
      <c r="L732" s="416"/>
      <c r="M732" s="459"/>
      <c r="N732" s="459"/>
    </row>
    <row r="733" spans="1:14">
      <c r="A733" s="459"/>
      <c r="B733" s="459"/>
      <c r="C733" s="459"/>
      <c r="D733" s="459"/>
      <c r="E733" s="459"/>
      <c r="F733" s="459"/>
      <c r="G733" s="459"/>
      <c r="H733" s="459"/>
      <c r="I733" s="459"/>
      <c r="J733" s="459"/>
      <c r="K733" s="459"/>
      <c r="L733" s="416"/>
      <c r="M733" s="459"/>
      <c r="N733" s="459"/>
    </row>
    <row r="734" spans="1:14">
      <c r="A734" s="459"/>
      <c r="B734" s="459"/>
      <c r="C734" s="459"/>
      <c r="D734" s="459"/>
      <c r="E734" s="459"/>
      <c r="F734" s="459"/>
      <c r="G734" s="459"/>
      <c r="H734" s="459"/>
      <c r="I734" s="459"/>
      <c r="J734" s="459"/>
      <c r="K734" s="459"/>
      <c r="L734" s="416"/>
      <c r="M734" s="459"/>
      <c r="N734" s="459"/>
    </row>
    <row r="735" spans="1:14">
      <c r="A735" s="459"/>
      <c r="B735" s="459"/>
      <c r="C735" s="459"/>
      <c r="D735" s="459"/>
      <c r="E735" s="459"/>
      <c r="F735" s="459"/>
      <c r="G735" s="459"/>
      <c r="H735" s="459"/>
      <c r="I735" s="459"/>
      <c r="J735" s="459"/>
      <c r="K735" s="459"/>
      <c r="L735" s="416"/>
      <c r="M735" s="459"/>
      <c r="N735" s="459"/>
    </row>
    <row r="736" spans="1:14">
      <c r="A736" s="459"/>
      <c r="B736" s="459"/>
      <c r="C736" s="459"/>
      <c r="D736" s="459"/>
      <c r="E736" s="459"/>
      <c r="F736" s="459"/>
      <c r="G736" s="459"/>
      <c r="H736" s="459"/>
      <c r="I736" s="459"/>
      <c r="J736" s="459"/>
      <c r="K736" s="459"/>
      <c r="L736" s="416"/>
      <c r="M736" s="459"/>
      <c r="N736" s="459"/>
    </row>
    <row r="737" spans="1:14">
      <c r="A737" s="459"/>
      <c r="B737" s="459"/>
      <c r="C737" s="459"/>
      <c r="D737" s="459"/>
      <c r="E737" s="459"/>
      <c r="F737" s="459"/>
      <c r="G737" s="459"/>
      <c r="H737" s="459"/>
      <c r="I737" s="459"/>
      <c r="J737" s="459"/>
      <c r="K737" s="459"/>
      <c r="L737" s="416"/>
      <c r="M737" s="459"/>
      <c r="N737" s="459"/>
    </row>
    <row r="738" spans="1:14">
      <c r="A738" s="459"/>
      <c r="B738" s="459"/>
      <c r="C738" s="459"/>
      <c r="D738" s="459"/>
      <c r="E738" s="459"/>
      <c r="F738" s="459"/>
      <c r="G738" s="459"/>
      <c r="H738" s="459"/>
      <c r="I738" s="459"/>
      <c r="J738" s="459"/>
      <c r="K738" s="459"/>
      <c r="L738" s="416"/>
      <c r="M738" s="459"/>
      <c r="N738" s="459"/>
    </row>
    <row r="739" spans="1:14">
      <c r="A739" s="459"/>
      <c r="B739" s="459"/>
      <c r="C739" s="459"/>
      <c r="D739" s="459"/>
      <c r="E739" s="459"/>
      <c r="F739" s="459"/>
      <c r="G739" s="459"/>
      <c r="H739" s="459"/>
      <c r="I739" s="459"/>
      <c r="J739" s="459"/>
      <c r="K739" s="459"/>
      <c r="L739" s="416"/>
      <c r="M739" s="459"/>
      <c r="N739" s="459"/>
    </row>
    <row r="740" spans="1:14">
      <c r="A740" s="459"/>
      <c r="B740" s="459"/>
      <c r="C740" s="459"/>
      <c r="D740" s="459"/>
      <c r="E740" s="459"/>
      <c r="F740" s="459"/>
      <c r="G740" s="459"/>
      <c r="H740" s="459"/>
      <c r="I740" s="459"/>
      <c r="J740" s="459"/>
      <c r="K740" s="459"/>
      <c r="L740" s="416"/>
      <c r="M740" s="459"/>
      <c r="N740" s="459"/>
    </row>
    <row r="741" spans="1:14">
      <c r="A741" s="459"/>
      <c r="B741" s="459"/>
      <c r="C741" s="459"/>
      <c r="D741" s="459"/>
      <c r="E741" s="459"/>
      <c r="F741" s="459"/>
      <c r="G741" s="459"/>
      <c r="H741" s="459"/>
      <c r="I741" s="459"/>
      <c r="J741" s="459"/>
      <c r="K741" s="459"/>
      <c r="L741" s="416"/>
      <c r="M741" s="459"/>
      <c r="N741" s="459"/>
    </row>
    <row r="742" spans="1:14">
      <c r="A742" s="459"/>
      <c r="B742" s="459"/>
      <c r="C742" s="459"/>
      <c r="D742" s="459"/>
      <c r="E742" s="459"/>
      <c r="F742" s="459"/>
      <c r="G742" s="459"/>
      <c r="H742" s="459"/>
      <c r="I742" s="459"/>
      <c r="J742" s="459"/>
      <c r="K742" s="459"/>
      <c r="L742" s="416"/>
      <c r="M742" s="459"/>
      <c r="N742" s="459"/>
    </row>
    <row r="743" spans="1:14">
      <c r="A743" s="459"/>
      <c r="B743" s="459"/>
      <c r="C743" s="459"/>
      <c r="D743" s="459"/>
      <c r="E743" s="459"/>
      <c r="F743" s="459"/>
      <c r="G743" s="459"/>
      <c r="H743" s="459"/>
      <c r="I743" s="459"/>
      <c r="J743" s="459"/>
      <c r="K743" s="459"/>
      <c r="L743" s="416"/>
      <c r="M743" s="459"/>
      <c r="N743" s="459"/>
    </row>
    <row r="744" spans="1:14">
      <c r="A744" s="459"/>
      <c r="B744" s="459"/>
      <c r="C744" s="459"/>
      <c r="D744" s="459"/>
      <c r="E744" s="459"/>
      <c r="F744" s="459"/>
      <c r="G744" s="459"/>
      <c r="H744" s="459"/>
      <c r="I744" s="459"/>
      <c r="J744" s="459"/>
      <c r="K744" s="459"/>
      <c r="L744" s="416"/>
      <c r="M744" s="459"/>
      <c r="N744" s="459"/>
    </row>
    <row r="745" spans="1:14">
      <c r="A745" s="459"/>
      <c r="B745" s="459"/>
      <c r="C745" s="459"/>
      <c r="D745" s="459"/>
      <c r="E745" s="459"/>
      <c r="F745" s="459"/>
      <c r="G745" s="459"/>
      <c r="H745" s="459"/>
      <c r="I745" s="459"/>
      <c r="J745" s="459"/>
      <c r="K745" s="459"/>
      <c r="L745" s="416"/>
      <c r="M745" s="459"/>
      <c r="N745" s="459"/>
    </row>
    <row r="746" spans="1:14">
      <c r="A746" s="459"/>
      <c r="B746" s="459"/>
      <c r="C746" s="459"/>
      <c r="D746" s="459"/>
      <c r="E746" s="459"/>
      <c r="F746" s="459"/>
      <c r="G746" s="459"/>
      <c r="H746" s="459"/>
      <c r="I746" s="459"/>
      <c r="J746" s="459"/>
      <c r="K746" s="459"/>
      <c r="L746" s="416"/>
      <c r="M746" s="459"/>
      <c r="N746" s="459"/>
    </row>
    <row r="747" spans="1:14">
      <c r="A747" s="459"/>
      <c r="B747" s="459"/>
      <c r="C747" s="459"/>
      <c r="D747" s="459"/>
      <c r="E747" s="459"/>
      <c r="F747" s="459"/>
      <c r="G747" s="459"/>
      <c r="H747" s="459"/>
      <c r="I747" s="459"/>
      <c r="J747" s="459"/>
      <c r="K747" s="459"/>
      <c r="L747" s="416"/>
      <c r="M747" s="459"/>
      <c r="N747" s="459"/>
    </row>
    <row r="748" spans="1:14">
      <c r="A748" s="459"/>
      <c r="B748" s="459"/>
      <c r="C748" s="459"/>
      <c r="D748" s="459"/>
      <c r="E748" s="459"/>
      <c r="F748" s="459"/>
      <c r="G748" s="459"/>
      <c r="H748" s="459"/>
      <c r="I748" s="459"/>
      <c r="J748" s="459"/>
      <c r="K748" s="459"/>
      <c r="L748" s="416"/>
      <c r="M748" s="459"/>
      <c r="N748" s="459"/>
    </row>
    <row r="749" spans="1:14">
      <c r="A749" s="459"/>
      <c r="B749" s="459"/>
      <c r="C749" s="459"/>
      <c r="D749" s="459"/>
      <c r="E749" s="459"/>
      <c r="F749" s="459"/>
      <c r="G749" s="459"/>
      <c r="H749" s="459"/>
      <c r="I749" s="459"/>
      <c r="J749" s="459"/>
      <c r="K749" s="459"/>
      <c r="L749" s="416"/>
      <c r="M749" s="459"/>
      <c r="N749" s="459"/>
    </row>
    <row r="750" spans="1:14">
      <c r="A750" s="459"/>
      <c r="B750" s="459"/>
      <c r="C750" s="459"/>
      <c r="D750" s="459"/>
      <c r="E750" s="459"/>
      <c r="F750" s="459"/>
      <c r="G750" s="459"/>
      <c r="H750" s="459"/>
      <c r="I750" s="459"/>
      <c r="J750" s="459"/>
      <c r="K750" s="459"/>
      <c r="L750" s="416"/>
      <c r="M750" s="459"/>
      <c r="N750" s="459"/>
    </row>
    <row r="751" spans="1:14">
      <c r="A751" s="459"/>
      <c r="B751" s="459"/>
      <c r="C751" s="459"/>
      <c r="D751" s="459"/>
      <c r="E751" s="459"/>
      <c r="F751" s="459"/>
      <c r="G751" s="459"/>
      <c r="H751" s="459"/>
      <c r="I751" s="459"/>
      <c r="J751" s="459"/>
      <c r="K751" s="459"/>
      <c r="L751" s="416"/>
      <c r="M751" s="459"/>
      <c r="N751" s="459"/>
    </row>
    <row r="752" spans="1:14">
      <c r="A752" s="459"/>
      <c r="B752" s="459"/>
      <c r="C752" s="459"/>
      <c r="D752" s="459"/>
      <c r="E752" s="459"/>
      <c r="F752" s="459"/>
      <c r="G752" s="459"/>
      <c r="H752" s="459"/>
      <c r="I752" s="459"/>
      <c r="J752" s="459"/>
      <c r="K752" s="459"/>
      <c r="L752" s="416"/>
      <c r="M752" s="459"/>
      <c r="N752" s="459"/>
    </row>
    <row r="753" spans="1:14">
      <c r="A753" s="459"/>
      <c r="B753" s="459"/>
      <c r="C753" s="459"/>
      <c r="D753" s="459"/>
      <c r="E753" s="459"/>
      <c r="F753" s="459"/>
      <c r="G753" s="459"/>
      <c r="H753" s="459"/>
      <c r="I753" s="459"/>
      <c r="J753" s="459"/>
      <c r="K753" s="459"/>
      <c r="L753" s="416"/>
      <c r="M753" s="459"/>
      <c r="N753" s="459"/>
    </row>
    <row r="754" spans="1:14">
      <c r="A754" s="459"/>
      <c r="B754" s="459"/>
      <c r="C754" s="459"/>
      <c r="D754" s="459"/>
      <c r="E754" s="459"/>
      <c r="F754" s="459"/>
      <c r="G754" s="459"/>
      <c r="H754" s="459"/>
      <c r="I754" s="459"/>
      <c r="J754" s="459"/>
      <c r="K754" s="459"/>
      <c r="L754" s="416"/>
      <c r="M754" s="459"/>
      <c r="N754" s="459"/>
    </row>
    <row r="755" spans="1:14">
      <c r="A755" s="459"/>
      <c r="B755" s="459"/>
      <c r="C755" s="459"/>
      <c r="D755" s="459"/>
      <c r="E755" s="459"/>
      <c r="F755" s="459"/>
      <c r="G755" s="459"/>
      <c r="H755" s="459"/>
      <c r="I755" s="459"/>
      <c r="J755" s="459"/>
      <c r="K755" s="459"/>
      <c r="L755" s="416"/>
      <c r="M755" s="459"/>
      <c r="N755" s="459"/>
    </row>
    <row r="756" spans="1:14">
      <c r="A756" s="459"/>
      <c r="B756" s="459"/>
      <c r="C756" s="459"/>
      <c r="D756" s="459"/>
      <c r="E756" s="459"/>
      <c r="F756" s="459"/>
      <c r="G756" s="459"/>
      <c r="H756" s="459"/>
      <c r="I756" s="459"/>
      <c r="J756" s="459"/>
      <c r="K756" s="459"/>
      <c r="L756" s="416"/>
      <c r="M756" s="459"/>
      <c r="N756" s="459"/>
    </row>
    <row r="757" spans="1:14">
      <c r="A757" s="459"/>
      <c r="B757" s="459"/>
      <c r="C757" s="459"/>
      <c r="D757" s="459"/>
      <c r="E757" s="459"/>
      <c r="F757" s="459"/>
      <c r="G757" s="459"/>
      <c r="H757" s="459"/>
      <c r="I757" s="459"/>
      <c r="J757" s="459"/>
      <c r="K757" s="459"/>
      <c r="L757" s="416"/>
      <c r="M757" s="459"/>
      <c r="N757" s="459"/>
    </row>
    <row r="758" spans="1:14">
      <c r="A758" s="459"/>
      <c r="B758" s="459"/>
      <c r="C758" s="459"/>
      <c r="D758" s="459"/>
      <c r="E758" s="459"/>
      <c r="F758" s="459"/>
      <c r="G758" s="459"/>
      <c r="H758" s="459"/>
      <c r="I758" s="459"/>
      <c r="J758" s="459"/>
      <c r="K758" s="459"/>
      <c r="L758" s="416"/>
      <c r="M758" s="459"/>
      <c r="N758" s="459"/>
    </row>
    <row r="759" spans="1:14">
      <c r="A759" s="459"/>
      <c r="B759" s="459"/>
      <c r="C759" s="459"/>
      <c r="D759" s="459"/>
      <c r="E759" s="459"/>
      <c r="F759" s="459"/>
      <c r="G759" s="459"/>
      <c r="H759" s="459"/>
      <c r="I759" s="459"/>
      <c r="J759" s="459"/>
      <c r="K759" s="459"/>
      <c r="L759" s="416"/>
      <c r="M759" s="459"/>
      <c r="N759" s="459"/>
    </row>
    <row r="760" spans="1:14">
      <c r="A760" s="459"/>
      <c r="B760" s="459"/>
      <c r="C760" s="459"/>
      <c r="D760" s="459"/>
      <c r="E760" s="459"/>
      <c r="F760" s="459"/>
      <c r="G760" s="459"/>
      <c r="H760" s="459"/>
      <c r="I760" s="459"/>
      <c r="J760" s="459"/>
      <c r="K760" s="459"/>
      <c r="L760" s="416"/>
      <c r="M760" s="459"/>
      <c r="N760" s="459"/>
    </row>
    <row r="761" spans="1:14">
      <c r="A761" s="459"/>
      <c r="B761" s="459"/>
      <c r="C761" s="459"/>
      <c r="D761" s="459"/>
      <c r="E761" s="459"/>
      <c r="F761" s="459"/>
      <c r="G761" s="459"/>
      <c r="H761" s="459"/>
      <c r="I761" s="459"/>
      <c r="J761" s="459"/>
      <c r="K761" s="459"/>
      <c r="L761" s="416"/>
      <c r="M761" s="459"/>
      <c r="N761" s="459"/>
    </row>
    <row r="762" spans="1:14">
      <c r="A762" s="459"/>
      <c r="B762" s="459"/>
      <c r="C762" s="459"/>
      <c r="D762" s="459"/>
      <c r="E762" s="459"/>
      <c r="F762" s="459"/>
      <c r="G762" s="459"/>
      <c r="H762" s="459"/>
      <c r="I762" s="459"/>
      <c r="J762" s="459"/>
      <c r="K762" s="459"/>
      <c r="L762" s="416"/>
      <c r="M762" s="459"/>
      <c r="N762" s="459"/>
    </row>
    <row r="763" spans="1:14">
      <c r="A763" s="459"/>
      <c r="B763" s="459"/>
      <c r="C763" s="459"/>
      <c r="D763" s="459"/>
      <c r="E763" s="459"/>
      <c r="F763" s="459"/>
      <c r="G763" s="459"/>
      <c r="H763" s="459"/>
      <c r="I763" s="459"/>
      <c r="J763" s="459"/>
      <c r="K763" s="459"/>
      <c r="L763" s="416"/>
      <c r="M763" s="459"/>
      <c r="N763" s="459"/>
    </row>
    <row r="764" spans="1:14">
      <c r="A764" s="459"/>
      <c r="B764" s="459"/>
      <c r="C764" s="459"/>
      <c r="D764" s="459"/>
      <c r="E764" s="459"/>
      <c r="F764" s="459"/>
      <c r="G764" s="459"/>
      <c r="H764" s="459"/>
      <c r="I764" s="459"/>
      <c r="J764" s="459"/>
      <c r="K764" s="459"/>
      <c r="L764" s="416"/>
      <c r="M764" s="459"/>
      <c r="N764" s="459"/>
    </row>
    <row r="765" spans="1:14">
      <c r="A765" s="459"/>
      <c r="B765" s="459"/>
      <c r="C765" s="459"/>
      <c r="D765" s="459"/>
      <c r="E765" s="459"/>
      <c r="F765" s="459"/>
      <c r="G765" s="459"/>
      <c r="H765" s="459"/>
      <c r="I765" s="459"/>
      <c r="J765" s="459"/>
      <c r="K765" s="459"/>
      <c r="L765" s="416"/>
      <c r="M765" s="459"/>
      <c r="N765" s="459"/>
    </row>
    <row r="766" spans="1:14">
      <c r="A766" s="459"/>
      <c r="B766" s="459"/>
      <c r="C766" s="459"/>
      <c r="D766" s="459"/>
      <c r="E766" s="459"/>
      <c r="F766" s="459"/>
      <c r="G766" s="459"/>
      <c r="H766" s="459"/>
      <c r="I766" s="459"/>
      <c r="J766" s="459"/>
      <c r="K766" s="459"/>
      <c r="L766" s="416"/>
      <c r="M766" s="459"/>
      <c r="N766" s="459"/>
    </row>
    <row r="767" spans="1:14">
      <c r="A767" s="459"/>
      <c r="B767" s="459"/>
      <c r="C767" s="459"/>
      <c r="D767" s="459"/>
      <c r="E767" s="459"/>
      <c r="F767" s="459"/>
      <c r="G767" s="459"/>
      <c r="H767" s="459"/>
      <c r="I767" s="459"/>
      <c r="J767" s="459"/>
      <c r="K767" s="459"/>
      <c r="L767" s="416"/>
      <c r="M767" s="459"/>
      <c r="N767" s="459"/>
    </row>
    <row r="768" spans="1:14">
      <c r="A768" s="459"/>
      <c r="B768" s="459"/>
      <c r="C768" s="459"/>
      <c r="D768" s="459"/>
      <c r="E768" s="459"/>
      <c r="F768" s="459"/>
      <c r="G768" s="459"/>
      <c r="H768" s="459"/>
      <c r="I768" s="459"/>
      <c r="J768" s="459"/>
      <c r="K768" s="459"/>
      <c r="L768" s="416"/>
      <c r="M768" s="459"/>
      <c r="N768" s="459"/>
    </row>
    <row r="769" spans="1:14">
      <c r="A769" s="459"/>
      <c r="B769" s="459"/>
      <c r="C769" s="459"/>
      <c r="D769" s="459"/>
      <c r="E769" s="459"/>
      <c r="F769" s="459"/>
      <c r="G769" s="459"/>
      <c r="H769" s="459"/>
      <c r="I769" s="459"/>
      <c r="J769" s="459"/>
      <c r="K769" s="459"/>
      <c r="L769" s="416"/>
      <c r="M769" s="459"/>
      <c r="N769" s="459"/>
    </row>
    <row r="770" spans="1:14">
      <c r="A770" s="459"/>
      <c r="B770" s="459"/>
      <c r="C770" s="459"/>
      <c r="D770" s="459"/>
      <c r="E770" s="459"/>
      <c r="F770" s="459"/>
      <c r="G770" s="459"/>
      <c r="H770" s="459"/>
      <c r="I770" s="459"/>
      <c r="J770" s="459"/>
      <c r="K770" s="459"/>
      <c r="L770" s="416"/>
      <c r="M770" s="459"/>
      <c r="N770" s="459"/>
    </row>
    <row r="771" spans="1:14">
      <c r="A771" s="459"/>
      <c r="B771" s="459"/>
      <c r="C771" s="459"/>
      <c r="D771" s="459"/>
      <c r="E771" s="459"/>
      <c r="F771" s="459"/>
      <c r="G771" s="459"/>
      <c r="H771" s="459"/>
      <c r="I771" s="459"/>
      <c r="J771" s="459"/>
      <c r="K771" s="459"/>
      <c r="L771" s="416"/>
      <c r="M771" s="459"/>
      <c r="N771" s="459"/>
    </row>
    <row r="772" spans="1:14">
      <c r="A772" s="459"/>
      <c r="B772" s="459"/>
      <c r="C772" s="459"/>
      <c r="D772" s="459"/>
      <c r="E772" s="459"/>
      <c r="F772" s="459"/>
      <c r="G772" s="459"/>
      <c r="H772" s="459"/>
      <c r="I772" s="459"/>
      <c r="J772" s="459"/>
      <c r="K772" s="459"/>
      <c r="L772" s="416"/>
      <c r="M772" s="459"/>
      <c r="N772" s="459"/>
    </row>
    <row r="773" spans="1:14">
      <c r="A773" s="459"/>
      <c r="B773" s="459"/>
      <c r="C773" s="459"/>
      <c r="D773" s="459"/>
      <c r="E773" s="459"/>
      <c r="F773" s="459"/>
      <c r="G773" s="459"/>
      <c r="H773" s="459"/>
      <c r="I773" s="459"/>
      <c r="J773" s="459"/>
      <c r="K773" s="459"/>
      <c r="L773" s="416"/>
      <c r="M773" s="459"/>
      <c r="N773" s="459"/>
    </row>
    <row r="774" spans="1:14">
      <c r="A774" s="459"/>
      <c r="B774" s="459"/>
      <c r="C774" s="459"/>
      <c r="D774" s="459"/>
      <c r="E774" s="459"/>
      <c r="F774" s="459"/>
      <c r="G774" s="459"/>
      <c r="H774" s="459"/>
      <c r="I774" s="459"/>
      <c r="J774" s="459"/>
      <c r="K774" s="459"/>
      <c r="L774" s="416"/>
      <c r="M774" s="459"/>
      <c r="N774" s="459"/>
    </row>
    <row r="775" spans="1:14">
      <c r="A775" s="459"/>
      <c r="B775" s="459"/>
      <c r="C775" s="459"/>
      <c r="D775" s="459"/>
      <c r="E775" s="459"/>
      <c r="F775" s="459"/>
      <c r="G775" s="459"/>
      <c r="H775" s="459"/>
      <c r="I775" s="459"/>
      <c r="J775" s="459"/>
      <c r="K775" s="459"/>
      <c r="L775" s="416"/>
      <c r="M775" s="459"/>
      <c r="N775" s="459"/>
    </row>
    <row r="776" spans="1:14">
      <c r="A776" s="459"/>
      <c r="B776" s="459"/>
      <c r="C776" s="459"/>
      <c r="D776" s="459"/>
      <c r="E776" s="459"/>
      <c r="F776" s="459"/>
      <c r="G776" s="459"/>
      <c r="H776" s="459"/>
      <c r="I776" s="459"/>
      <c r="J776" s="459"/>
      <c r="K776" s="459"/>
      <c r="L776" s="416"/>
      <c r="M776" s="459"/>
      <c r="N776" s="459"/>
    </row>
    <row r="777" spans="1:14">
      <c r="A777" s="459"/>
      <c r="B777" s="459"/>
      <c r="C777" s="459"/>
      <c r="D777" s="459"/>
      <c r="E777" s="459"/>
      <c r="F777" s="459"/>
      <c r="G777" s="459"/>
      <c r="H777" s="459"/>
      <c r="I777" s="459"/>
      <c r="J777" s="459"/>
      <c r="K777" s="459"/>
      <c r="L777" s="416"/>
      <c r="M777" s="459"/>
      <c r="N777" s="459"/>
    </row>
    <row r="778" spans="1:14">
      <c r="A778" s="459"/>
      <c r="B778" s="459"/>
      <c r="C778" s="459"/>
      <c r="D778" s="459"/>
      <c r="E778" s="459"/>
      <c r="F778" s="459"/>
      <c r="G778" s="459"/>
      <c r="H778" s="459"/>
      <c r="I778" s="459"/>
      <c r="J778" s="459"/>
      <c r="K778" s="459"/>
      <c r="L778" s="416"/>
      <c r="M778" s="459"/>
      <c r="N778" s="459"/>
    </row>
    <row r="779" spans="1:14">
      <c r="A779" s="459"/>
      <c r="B779" s="459"/>
      <c r="C779" s="459"/>
      <c r="D779" s="459"/>
      <c r="E779" s="459"/>
      <c r="F779" s="459"/>
      <c r="G779" s="459"/>
      <c r="H779" s="459"/>
      <c r="I779" s="459"/>
      <c r="J779" s="459"/>
      <c r="K779" s="459"/>
      <c r="L779" s="416"/>
      <c r="M779" s="459"/>
      <c r="N779" s="459"/>
    </row>
    <row r="780" spans="1:14">
      <c r="A780" s="459"/>
      <c r="B780" s="459"/>
      <c r="C780" s="459"/>
      <c r="D780" s="459"/>
      <c r="E780" s="459"/>
      <c r="F780" s="459"/>
      <c r="G780" s="459"/>
      <c r="H780" s="459"/>
      <c r="I780" s="459"/>
      <c r="J780" s="459"/>
      <c r="K780" s="459"/>
      <c r="L780" s="416"/>
      <c r="M780" s="459"/>
      <c r="N780" s="459"/>
    </row>
    <row r="781" spans="1:14">
      <c r="A781" s="459"/>
      <c r="B781" s="459"/>
      <c r="C781" s="459"/>
      <c r="D781" s="459"/>
      <c r="E781" s="459"/>
      <c r="F781" s="459"/>
      <c r="G781" s="459"/>
      <c r="H781" s="459"/>
      <c r="I781" s="459"/>
      <c r="J781" s="459"/>
      <c r="K781" s="459"/>
      <c r="L781" s="416"/>
      <c r="M781" s="459"/>
      <c r="N781" s="459"/>
    </row>
    <row r="782" spans="1:14">
      <c r="A782" s="459"/>
      <c r="B782" s="459"/>
      <c r="C782" s="459"/>
      <c r="D782" s="459"/>
      <c r="E782" s="459"/>
      <c r="F782" s="459"/>
      <c r="G782" s="459"/>
      <c r="H782" s="459"/>
      <c r="I782" s="459"/>
      <c r="J782" s="459"/>
      <c r="K782" s="459"/>
      <c r="L782" s="416"/>
      <c r="M782" s="459"/>
      <c r="N782" s="459"/>
    </row>
    <row r="783" spans="1:14">
      <c r="A783" s="459"/>
      <c r="B783" s="459"/>
      <c r="C783" s="459"/>
      <c r="D783" s="459"/>
      <c r="E783" s="459"/>
      <c r="F783" s="459"/>
      <c r="G783" s="459"/>
      <c r="H783" s="459"/>
      <c r="I783" s="459"/>
      <c r="J783" s="459"/>
      <c r="K783" s="459"/>
      <c r="L783" s="416"/>
      <c r="M783" s="459"/>
      <c r="N783" s="459"/>
    </row>
    <row r="784" spans="1:14">
      <c r="A784" s="459"/>
      <c r="B784" s="459"/>
      <c r="C784" s="459"/>
      <c r="D784" s="459"/>
      <c r="E784" s="459"/>
      <c r="F784" s="459"/>
      <c r="G784" s="459"/>
      <c r="H784" s="459"/>
      <c r="I784" s="459"/>
      <c r="J784" s="459"/>
      <c r="K784" s="459"/>
      <c r="L784" s="416"/>
      <c r="M784" s="459"/>
      <c r="N784" s="459"/>
    </row>
    <row r="785" spans="1:14">
      <c r="A785" s="459"/>
      <c r="B785" s="459"/>
      <c r="C785" s="459"/>
      <c r="D785" s="459"/>
      <c r="E785" s="459"/>
      <c r="F785" s="459"/>
      <c r="G785" s="459"/>
      <c r="H785" s="459"/>
      <c r="I785" s="459"/>
      <c r="J785" s="459"/>
      <c r="K785" s="459"/>
      <c r="L785" s="416"/>
      <c r="M785" s="459"/>
      <c r="N785" s="459"/>
    </row>
    <row r="786" spans="1:14">
      <c r="A786" s="459"/>
      <c r="B786" s="459"/>
      <c r="C786" s="459"/>
      <c r="D786" s="459"/>
      <c r="E786" s="459"/>
      <c r="F786" s="459"/>
      <c r="G786" s="459"/>
      <c r="H786" s="459"/>
      <c r="I786" s="459"/>
      <c r="J786" s="459"/>
      <c r="K786" s="459"/>
      <c r="L786" s="416"/>
      <c r="M786" s="459"/>
      <c r="N786" s="459"/>
    </row>
    <row r="787" spans="1:14">
      <c r="A787" s="459"/>
      <c r="B787" s="459"/>
      <c r="C787" s="459"/>
      <c r="D787" s="459"/>
      <c r="E787" s="459"/>
      <c r="F787" s="459"/>
      <c r="G787" s="459"/>
      <c r="H787" s="459"/>
      <c r="I787" s="459"/>
      <c r="J787" s="459"/>
      <c r="K787" s="459"/>
      <c r="L787" s="416"/>
      <c r="M787" s="459"/>
      <c r="N787" s="459"/>
    </row>
    <row r="788" spans="1:14">
      <c r="A788" s="459"/>
      <c r="B788" s="459"/>
      <c r="C788" s="459"/>
      <c r="D788" s="459"/>
      <c r="E788" s="459"/>
      <c r="F788" s="459"/>
      <c r="G788" s="459"/>
      <c r="H788" s="459"/>
      <c r="I788" s="459"/>
      <c r="J788" s="459"/>
      <c r="K788" s="459"/>
      <c r="L788" s="416"/>
      <c r="M788" s="459"/>
      <c r="N788" s="459"/>
    </row>
    <row r="789" spans="1:14">
      <c r="A789" s="459"/>
      <c r="B789" s="459"/>
      <c r="C789" s="459"/>
      <c r="D789" s="459"/>
      <c r="E789" s="459"/>
      <c r="F789" s="459"/>
      <c r="G789" s="459"/>
      <c r="H789" s="459"/>
      <c r="I789" s="459"/>
      <c r="J789" s="459"/>
      <c r="K789" s="459"/>
      <c r="L789" s="416"/>
      <c r="M789" s="459"/>
      <c r="N789" s="459"/>
    </row>
    <row r="790" spans="1:14">
      <c r="A790" s="459"/>
      <c r="B790" s="459"/>
      <c r="C790" s="459"/>
      <c r="D790" s="459"/>
      <c r="E790" s="459"/>
      <c r="F790" s="459"/>
      <c r="G790" s="459"/>
      <c r="H790" s="459"/>
      <c r="I790" s="459"/>
      <c r="J790" s="459"/>
      <c r="K790" s="459"/>
      <c r="L790" s="416"/>
      <c r="M790" s="459"/>
      <c r="N790" s="459"/>
    </row>
    <row r="791" spans="1:14">
      <c r="A791" s="459"/>
      <c r="B791" s="459"/>
      <c r="C791" s="459"/>
      <c r="D791" s="459"/>
      <c r="E791" s="459"/>
      <c r="F791" s="459"/>
      <c r="G791" s="459"/>
      <c r="H791" s="459"/>
      <c r="I791" s="459"/>
      <c r="J791" s="459"/>
      <c r="K791" s="459"/>
      <c r="L791" s="416"/>
      <c r="M791" s="459"/>
      <c r="N791" s="459"/>
    </row>
    <row r="792" spans="1:14">
      <c r="A792" s="459"/>
      <c r="B792" s="459"/>
      <c r="C792" s="459"/>
      <c r="D792" s="459"/>
      <c r="E792" s="459"/>
      <c r="F792" s="459"/>
      <c r="G792" s="459"/>
      <c r="H792" s="459"/>
      <c r="I792" s="459"/>
      <c r="J792" s="459"/>
      <c r="K792" s="459"/>
      <c r="L792" s="416"/>
      <c r="M792" s="459"/>
      <c r="N792" s="459"/>
    </row>
    <row r="793" spans="1:14">
      <c r="A793" s="459"/>
      <c r="B793" s="459"/>
      <c r="C793" s="459"/>
      <c r="D793" s="459"/>
      <c r="E793" s="459"/>
      <c r="F793" s="459"/>
      <c r="G793" s="459"/>
      <c r="H793" s="459"/>
      <c r="I793" s="459"/>
      <c r="J793" s="459"/>
      <c r="K793" s="459"/>
      <c r="L793" s="416"/>
      <c r="M793" s="459"/>
      <c r="N793" s="459"/>
    </row>
    <row r="794" spans="1:14">
      <c r="A794" s="459"/>
      <c r="B794" s="459"/>
      <c r="C794" s="459"/>
      <c r="D794" s="459"/>
      <c r="E794" s="459"/>
      <c r="F794" s="459"/>
      <c r="G794" s="459"/>
      <c r="H794" s="459"/>
      <c r="I794" s="459"/>
      <c r="J794" s="459"/>
      <c r="K794" s="459"/>
      <c r="L794" s="416"/>
      <c r="M794" s="459"/>
      <c r="N794" s="459"/>
    </row>
    <row r="795" spans="1:14">
      <c r="A795" s="459"/>
      <c r="B795" s="459"/>
      <c r="C795" s="459"/>
      <c r="D795" s="459"/>
      <c r="E795" s="459"/>
      <c r="F795" s="459"/>
      <c r="G795" s="459"/>
      <c r="H795" s="459"/>
      <c r="I795" s="459"/>
      <c r="J795" s="459"/>
      <c r="K795" s="459"/>
      <c r="L795" s="416"/>
      <c r="M795" s="459"/>
      <c r="N795" s="459"/>
    </row>
    <row r="796" spans="1:14">
      <c r="A796" s="459"/>
      <c r="B796" s="459"/>
      <c r="C796" s="459"/>
      <c r="D796" s="459"/>
      <c r="E796" s="459"/>
      <c r="F796" s="459"/>
      <c r="G796" s="459"/>
      <c r="H796" s="459"/>
      <c r="I796" s="459"/>
      <c r="J796" s="459"/>
      <c r="K796" s="459"/>
      <c r="L796" s="416"/>
      <c r="M796" s="459"/>
      <c r="N796" s="459"/>
    </row>
    <row r="797" spans="1:14">
      <c r="A797" s="459"/>
      <c r="B797" s="459"/>
      <c r="C797" s="459"/>
      <c r="D797" s="459"/>
      <c r="E797" s="459"/>
      <c r="F797" s="459"/>
      <c r="G797" s="459"/>
      <c r="H797" s="459"/>
      <c r="I797" s="459"/>
      <c r="J797" s="459"/>
      <c r="K797" s="459"/>
      <c r="L797" s="416"/>
      <c r="M797" s="459"/>
      <c r="N797" s="459"/>
    </row>
    <row r="798" spans="1:14">
      <c r="A798" s="459"/>
      <c r="B798" s="459"/>
      <c r="C798" s="459"/>
      <c r="D798" s="459"/>
      <c r="E798" s="459"/>
      <c r="F798" s="459"/>
      <c r="G798" s="459"/>
      <c r="H798" s="459"/>
      <c r="I798" s="459"/>
      <c r="J798" s="459"/>
      <c r="K798" s="459"/>
      <c r="L798" s="416"/>
      <c r="M798" s="459"/>
      <c r="N798" s="459"/>
    </row>
    <row r="799" spans="1:14">
      <c r="A799" s="459"/>
      <c r="B799" s="459"/>
      <c r="C799" s="459"/>
      <c r="D799" s="459"/>
      <c r="E799" s="459"/>
      <c r="F799" s="459"/>
      <c r="G799" s="459"/>
      <c r="H799" s="459"/>
      <c r="I799" s="459"/>
      <c r="J799" s="459"/>
      <c r="K799" s="459"/>
      <c r="L799" s="416"/>
      <c r="M799" s="459"/>
      <c r="N799" s="459"/>
    </row>
    <row r="800" spans="1:14">
      <c r="A800" s="459"/>
      <c r="B800" s="459"/>
      <c r="C800" s="459"/>
      <c r="D800" s="459"/>
      <c r="E800" s="459"/>
      <c r="F800" s="459"/>
      <c r="G800" s="459"/>
      <c r="H800" s="459"/>
      <c r="I800" s="459"/>
      <c r="J800" s="459"/>
      <c r="K800" s="459"/>
      <c r="L800" s="416"/>
      <c r="M800" s="459"/>
      <c r="N800" s="459"/>
    </row>
    <row r="801" spans="1:14">
      <c r="A801" s="459"/>
      <c r="B801" s="459"/>
      <c r="C801" s="459"/>
      <c r="D801" s="459"/>
      <c r="E801" s="459"/>
      <c r="F801" s="459"/>
      <c r="G801" s="459"/>
      <c r="H801" s="459"/>
      <c r="I801" s="459"/>
      <c r="J801" s="459"/>
      <c r="K801" s="459"/>
      <c r="L801" s="416"/>
      <c r="M801" s="459"/>
      <c r="N801" s="459"/>
    </row>
    <row r="802" spans="1:14">
      <c r="A802" s="459"/>
      <c r="B802" s="459"/>
      <c r="C802" s="459"/>
      <c r="D802" s="459"/>
      <c r="E802" s="459"/>
      <c r="F802" s="459"/>
      <c r="G802" s="459"/>
      <c r="H802" s="459"/>
      <c r="I802" s="459"/>
      <c r="J802" s="459"/>
      <c r="K802" s="459"/>
      <c r="L802" s="416"/>
      <c r="M802" s="459"/>
      <c r="N802" s="459"/>
    </row>
    <row r="803" spans="1:14">
      <c r="A803" s="459"/>
      <c r="B803" s="459"/>
      <c r="C803" s="459"/>
      <c r="D803" s="459"/>
      <c r="E803" s="459"/>
      <c r="F803" s="459"/>
      <c r="G803" s="459"/>
      <c r="H803" s="459"/>
      <c r="I803" s="459"/>
      <c r="J803" s="459"/>
      <c r="K803" s="459"/>
      <c r="L803" s="416"/>
      <c r="M803" s="459"/>
      <c r="N803" s="459"/>
    </row>
    <row r="804" spans="1:14">
      <c r="A804" s="459"/>
      <c r="B804" s="459"/>
      <c r="C804" s="459"/>
      <c r="D804" s="459"/>
      <c r="E804" s="459"/>
      <c r="F804" s="459"/>
      <c r="G804" s="459"/>
      <c r="H804" s="459"/>
      <c r="I804" s="459"/>
      <c r="J804" s="459"/>
      <c r="K804" s="459"/>
      <c r="L804" s="416"/>
      <c r="M804" s="459"/>
      <c r="N804" s="459"/>
    </row>
    <row r="805" spans="1:14">
      <c r="A805" s="459"/>
      <c r="B805" s="459"/>
      <c r="C805" s="459"/>
      <c r="D805" s="459"/>
      <c r="E805" s="459"/>
      <c r="F805" s="459"/>
      <c r="G805" s="459"/>
      <c r="H805" s="459"/>
      <c r="I805" s="459"/>
      <c r="J805" s="459"/>
      <c r="K805" s="459"/>
      <c r="L805" s="416"/>
      <c r="M805" s="459"/>
      <c r="N805" s="459"/>
    </row>
    <row r="806" spans="1:14">
      <c r="A806" s="459"/>
      <c r="B806" s="459"/>
      <c r="C806" s="459"/>
      <c r="D806" s="459"/>
      <c r="E806" s="459"/>
      <c r="F806" s="459"/>
      <c r="G806" s="459"/>
      <c r="H806" s="459"/>
      <c r="I806" s="459"/>
      <c r="J806" s="459"/>
      <c r="K806" s="459"/>
      <c r="L806" s="416"/>
      <c r="M806" s="459"/>
      <c r="N806" s="459"/>
    </row>
    <row r="807" spans="1:14">
      <c r="A807" s="459"/>
      <c r="B807" s="459"/>
      <c r="C807" s="459"/>
      <c r="D807" s="459"/>
      <c r="E807" s="459"/>
      <c r="F807" s="459"/>
      <c r="G807" s="459"/>
      <c r="H807" s="459"/>
      <c r="I807" s="459"/>
      <c r="J807" s="459"/>
      <c r="K807" s="459"/>
      <c r="L807" s="416"/>
      <c r="M807" s="459"/>
      <c r="N807" s="459"/>
    </row>
    <row r="808" spans="1:14">
      <c r="A808" s="459"/>
      <c r="B808" s="459"/>
      <c r="C808" s="459"/>
      <c r="D808" s="459"/>
      <c r="E808" s="459"/>
      <c r="F808" s="459"/>
      <c r="G808" s="459"/>
      <c r="H808" s="459"/>
      <c r="I808" s="459"/>
      <c r="J808" s="459"/>
      <c r="K808" s="459"/>
      <c r="L808" s="416"/>
      <c r="M808" s="459"/>
      <c r="N808" s="459"/>
    </row>
    <row r="809" spans="1:14">
      <c r="A809" s="459"/>
      <c r="B809" s="459"/>
      <c r="C809" s="459"/>
      <c r="D809" s="459"/>
      <c r="E809" s="459"/>
      <c r="F809" s="459"/>
      <c r="G809" s="459"/>
      <c r="H809" s="459"/>
      <c r="I809" s="459"/>
      <c r="J809" s="459"/>
      <c r="K809" s="459"/>
      <c r="L809" s="416"/>
      <c r="M809" s="459"/>
      <c r="N809" s="459"/>
    </row>
    <row r="810" spans="1:14">
      <c r="A810" s="459"/>
      <c r="B810" s="459"/>
      <c r="C810" s="459"/>
      <c r="D810" s="459"/>
      <c r="E810" s="459"/>
      <c r="F810" s="459"/>
      <c r="G810" s="459"/>
      <c r="H810" s="459"/>
      <c r="I810" s="459"/>
      <c r="J810" s="459"/>
      <c r="K810" s="459"/>
      <c r="L810" s="416"/>
      <c r="M810" s="459"/>
      <c r="N810" s="459"/>
    </row>
    <row r="811" spans="1:14">
      <c r="A811" s="459"/>
      <c r="B811" s="459"/>
      <c r="C811" s="459"/>
      <c r="D811" s="459"/>
      <c r="E811" s="459"/>
      <c r="F811" s="459"/>
      <c r="G811" s="459"/>
      <c r="H811" s="459"/>
      <c r="I811" s="459"/>
      <c r="J811" s="459"/>
      <c r="K811" s="459"/>
      <c r="L811" s="416"/>
      <c r="M811" s="459"/>
      <c r="N811" s="459"/>
    </row>
    <row r="812" spans="1:14">
      <c r="A812" s="459"/>
      <c r="B812" s="459"/>
      <c r="C812" s="459"/>
      <c r="D812" s="459"/>
      <c r="E812" s="459"/>
      <c r="F812" s="459"/>
      <c r="G812" s="459"/>
      <c r="H812" s="459"/>
      <c r="I812" s="459"/>
      <c r="J812" s="459"/>
      <c r="K812" s="459"/>
      <c r="L812" s="416"/>
      <c r="M812" s="459"/>
      <c r="N812" s="459"/>
    </row>
    <row r="813" spans="1:14">
      <c r="A813" s="459"/>
      <c r="B813" s="459"/>
      <c r="C813" s="459"/>
      <c r="D813" s="459"/>
      <c r="E813" s="459"/>
      <c r="F813" s="459"/>
      <c r="G813" s="459"/>
      <c r="H813" s="459"/>
      <c r="I813" s="459"/>
      <c r="J813" s="459"/>
      <c r="K813" s="459"/>
      <c r="L813" s="416"/>
      <c r="M813" s="459"/>
      <c r="N813" s="459"/>
    </row>
    <row r="814" spans="1:14">
      <c r="A814" s="459"/>
      <c r="B814" s="459"/>
      <c r="C814" s="459"/>
      <c r="D814" s="459"/>
      <c r="E814" s="459"/>
      <c r="F814" s="459"/>
      <c r="G814" s="459"/>
      <c r="H814" s="459"/>
      <c r="I814" s="459"/>
      <c r="J814" s="459"/>
      <c r="K814" s="459"/>
      <c r="L814" s="416"/>
      <c r="M814" s="459"/>
      <c r="N814" s="459"/>
    </row>
    <row r="815" spans="1:14">
      <c r="A815" s="459"/>
      <c r="B815" s="459"/>
      <c r="C815" s="459"/>
      <c r="D815" s="459"/>
      <c r="E815" s="459"/>
      <c r="F815" s="459"/>
      <c r="G815" s="459"/>
      <c r="H815" s="459"/>
      <c r="I815" s="459"/>
      <c r="J815" s="459"/>
      <c r="K815" s="459"/>
      <c r="L815" s="416"/>
      <c r="M815" s="459"/>
      <c r="N815" s="459"/>
    </row>
    <row r="816" spans="1:14">
      <c r="A816" s="459"/>
      <c r="B816" s="459"/>
      <c r="C816" s="459"/>
      <c r="D816" s="459"/>
      <c r="E816" s="459"/>
      <c r="F816" s="459"/>
      <c r="G816" s="459"/>
      <c r="H816" s="459"/>
      <c r="I816" s="459"/>
      <c r="J816" s="459"/>
      <c r="K816" s="459"/>
      <c r="L816" s="416"/>
      <c r="M816" s="459"/>
      <c r="N816" s="459"/>
    </row>
    <row r="817" spans="1:14">
      <c r="A817" s="459"/>
      <c r="B817" s="459"/>
      <c r="C817" s="459"/>
      <c r="D817" s="459"/>
      <c r="E817" s="459"/>
      <c r="F817" s="459"/>
      <c r="G817" s="459"/>
      <c r="H817" s="459"/>
      <c r="I817" s="459"/>
      <c r="J817" s="459"/>
      <c r="K817" s="459"/>
      <c r="L817" s="416"/>
      <c r="M817" s="459"/>
      <c r="N817" s="459"/>
    </row>
    <row r="818" spans="1:14">
      <c r="A818" s="459"/>
      <c r="B818" s="459"/>
      <c r="C818" s="459"/>
      <c r="D818" s="459"/>
      <c r="E818" s="459"/>
      <c r="F818" s="459"/>
      <c r="G818" s="459"/>
      <c r="H818" s="459"/>
      <c r="I818" s="459"/>
      <c r="J818" s="459"/>
      <c r="K818" s="459"/>
      <c r="L818" s="416"/>
      <c r="M818" s="459"/>
      <c r="N818" s="459"/>
    </row>
    <row r="819" spans="1:14">
      <c r="A819" s="459"/>
      <c r="B819" s="459"/>
      <c r="C819" s="459"/>
      <c r="D819" s="459"/>
      <c r="E819" s="459"/>
      <c r="F819" s="459"/>
      <c r="G819" s="459"/>
      <c r="H819" s="459"/>
      <c r="I819" s="459"/>
      <c r="J819" s="459"/>
      <c r="K819" s="459"/>
      <c r="L819" s="416"/>
      <c r="M819" s="459"/>
      <c r="N819" s="459"/>
    </row>
    <row r="820" spans="1:14">
      <c r="A820" s="459"/>
      <c r="B820" s="459"/>
      <c r="C820" s="459"/>
      <c r="D820" s="459"/>
      <c r="E820" s="459"/>
      <c r="F820" s="459"/>
      <c r="G820" s="459"/>
      <c r="H820" s="459"/>
      <c r="I820" s="459"/>
      <c r="J820" s="459"/>
      <c r="K820" s="459"/>
      <c r="L820" s="416"/>
      <c r="M820" s="459"/>
      <c r="N820" s="459"/>
    </row>
    <row r="821" spans="1:14">
      <c r="A821" s="459"/>
      <c r="B821" s="459"/>
      <c r="C821" s="459"/>
      <c r="D821" s="459"/>
      <c r="E821" s="459"/>
      <c r="F821" s="459"/>
      <c r="G821" s="459"/>
      <c r="H821" s="459"/>
      <c r="I821" s="459"/>
      <c r="J821" s="459"/>
      <c r="K821" s="459"/>
      <c r="L821" s="416"/>
      <c r="M821" s="459"/>
      <c r="N821" s="459"/>
    </row>
    <row r="822" spans="1:14">
      <c r="A822" s="459"/>
      <c r="B822" s="459"/>
      <c r="C822" s="459"/>
      <c r="D822" s="459"/>
      <c r="E822" s="459"/>
      <c r="F822" s="459"/>
      <c r="G822" s="459"/>
      <c r="H822" s="459"/>
      <c r="I822" s="459"/>
      <c r="J822" s="459"/>
      <c r="K822" s="459"/>
      <c r="L822" s="416"/>
      <c r="M822" s="459"/>
      <c r="N822" s="459"/>
    </row>
    <row r="823" spans="1:14">
      <c r="A823" s="459"/>
      <c r="B823" s="459"/>
      <c r="C823" s="459"/>
      <c r="D823" s="459"/>
      <c r="E823" s="459"/>
      <c r="F823" s="459"/>
      <c r="G823" s="459"/>
      <c r="H823" s="459"/>
      <c r="I823" s="459"/>
      <c r="J823" s="459"/>
      <c r="K823" s="459"/>
      <c r="L823" s="416"/>
      <c r="M823" s="459"/>
      <c r="N823" s="459"/>
    </row>
    <row r="824" spans="1:14">
      <c r="A824" s="459"/>
      <c r="B824" s="459"/>
      <c r="C824" s="459"/>
      <c r="D824" s="459"/>
      <c r="E824" s="459"/>
      <c r="F824" s="459"/>
      <c r="G824" s="459"/>
      <c r="H824" s="459"/>
      <c r="I824" s="459"/>
      <c r="J824" s="459"/>
      <c r="K824" s="459"/>
      <c r="L824" s="416"/>
      <c r="M824" s="459"/>
      <c r="N824" s="459"/>
    </row>
    <row r="825" spans="1:14">
      <c r="A825" s="459"/>
      <c r="B825" s="459"/>
      <c r="C825" s="459"/>
      <c r="D825" s="459"/>
      <c r="E825" s="459"/>
      <c r="F825" s="459"/>
      <c r="G825" s="459"/>
      <c r="H825" s="459"/>
      <c r="I825" s="459"/>
      <c r="J825" s="459"/>
      <c r="K825" s="459"/>
      <c r="L825" s="416"/>
      <c r="M825" s="459"/>
      <c r="N825" s="459"/>
    </row>
    <row r="826" spans="1:14">
      <c r="A826" s="459"/>
      <c r="B826" s="459"/>
      <c r="C826" s="459"/>
      <c r="D826" s="459"/>
      <c r="E826" s="459"/>
      <c r="F826" s="459"/>
      <c r="G826" s="459"/>
      <c r="H826" s="459"/>
      <c r="I826" s="459"/>
      <c r="J826" s="459"/>
      <c r="K826" s="459"/>
      <c r="L826" s="416"/>
      <c r="M826" s="459"/>
      <c r="N826" s="459"/>
    </row>
    <row r="827" spans="1:14">
      <c r="A827" s="459"/>
      <c r="B827" s="459"/>
      <c r="C827" s="459"/>
      <c r="D827" s="459"/>
      <c r="E827" s="459"/>
      <c r="F827" s="459"/>
      <c r="G827" s="459"/>
      <c r="H827" s="459"/>
      <c r="I827" s="459"/>
      <c r="J827" s="459"/>
      <c r="K827" s="459"/>
      <c r="L827" s="416"/>
      <c r="M827" s="459"/>
      <c r="N827" s="459"/>
    </row>
    <row r="828" spans="1:14">
      <c r="A828" s="459"/>
      <c r="B828" s="459"/>
      <c r="C828" s="459"/>
      <c r="D828" s="459"/>
      <c r="E828" s="459"/>
      <c r="F828" s="459"/>
      <c r="G828" s="459"/>
      <c r="H828" s="459"/>
      <c r="I828" s="459"/>
      <c r="J828" s="459"/>
      <c r="K828" s="459"/>
      <c r="L828" s="416"/>
      <c r="M828" s="459"/>
      <c r="N828" s="459"/>
    </row>
    <row r="829" spans="1:14">
      <c r="A829" s="459"/>
      <c r="B829" s="459"/>
      <c r="C829" s="459"/>
      <c r="D829" s="459"/>
      <c r="E829" s="459"/>
      <c r="F829" s="459"/>
      <c r="G829" s="459"/>
      <c r="H829" s="459"/>
      <c r="I829" s="459"/>
      <c r="J829" s="459"/>
      <c r="K829" s="459"/>
      <c r="L829" s="416"/>
      <c r="M829" s="459"/>
      <c r="N829" s="459"/>
    </row>
    <row r="830" spans="1:14">
      <c r="A830" s="459"/>
      <c r="B830" s="459"/>
      <c r="C830" s="459"/>
      <c r="D830" s="459"/>
      <c r="E830" s="459"/>
      <c r="F830" s="459"/>
      <c r="G830" s="459"/>
      <c r="H830" s="459"/>
      <c r="I830" s="459"/>
      <c r="J830" s="459"/>
      <c r="K830" s="459"/>
      <c r="L830" s="416"/>
      <c r="M830" s="459"/>
      <c r="N830" s="459"/>
    </row>
    <row r="831" spans="1:14">
      <c r="A831" s="459"/>
      <c r="B831" s="459"/>
      <c r="C831" s="459"/>
      <c r="D831" s="459"/>
      <c r="E831" s="459"/>
      <c r="F831" s="459"/>
      <c r="G831" s="459"/>
      <c r="H831" s="459"/>
      <c r="I831" s="459"/>
      <c r="J831" s="459"/>
      <c r="K831" s="459"/>
      <c r="L831" s="416"/>
      <c r="M831" s="459"/>
      <c r="N831" s="459"/>
    </row>
    <row r="832" spans="1:14">
      <c r="A832" s="459"/>
      <c r="B832" s="459"/>
      <c r="C832" s="459"/>
      <c r="D832" s="459"/>
      <c r="E832" s="459"/>
      <c r="F832" s="459"/>
      <c r="G832" s="459"/>
      <c r="H832" s="459"/>
      <c r="I832" s="459"/>
      <c r="J832" s="459"/>
      <c r="K832" s="459"/>
      <c r="L832" s="416"/>
      <c r="M832" s="459"/>
      <c r="N832" s="459"/>
    </row>
    <row r="833" spans="1:14">
      <c r="A833" s="459"/>
      <c r="B833" s="459"/>
      <c r="C833" s="459"/>
      <c r="D833" s="459"/>
      <c r="E833" s="459"/>
      <c r="F833" s="459"/>
      <c r="G833" s="459"/>
      <c r="H833" s="459"/>
      <c r="I833" s="459"/>
      <c r="J833" s="459"/>
      <c r="K833" s="459"/>
      <c r="L833" s="416"/>
      <c r="M833" s="459"/>
      <c r="N833" s="459"/>
    </row>
    <row r="834" spans="1:14">
      <c r="A834" s="459"/>
      <c r="B834" s="459"/>
      <c r="C834" s="459"/>
      <c r="D834" s="459"/>
      <c r="E834" s="459"/>
      <c r="F834" s="459"/>
      <c r="G834" s="459"/>
      <c r="H834" s="459"/>
      <c r="I834" s="459"/>
      <c r="J834" s="459"/>
      <c r="K834" s="459"/>
      <c r="L834" s="416"/>
      <c r="M834" s="459"/>
      <c r="N834" s="459"/>
    </row>
    <row r="835" spans="1:14">
      <c r="A835" s="459"/>
      <c r="B835" s="459"/>
      <c r="C835" s="459"/>
      <c r="D835" s="459"/>
      <c r="E835" s="459"/>
      <c r="F835" s="459"/>
      <c r="G835" s="459"/>
      <c r="H835" s="459"/>
      <c r="I835" s="459"/>
      <c r="J835" s="459"/>
      <c r="K835" s="459"/>
      <c r="L835" s="416"/>
      <c r="M835" s="459"/>
      <c r="N835" s="459"/>
    </row>
    <row r="836" spans="1:14">
      <c r="A836" s="459"/>
      <c r="B836" s="459"/>
      <c r="C836" s="459"/>
      <c r="D836" s="459"/>
      <c r="E836" s="459"/>
      <c r="F836" s="459"/>
      <c r="G836" s="459"/>
      <c r="H836" s="459"/>
      <c r="I836" s="459"/>
      <c r="J836" s="459"/>
      <c r="K836" s="459"/>
      <c r="L836" s="416"/>
      <c r="M836" s="459"/>
      <c r="N836" s="459"/>
    </row>
    <row r="837" spans="1:14">
      <c r="A837" s="459"/>
      <c r="B837" s="459"/>
      <c r="C837" s="459"/>
      <c r="D837" s="459"/>
      <c r="E837" s="459"/>
      <c r="F837" s="459"/>
      <c r="G837" s="459"/>
      <c r="H837" s="459"/>
      <c r="I837" s="459"/>
      <c r="J837" s="459"/>
      <c r="K837" s="459"/>
      <c r="L837" s="416"/>
      <c r="M837" s="459"/>
      <c r="N837" s="459"/>
    </row>
    <row r="838" spans="1:14">
      <c r="A838" s="459"/>
      <c r="B838" s="459"/>
      <c r="C838" s="459"/>
      <c r="D838" s="459"/>
      <c r="E838" s="459"/>
      <c r="F838" s="459"/>
      <c r="G838" s="459"/>
      <c r="H838" s="459"/>
      <c r="I838" s="459"/>
      <c r="J838" s="459"/>
      <c r="K838" s="459"/>
      <c r="L838" s="416"/>
      <c r="M838" s="459"/>
      <c r="N838" s="459"/>
    </row>
    <row r="839" spans="1:14">
      <c r="A839" s="459"/>
      <c r="B839" s="459"/>
      <c r="C839" s="459"/>
      <c r="D839" s="459"/>
      <c r="E839" s="459"/>
      <c r="F839" s="459"/>
      <c r="G839" s="459"/>
      <c r="H839" s="459"/>
      <c r="I839" s="459"/>
      <c r="J839" s="459"/>
      <c r="K839" s="459"/>
      <c r="L839" s="416"/>
      <c r="M839" s="459"/>
      <c r="N839" s="459"/>
    </row>
    <row r="840" spans="1:14">
      <c r="A840" s="459"/>
      <c r="B840" s="459"/>
      <c r="C840" s="459"/>
      <c r="D840" s="459"/>
      <c r="E840" s="459"/>
      <c r="F840" s="459"/>
      <c r="G840" s="459"/>
      <c r="H840" s="459"/>
      <c r="I840" s="459"/>
      <c r="J840" s="459"/>
      <c r="K840" s="459"/>
      <c r="L840" s="416"/>
      <c r="M840" s="459"/>
      <c r="N840" s="459"/>
    </row>
    <row r="841" spans="1:14">
      <c r="A841" s="459"/>
      <c r="B841" s="459"/>
      <c r="C841" s="459"/>
      <c r="D841" s="459"/>
      <c r="E841" s="459"/>
      <c r="F841" s="459"/>
      <c r="G841" s="459"/>
      <c r="H841" s="459"/>
      <c r="I841" s="459"/>
      <c r="J841" s="459"/>
      <c r="K841" s="459"/>
      <c r="L841" s="416"/>
      <c r="M841" s="459"/>
      <c r="N841" s="459"/>
    </row>
    <row r="842" spans="1:14">
      <c r="A842" s="459"/>
      <c r="B842" s="459"/>
      <c r="C842" s="459"/>
      <c r="D842" s="459"/>
      <c r="E842" s="459"/>
      <c r="F842" s="459"/>
      <c r="G842" s="459"/>
      <c r="H842" s="459"/>
      <c r="I842" s="459"/>
      <c r="J842" s="459"/>
      <c r="K842" s="459"/>
      <c r="L842" s="416"/>
      <c r="M842" s="459"/>
      <c r="N842" s="459"/>
    </row>
    <row r="843" spans="1:14">
      <c r="A843" s="459"/>
      <c r="B843" s="459"/>
      <c r="C843" s="459"/>
      <c r="D843" s="459"/>
      <c r="E843" s="459"/>
      <c r="F843" s="459"/>
      <c r="G843" s="459"/>
      <c r="H843" s="459"/>
      <c r="I843" s="459"/>
      <c r="J843" s="459"/>
      <c r="K843" s="459"/>
      <c r="L843" s="416"/>
      <c r="M843" s="459"/>
      <c r="N843" s="459"/>
    </row>
    <row r="844" spans="1:14">
      <c r="A844" s="459"/>
      <c r="B844" s="459"/>
      <c r="C844" s="459"/>
      <c r="D844" s="459"/>
      <c r="E844" s="459"/>
      <c r="F844" s="459"/>
      <c r="G844" s="459"/>
      <c r="H844" s="459"/>
      <c r="I844" s="459"/>
      <c r="J844" s="459"/>
      <c r="K844" s="459"/>
      <c r="L844" s="416"/>
      <c r="M844" s="459"/>
      <c r="N844" s="459"/>
    </row>
    <row r="845" spans="1:14">
      <c r="A845" s="459"/>
      <c r="B845" s="459"/>
      <c r="C845" s="459"/>
      <c r="D845" s="459"/>
      <c r="E845" s="459"/>
      <c r="F845" s="459"/>
      <c r="G845" s="459"/>
      <c r="H845" s="459"/>
      <c r="I845" s="459"/>
      <c r="J845" s="459"/>
      <c r="K845" s="459"/>
      <c r="L845" s="416"/>
      <c r="M845" s="459"/>
      <c r="N845" s="459"/>
    </row>
    <row r="846" spans="1:14">
      <c r="A846" s="459"/>
      <c r="B846" s="459"/>
      <c r="C846" s="459"/>
      <c r="D846" s="459"/>
      <c r="E846" s="459"/>
      <c r="F846" s="459"/>
      <c r="G846" s="459"/>
      <c r="H846" s="459"/>
      <c r="I846" s="459"/>
      <c r="J846" s="459"/>
      <c r="K846" s="459"/>
      <c r="L846" s="416"/>
      <c r="M846" s="459"/>
      <c r="N846" s="459"/>
    </row>
    <row r="847" spans="1:14">
      <c r="A847" s="459"/>
      <c r="B847" s="459"/>
      <c r="C847" s="459"/>
      <c r="D847" s="459"/>
      <c r="E847" s="459"/>
      <c r="F847" s="459"/>
      <c r="G847" s="459"/>
      <c r="H847" s="459"/>
      <c r="I847" s="459"/>
      <c r="J847" s="459"/>
      <c r="K847" s="459"/>
      <c r="L847" s="416"/>
      <c r="M847" s="459"/>
      <c r="N847" s="459"/>
    </row>
    <row r="848" spans="1:14">
      <c r="A848" s="459"/>
      <c r="B848" s="459"/>
      <c r="C848" s="459"/>
      <c r="D848" s="459"/>
      <c r="E848" s="459"/>
      <c r="F848" s="459"/>
      <c r="G848" s="459"/>
      <c r="H848" s="459"/>
      <c r="I848" s="459"/>
      <c r="J848" s="459"/>
      <c r="K848" s="459"/>
      <c r="L848" s="416"/>
      <c r="M848" s="459"/>
      <c r="N848" s="459"/>
    </row>
    <row r="849" spans="1:14">
      <c r="A849" s="459"/>
      <c r="B849" s="459"/>
      <c r="C849" s="459"/>
      <c r="D849" s="459"/>
      <c r="E849" s="459"/>
      <c r="F849" s="459"/>
      <c r="G849" s="459"/>
      <c r="H849" s="459"/>
      <c r="I849" s="459"/>
      <c r="J849" s="459"/>
      <c r="K849" s="459"/>
      <c r="L849" s="416"/>
      <c r="M849" s="459"/>
      <c r="N849" s="459"/>
    </row>
    <row r="850" spans="1:14">
      <c r="A850" s="459"/>
      <c r="B850" s="459"/>
      <c r="C850" s="459"/>
      <c r="D850" s="459"/>
      <c r="E850" s="459"/>
      <c r="F850" s="459"/>
      <c r="G850" s="459"/>
      <c r="H850" s="459"/>
      <c r="I850" s="459"/>
      <c r="J850" s="459"/>
      <c r="K850" s="459"/>
      <c r="L850" s="416"/>
      <c r="M850" s="459"/>
      <c r="N850" s="459"/>
    </row>
    <row r="851" spans="1:14">
      <c r="A851" s="459"/>
      <c r="B851" s="459"/>
      <c r="C851" s="459"/>
      <c r="D851" s="459"/>
      <c r="E851" s="459"/>
      <c r="F851" s="459"/>
      <c r="G851" s="459"/>
      <c r="H851" s="459"/>
      <c r="I851" s="459"/>
      <c r="J851" s="459"/>
      <c r="K851" s="459"/>
      <c r="L851" s="416"/>
      <c r="M851" s="459"/>
      <c r="N851" s="459"/>
    </row>
    <row r="852" spans="1:14">
      <c r="A852" s="459"/>
      <c r="B852" s="459"/>
      <c r="C852" s="459"/>
      <c r="D852" s="459"/>
      <c r="E852" s="459"/>
      <c r="F852" s="459"/>
      <c r="G852" s="459"/>
      <c r="H852" s="459"/>
      <c r="I852" s="459"/>
      <c r="J852" s="459"/>
      <c r="K852" s="459"/>
      <c r="L852" s="416"/>
      <c r="M852" s="459"/>
      <c r="N852" s="459"/>
    </row>
    <row r="853" spans="1:14">
      <c r="A853" s="459"/>
      <c r="B853" s="459"/>
      <c r="C853" s="459"/>
      <c r="D853" s="459"/>
      <c r="E853" s="459"/>
      <c r="F853" s="459"/>
      <c r="G853" s="459"/>
      <c r="H853" s="459"/>
      <c r="I853" s="459"/>
      <c r="J853" s="459"/>
      <c r="K853" s="459"/>
      <c r="L853" s="416"/>
      <c r="M853" s="459"/>
      <c r="N853" s="459"/>
    </row>
    <row r="854" spans="1:14">
      <c r="A854" s="459"/>
      <c r="B854" s="459"/>
      <c r="C854" s="459"/>
      <c r="D854" s="459"/>
      <c r="E854" s="459"/>
      <c r="F854" s="459"/>
      <c r="G854" s="459"/>
      <c r="H854" s="459"/>
      <c r="I854" s="459"/>
      <c r="J854" s="459"/>
      <c r="K854" s="459"/>
      <c r="L854" s="416"/>
      <c r="M854" s="459"/>
      <c r="N854" s="459"/>
    </row>
    <row r="855" spans="1:14">
      <c r="A855" s="459"/>
      <c r="B855" s="459"/>
      <c r="C855" s="459"/>
      <c r="D855" s="459"/>
      <c r="E855" s="459"/>
      <c r="F855" s="459"/>
      <c r="G855" s="459"/>
      <c r="H855" s="459"/>
      <c r="I855" s="459"/>
      <c r="J855" s="459"/>
      <c r="K855" s="459"/>
      <c r="L855" s="416"/>
      <c r="M855" s="459"/>
      <c r="N855" s="459"/>
    </row>
    <row r="856" spans="1:14">
      <c r="A856" s="459"/>
      <c r="B856" s="459"/>
      <c r="C856" s="459"/>
      <c r="D856" s="459"/>
      <c r="E856" s="459"/>
      <c r="F856" s="459"/>
      <c r="G856" s="459"/>
      <c r="H856" s="459"/>
      <c r="I856" s="459"/>
      <c r="J856" s="459"/>
      <c r="K856" s="459"/>
      <c r="L856" s="416"/>
      <c r="M856" s="459"/>
      <c r="N856" s="459"/>
    </row>
    <row r="857" spans="1:14">
      <c r="A857" s="459"/>
      <c r="B857" s="459"/>
      <c r="C857" s="459"/>
      <c r="D857" s="459"/>
      <c r="E857" s="459"/>
      <c r="F857" s="459"/>
      <c r="G857" s="459"/>
      <c r="H857" s="459"/>
      <c r="I857" s="459"/>
      <c r="J857" s="459"/>
      <c r="K857" s="459"/>
      <c r="L857" s="416"/>
      <c r="M857" s="459"/>
      <c r="N857" s="459"/>
    </row>
    <row r="858" spans="1:14">
      <c r="A858" s="459"/>
      <c r="B858" s="459"/>
      <c r="C858" s="459"/>
      <c r="D858" s="459"/>
      <c r="E858" s="459"/>
      <c r="F858" s="459"/>
      <c r="G858" s="459"/>
      <c r="H858" s="459"/>
      <c r="I858" s="459"/>
      <c r="J858" s="459"/>
      <c r="K858" s="459"/>
      <c r="L858" s="416"/>
      <c r="M858" s="459"/>
      <c r="N858" s="459"/>
    </row>
    <row r="859" spans="1:14">
      <c r="A859" s="459"/>
      <c r="B859" s="459"/>
      <c r="C859" s="459"/>
      <c r="D859" s="459"/>
      <c r="E859" s="459"/>
      <c r="F859" s="459"/>
      <c r="G859" s="459"/>
      <c r="H859" s="459"/>
      <c r="I859" s="459"/>
      <c r="J859" s="459"/>
      <c r="K859" s="459"/>
      <c r="L859" s="416"/>
      <c r="M859" s="459"/>
      <c r="N859" s="459"/>
    </row>
    <row r="860" spans="1:14">
      <c r="A860" s="459"/>
      <c r="B860" s="459"/>
      <c r="C860" s="459"/>
      <c r="D860" s="459"/>
      <c r="E860" s="459"/>
      <c r="F860" s="459"/>
      <c r="G860" s="459"/>
      <c r="H860" s="459"/>
      <c r="I860" s="459"/>
      <c r="J860" s="459"/>
      <c r="K860" s="459"/>
      <c r="L860" s="416"/>
      <c r="M860" s="459"/>
      <c r="N860" s="459"/>
    </row>
    <row r="861" spans="1:14">
      <c r="A861" s="459"/>
      <c r="B861" s="459"/>
      <c r="C861" s="459"/>
      <c r="D861" s="459"/>
      <c r="E861" s="459"/>
      <c r="F861" s="459"/>
      <c r="G861" s="459"/>
      <c r="H861" s="459"/>
      <c r="I861" s="459"/>
      <c r="J861" s="459"/>
      <c r="K861" s="459"/>
      <c r="L861" s="416"/>
      <c r="M861" s="459"/>
      <c r="N861" s="459"/>
    </row>
    <row r="862" spans="1:14">
      <c r="A862" s="459"/>
      <c r="B862" s="459"/>
      <c r="C862" s="459"/>
      <c r="D862" s="459"/>
      <c r="E862" s="459"/>
      <c r="F862" s="459"/>
      <c r="G862" s="459"/>
      <c r="H862" s="459"/>
      <c r="I862" s="459"/>
      <c r="J862" s="459"/>
      <c r="K862" s="459"/>
      <c r="L862" s="416"/>
      <c r="M862" s="459"/>
      <c r="N862" s="459"/>
    </row>
    <row r="863" spans="1:14">
      <c r="A863" s="459"/>
      <c r="B863" s="459"/>
      <c r="C863" s="459"/>
      <c r="D863" s="459"/>
      <c r="E863" s="459"/>
      <c r="F863" s="459"/>
      <c r="G863" s="459"/>
      <c r="H863" s="459"/>
      <c r="I863" s="459"/>
      <c r="J863" s="459"/>
      <c r="K863" s="459"/>
      <c r="L863" s="416"/>
      <c r="M863" s="459"/>
      <c r="N863" s="459"/>
    </row>
    <row r="864" spans="1:14">
      <c r="A864" s="459"/>
      <c r="B864" s="459"/>
      <c r="C864" s="459"/>
      <c r="D864" s="459"/>
      <c r="E864" s="459"/>
      <c r="F864" s="459"/>
      <c r="G864" s="459"/>
      <c r="H864" s="459"/>
      <c r="I864" s="459"/>
      <c r="J864" s="459"/>
      <c r="K864" s="459"/>
      <c r="L864" s="416"/>
      <c r="M864" s="459"/>
      <c r="N864" s="459"/>
    </row>
    <row r="865" spans="1:14">
      <c r="A865" s="459"/>
      <c r="B865" s="459"/>
      <c r="C865" s="459"/>
      <c r="D865" s="459"/>
      <c r="E865" s="459"/>
      <c r="F865" s="459"/>
      <c r="G865" s="459"/>
      <c r="H865" s="459"/>
      <c r="I865" s="459"/>
      <c r="J865" s="459"/>
      <c r="K865" s="459"/>
      <c r="L865" s="416"/>
      <c r="M865" s="459"/>
      <c r="N865" s="459"/>
    </row>
    <row r="866" spans="1:14">
      <c r="A866" s="459"/>
      <c r="B866" s="459"/>
      <c r="C866" s="459"/>
      <c r="D866" s="459"/>
      <c r="E866" s="459"/>
      <c r="F866" s="459"/>
      <c r="G866" s="459"/>
      <c r="H866" s="459"/>
      <c r="I866" s="459"/>
      <c r="J866" s="459"/>
      <c r="K866" s="459"/>
      <c r="L866" s="416"/>
      <c r="M866" s="459"/>
      <c r="N866" s="459"/>
    </row>
    <row r="867" spans="1:14">
      <c r="A867" s="459"/>
      <c r="B867" s="459"/>
      <c r="C867" s="459"/>
      <c r="D867" s="459"/>
      <c r="E867" s="459"/>
      <c r="F867" s="459"/>
      <c r="G867" s="459"/>
      <c r="H867" s="459"/>
      <c r="I867" s="459"/>
      <c r="J867" s="459"/>
      <c r="K867" s="459"/>
      <c r="L867" s="416"/>
      <c r="M867" s="459"/>
      <c r="N867" s="459"/>
    </row>
    <row r="868" spans="1:14">
      <c r="A868" s="459"/>
      <c r="B868" s="459"/>
      <c r="C868" s="459"/>
      <c r="D868" s="459"/>
      <c r="E868" s="459"/>
      <c r="F868" s="459"/>
      <c r="G868" s="459"/>
      <c r="H868" s="459"/>
      <c r="I868" s="459"/>
      <c r="J868" s="459"/>
      <c r="K868" s="459"/>
      <c r="L868" s="416"/>
      <c r="M868" s="459"/>
      <c r="N868" s="459"/>
    </row>
    <row r="869" spans="1:14">
      <c r="A869" s="459"/>
      <c r="B869" s="459"/>
      <c r="C869" s="459"/>
      <c r="D869" s="459"/>
      <c r="E869" s="459"/>
      <c r="F869" s="459"/>
      <c r="G869" s="459"/>
      <c r="H869" s="459"/>
      <c r="I869" s="459"/>
      <c r="J869" s="459"/>
      <c r="K869" s="459"/>
      <c r="L869" s="416"/>
      <c r="M869" s="459"/>
      <c r="N869" s="459"/>
    </row>
    <row r="870" spans="1:14">
      <c r="A870" s="459"/>
      <c r="B870" s="459"/>
      <c r="C870" s="459"/>
      <c r="D870" s="459"/>
      <c r="E870" s="459"/>
      <c r="F870" s="459"/>
      <c r="G870" s="459"/>
      <c r="H870" s="459"/>
      <c r="I870" s="459"/>
      <c r="J870" s="459"/>
      <c r="K870" s="459"/>
      <c r="L870" s="416"/>
      <c r="M870" s="459"/>
      <c r="N870" s="459"/>
    </row>
    <row r="871" spans="1:14">
      <c r="A871" s="459"/>
      <c r="B871" s="459"/>
      <c r="C871" s="459"/>
      <c r="D871" s="459"/>
      <c r="E871" s="459"/>
      <c r="F871" s="459"/>
      <c r="G871" s="459"/>
      <c r="H871" s="459"/>
      <c r="I871" s="459"/>
      <c r="J871" s="459"/>
      <c r="K871" s="459"/>
      <c r="L871" s="416"/>
      <c r="M871" s="459"/>
      <c r="N871" s="459"/>
    </row>
    <row r="872" spans="1:14">
      <c r="A872" s="459"/>
      <c r="B872" s="459"/>
      <c r="C872" s="459"/>
      <c r="D872" s="459"/>
      <c r="E872" s="459"/>
      <c r="F872" s="459"/>
      <c r="G872" s="459"/>
      <c r="H872" s="459"/>
      <c r="I872" s="459"/>
      <c r="J872" s="459"/>
      <c r="K872" s="459"/>
      <c r="L872" s="416"/>
      <c r="M872" s="459"/>
      <c r="N872" s="459"/>
    </row>
    <row r="873" spans="1:14">
      <c r="A873" s="459"/>
      <c r="B873" s="459"/>
      <c r="C873" s="459"/>
      <c r="D873" s="459"/>
      <c r="E873" s="459"/>
      <c r="F873" s="459"/>
      <c r="G873" s="459"/>
      <c r="H873" s="459"/>
      <c r="I873" s="459"/>
      <c r="J873" s="459"/>
      <c r="K873" s="459"/>
      <c r="L873" s="416"/>
      <c r="M873" s="459"/>
      <c r="N873" s="459"/>
    </row>
    <row r="874" spans="1:14">
      <c r="A874" s="459"/>
      <c r="B874" s="459"/>
      <c r="C874" s="459"/>
      <c r="D874" s="459"/>
      <c r="E874" s="459"/>
      <c r="F874" s="459"/>
      <c r="G874" s="459"/>
      <c r="H874" s="459"/>
      <c r="I874" s="459"/>
      <c r="J874" s="459"/>
      <c r="K874" s="459"/>
      <c r="L874" s="416"/>
      <c r="M874" s="459"/>
      <c r="N874" s="459"/>
    </row>
    <row r="875" spans="1:14">
      <c r="A875" s="459"/>
      <c r="B875" s="459"/>
      <c r="C875" s="459"/>
      <c r="D875" s="459"/>
      <c r="E875" s="459"/>
      <c r="F875" s="459"/>
      <c r="G875" s="459"/>
      <c r="H875" s="459"/>
      <c r="I875" s="459"/>
      <c r="J875" s="459"/>
      <c r="K875" s="459"/>
      <c r="L875" s="416"/>
      <c r="M875" s="459"/>
      <c r="N875" s="459"/>
    </row>
    <row r="876" spans="1:14">
      <c r="A876" s="459"/>
      <c r="B876" s="459"/>
      <c r="C876" s="459"/>
      <c r="D876" s="459"/>
      <c r="E876" s="459"/>
      <c r="F876" s="459"/>
      <c r="G876" s="459"/>
      <c r="H876" s="459"/>
      <c r="I876" s="459"/>
      <c r="J876" s="459"/>
      <c r="K876" s="459"/>
      <c r="L876" s="416"/>
      <c r="M876" s="459"/>
      <c r="N876" s="459"/>
    </row>
    <row r="877" spans="1:14">
      <c r="A877" s="459"/>
      <c r="B877" s="459"/>
      <c r="C877" s="459"/>
      <c r="D877" s="459"/>
      <c r="E877" s="459"/>
      <c r="F877" s="459"/>
      <c r="G877" s="459"/>
      <c r="H877" s="459"/>
      <c r="I877" s="459"/>
      <c r="J877" s="459"/>
      <c r="K877" s="459"/>
      <c r="L877" s="416"/>
      <c r="M877" s="459"/>
      <c r="N877" s="459"/>
    </row>
    <row r="878" spans="1:14">
      <c r="A878" s="459"/>
      <c r="B878" s="459"/>
      <c r="C878" s="459"/>
      <c r="D878" s="459"/>
      <c r="E878" s="459"/>
      <c r="F878" s="459"/>
      <c r="G878" s="459"/>
      <c r="H878" s="459"/>
      <c r="I878" s="459"/>
      <c r="J878" s="459"/>
      <c r="K878" s="459"/>
      <c r="L878" s="416"/>
      <c r="M878" s="459"/>
      <c r="N878" s="459"/>
    </row>
    <row r="879" spans="1:14">
      <c r="A879" s="459"/>
      <c r="B879" s="459"/>
      <c r="C879" s="459"/>
      <c r="D879" s="459"/>
      <c r="E879" s="459"/>
      <c r="F879" s="459"/>
      <c r="G879" s="459"/>
      <c r="H879" s="459"/>
      <c r="I879" s="459"/>
      <c r="J879" s="459"/>
      <c r="K879" s="459"/>
      <c r="L879" s="416"/>
      <c r="M879" s="459"/>
      <c r="N879" s="459"/>
    </row>
    <row r="880" spans="1:14">
      <c r="A880" s="459"/>
      <c r="B880" s="459"/>
      <c r="C880" s="459"/>
      <c r="D880" s="459"/>
      <c r="E880" s="459"/>
      <c r="F880" s="459"/>
      <c r="G880" s="459"/>
      <c r="H880" s="459"/>
      <c r="I880" s="459"/>
      <c r="J880" s="459"/>
      <c r="K880" s="459"/>
      <c r="L880" s="416"/>
      <c r="M880" s="459"/>
      <c r="N880" s="459"/>
    </row>
    <row r="881" spans="1:14">
      <c r="A881" s="459"/>
      <c r="B881" s="459"/>
      <c r="C881" s="459"/>
      <c r="D881" s="459"/>
      <c r="E881" s="459"/>
      <c r="F881" s="459"/>
      <c r="G881" s="459"/>
      <c r="H881" s="459"/>
      <c r="I881" s="459"/>
      <c r="J881" s="459"/>
      <c r="K881" s="459"/>
      <c r="L881" s="416"/>
      <c r="M881" s="459"/>
      <c r="N881" s="459"/>
    </row>
    <row r="882" spans="1:14">
      <c r="A882" s="459"/>
      <c r="B882" s="459"/>
      <c r="C882" s="459"/>
      <c r="D882" s="459"/>
      <c r="E882" s="459"/>
      <c r="F882" s="459"/>
      <c r="G882" s="459"/>
      <c r="H882" s="459"/>
      <c r="I882" s="459"/>
      <c r="J882" s="459"/>
      <c r="K882" s="459"/>
      <c r="L882" s="416"/>
      <c r="M882" s="459"/>
      <c r="N882" s="459"/>
    </row>
    <row r="883" spans="1:14">
      <c r="A883" s="459"/>
      <c r="B883" s="459"/>
      <c r="C883" s="459"/>
      <c r="D883" s="459"/>
      <c r="E883" s="459"/>
      <c r="F883" s="459"/>
      <c r="G883" s="459"/>
      <c r="H883" s="459"/>
      <c r="I883" s="459"/>
      <c r="J883" s="459"/>
      <c r="K883" s="459"/>
      <c r="L883" s="416"/>
      <c r="M883" s="459"/>
      <c r="N883" s="459"/>
    </row>
    <row r="884" spans="1:14">
      <c r="A884" s="459"/>
      <c r="B884" s="459"/>
      <c r="C884" s="459"/>
      <c r="D884" s="459"/>
      <c r="E884" s="459"/>
      <c r="F884" s="459"/>
      <c r="G884" s="459"/>
      <c r="H884" s="459"/>
      <c r="I884" s="459"/>
      <c r="J884" s="459"/>
      <c r="K884" s="459"/>
      <c r="L884" s="416"/>
      <c r="M884" s="459"/>
      <c r="N884" s="459"/>
    </row>
    <row r="885" spans="1:14">
      <c r="A885" s="459"/>
      <c r="B885" s="459"/>
      <c r="C885" s="459"/>
      <c r="D885" s="459"/>
      <c r="E885" s="459"/>
      <c r="F885" s="459"/>
      <c r="G885" s="459"/>
      <c r="H885" s="459"/>
      <c r="I885" s="459"/>
      <c r="J885" s="459"/>
      <c r="K885" s="459"/>
      <c r="L885" s="416"/>
      <c r="M885" s="459"/>
      <c r="N885" s="459"/>
    </row>
    <row r="886" spans="1:14">
      <c r="A886" s="459"/>
      <c r="B886" s="459"/>
      <c r="C886" s="459"/>
      <c r="D886" s="459"/>
      <c r="E886" s="459"/>
      <c r="F886" s="459"/>
      <c r="G886" s="459"/>
      <c r="H886" s="459"/>
      <c r="I886" s="459"/>
      <c r="J886" s="459"/>
      <c r="K886" s="459"/>
      <c r="L886" s="416"/>
      <c r="M886" s="459"/>
      <c r="N886" s="459"/>
    </row>
    <row r="887" spans="1:14">
      <c r="A887" s="459"/>
      <c r="B887" s="459"/>
      <c r="C887" s="459"/>
      <c r="D887" s="459"/>
      <c r="E887" s="459"/>
      <c r="F887" s="459"/>
      <c r="G887" s="459"/>
      <c r="H887" s="459"/>
      <c r="I887" s="459"/>
      <c r="J887" s="459"/>
      <c r="K887" s="459"/>
      <c r="L887" s="416"/>
      <c r="M887" s="459"/>
      <c r="N887" s="459"/>
    </row>
    <row r="888" spans="1:14">
      <c r="A888" s="459"/>
      <c r="B888" s="459"/>
      <c r="C888" s="459"/>
      <c r="D888" s="459"/>
      <c r="E888" s="459"/>
      <c r="F888" s="459"/>
      <c r="G888" s="459"/>
      <c r="H888" s="459"/>
      <c r="I888" s="459"/>
      <c r="J888" s="459"/>
      <c r="K888" s="459"/>
      <c r="L888" s="416"/>
      <c r="M888" s="459"/>
      <c r="N888" s="459"/>
    </row>
    <row r="889" spans="1:14">
      <c r="A889" s="459"/>
      <c r="B889" s="459"/>
      <c r="C889" s="459"/>
      <c r="D889" s="459"/>
      <c r="E889" s="459"/>
      <c r="F889" s="459"/>
      <c r="G889" s="459"/>
      <c r="H889" s="459"/>
      <c r="I889" s="459"/>
      <c r="J889" s="459"/>
      <c r="K889" s="459"/>
      <c r="L889" s="416"/>
      <c r="M889" s="459"/>
      <c r="N889" s="459"/>
    </row>
    <row r="890" spans="1:14">
      <c r="A890" s="459"/>
      <c r="B890" s="459"/>
      <c r="C890" s="459"/>
      <c r="D890" s="459"/>
      <c r="E890" s="459"/>
      <c r="F890" s="459"/>
      <c r="G890" s="459"/>
      <c r="H890" s="459"/>
      <c r="I890" s="459"/>
      <c r="J890" s="459"/>
      <c r="K890" s="459"/>
      <c r="L890" s="416"/>
      <c r="M890" s="459"/>
      <c r="N890" s="459"/>
    </row>
    <row r="891" spans="1:14">
      <c r="A891" s="459"/>
      <c r="B891" s="459"/>
      <c r="C891" s="459"/>
      <c r="D891" s="459"/>
      <c r="E891" s="459"/>
      <c r="F891" s="459"/>
      <c r="G891" s="459"/>
      <c r="H891" s="459"/>
      <c r="I891" s="459"/>
      <c r="J891" s="459"/>
      <c r="K891" s="459"/>
      <c r="L891" s="416"/>
      <c r="M891" s="459"/>
      <c r="N891" s="459"/>
    </row>
    <row r="892" spans="1:14">
      <c r="A892" s="459"/>
      <c r="B892" s="459"/>
      <c r="C892" s="459"/>
      <c r="D892" s="459"/>
      <c r="E892" s="459"/>
      <c r="F892" s="459"/>
      <c r="G892" s="459"/>
      <c r="H892" s="459"/>
      <c r="I892" s="459"/>
      <c r="J892" s="459"/>
      <c r="K892" s="459"/>
      <c r="L892" s="416"/>
      <c r="M892" s="459"/>
      <c r="N892" s="459"/>
    </row>
    <row r="893" spans="1:14">
      <c r="A893" s="459"/>
      <c r="B893" s="459"/>
      <c r="C893" s="459"/>
      <c r="D893" s="459"/>
      <c r="E893" s="459"/>
      <c r="F893" s="459"/>
      <c r="G893" s="459"/>
      <c r="H893" s="459"/>
      <c r="I893" s="459"/>
      <c r="J893" s="459"/>
      <c r="K893" s="459"/>
      <c r="L893" s="416"/>
      <c r="M893" s="459"/>
      <c r="N893" s="459"/>
    </row>
    <row r="894" spans="1:14">
      <c r="A894" s="459"/>
      <c r="B894" s="459"/>
      <c r="C894" s="459"/>
      <c r="D894" s="459"/>
      <c r="E894" s="459"/>
      <c r="F894" s="459"/>
      <c r="G894" s="459"/>
      <c r="H894" s="459"/>
      <c r="I894" s="459"/>
      <c r="J894" s="459"/>
      <c r="K894" s="459"/>
      <c r="L894" s="416"/>
      <c r="M894" s="459"/>
      <c r="N894" s="459"/>
    </row>
    <row r="895" spans="1:14">
      <c r="A895" s="459"/>
      <c r="B895" s="459"/>
      <c r="C895" s="459"/>
      <c r="D895" s="459"/>
      <c r="E895" s="459"/>
      <c r="F895" s="459"/>
      <c r="G895" s="459"/>
      <c r="H895" s="459"/>
      <c r="I895" s="459"/>
      <c r="J895" s="459"/>
      <c r="K895" s="459"/>
      <c r="L895" s="416"/>
      <c r="M895" s="459"/>
      <c r="N895" s="459"/>
    </row>
    <row r="896" spans="1:14">
      <c r="A896" s="459"/>
      <c r="B896" s="459"/>
      <c r="C896" s="459"/>
      <c r="D896" s="459"/>
      <c r="E896" s="459"/>
      <c r="F896" s="459"/>
      <c r="G896" s="459"/>
      <c r="H896" s="459"/>
      <c r="I896" s="459"/>
      <c r="J896" s="459"/>
      <c r="K896" s="459"/>
      <c r="L896" s="416"/>
      <c r="M896" s="459"/>
      <c r="N896" s="459"/>
    </row>
    <row r="897" spans="1:14">
      <c r="A897" s="459"/>
      <c r="B897" s="459"/>
      <c r="C897" s="459"/>
      <c r="D897" s="459"/>
      <c r="E897" s="459"/>
      <c r="F897" s="459"/>
      <c r="G897" s="459"/>
      <c r="H897" s="459"/>
      <c r="I897" s="459"/>
      <c r="J897" s="459"/>
      <c r="K897" s="459"/>
      <c r="L897" s="416"/>
      <c r="M897" s="459"/>
      <c r="N897" s="459"/>
    </row>
    <row r="898" spans="1:14">
      <c r="A898" s="459"/>
      <c r="B898" s="459"/>
      <c r="C898" s="459"/>
      <c r="D898" s="459"/>
      <c r="E898" s="459"/>
      <c r="F898" s="459"/>
      <c r="G898" s="459"/>
      <c r="H898" s="459"/>
      <c r="I898" s="459"/>
      <c r="J898" s="459"/>
      <c r="K898" s="459"/>
      <c r="L898" s="416"/>
      <c r="M898" s="459"/>
      <c r="N898" s="459"/>
    </row>
    <row r="899" spans="1:14">
      <c r="A899" s="459"/>
      <c r="B899" s="459"/>
      <c r="C899" s="459"/>
      <c r="D899" s="459"/>
      <c r="E899" s="459"/>
      <c r="F899" s="459"/>
      <c r="G899" s="459"/>
      <c r="H899" s="459"/>
      <c r="I899" s="459"/>
      <c r="J899" s="459"/>
      <c r="K899" s="459"/>
      <c r="L899" s="416"/>
      <c r="M899" s="459"/>
      <c r="N899" s="459"/>
    </row>
    <row r="900" spans="1:14">
      <c r="A900" s="459"/>
      <c r="B900" s="459"/>
      <c r="C900" s="459"/>
      <c r="D900" s="459"/>
      <c r="E900" s="459"/>
      <c r="F900" s="459"/>
      <c r="G900" s="459"/>
      <c r="H900" s="459"/>
      <c r="I900" s="459"/>
      <c r="J900" s="459"/>
      <c r="K900" s="459"/>
      <c r="L900" s="416"/>
      <c r="M900" s="459"/>
      <c r="N900" s="459"/>
    </row>
    <row r="901" spans="1:14">
      <c r="A901" s="459"/>
      <c r="B901" s="459"/>
      <c r="C901" s="459"/>
      <c r="D901" s="459"/>
      <c r="E901" s="459"/>
      <c r="F901" s="459"/>
      <c r="G901" s="459"/>
      <c r="H901" s="459"/>
      <c r="I901" s="459"/>
      <c r="J901" s="459"/>
      <c r="K901" s="459"/>
      <c r="L901" s="416"/>
      <c r="M901" s="459"/>
      <c r="N901" s="459"/>
    </row>
    <row r="902" spans="1:14">
      <c r="A902" s="459"/>
      <c r="B902" s="459"/>
      <c r="C902" s="459"/>
      <c r="D902" s="459"/>
      <c r="E902" s="459"/>
      <c r="F902" s="459"/>
      <c r="G902" s="459"/>
      <c r="H902" s="459"/>
      <c r="I902" s="459"/>
      <c r="J902" s="459"/>
      <c r="K902" s="459"/>
      <c r="L902" s="416"/>
      <c r="M902" s="459"/>
      <c r="N902" s="459"/>
    </row>
    <row r="903" spans="1:14">
      <c r="A903" s="459"/>
      <c r="B903" s="459"/>
      <c r="C903" s="459"/>
      <c r="D903" s="459"/>
      <c r="E903" s="459"/>
      <c r="F903" s="459"/>
      <c r="G903" s="459"/>
      <c r="H903" s="459"/>
      <c r="I903" s="459"/>
      <c r="J903" s="459"/>
      <c r="K903" s="459"/>
      <c r="L903" s="416"/>
      <c r="M903" s="459"/>
      <c r="N903" s="459"/>
    </row>
    <row r="904" spans="1:14">
      <c r="A904" s="459"/>
      <c r="B904" s="459"/>
      <c r="C904" s="459"/>
      <c r="D904" s="459"/>
      <c r="E904" s="459"/>
      <c r="F904" s="459"/>
      <c r="G904" s="459"/>
      <c r="H904" s="459"/>
      <c r="I904" s="459"/>
      <c r="J904" s="459"/>
      <c r="K904" s="459"/>
      <c r="L904" s="416"/>
      <c r="M904" s="459"/>
      <c r="N904" s="459"/>
    </row>
    <row r="905" spans="1:14">
      <c r="A905" s="459"/>
      <c r="B905" s="459"/>
      <c r="C905" s="459"/>
      <c r="D905" s="459"/>
      <c r="E905" s="459"/>
      <c r="F905" s="459"/>
      <c r="G905" s="459"/>
      <c r="H905" s="459"/>
      <c r="I905" s="459"/>
      <c r="J905" s="459"/>
      <c r="K905" s="459"/>
      <c r="L905" s="416"/>
      <c r="M905" s="459"/>
      <c r="N905" s="459"/>
    </row>
    <row r="906" spans="1:14">
      <c r="A906" s="459"/>
      <c r="B906" s="459"/>
      <c r="C906" s="459"/>
      <c r="D906" s="459"/>
      <c r="E906" s="459"/>
      <c r="F906" s="459"/>
      <c r="G906" s="459"/>
      <c r="H906" s="459"/>
      <c r="I906" s="459"/>
      <c r="J906" s="459"/>
      <c r="K906" s="459"/>
      <c r="L906" s="416"/>
      <c r="M906" s="459"/>
      <c r="N906" s="459"/>
    </row>
    <row r="907" spans="1:14">
      <c r="A907" s="459"/>
      <c r="B907" s="459"/>
      <c r="C907" s="459"/>
      <c r="D907" s="459"/>
      <c r="E907" s="459"/>
      <c r="F907" s="459"/>
      <c r="G907" s="459"/>
      <c r="H907" s="459"/>
      <c r="I907" s="459"/>
      <c r="J907" s="459"/>
      <c r="K907" s="459"/>
      <c r="L907" s="416"/>
      <c r="M907" s="459"/>
      <c r="N907" s="459"/>
    </row>
    <row r="908" spans="1:14">
      <c r="A908" s="459"/>
      <c r="B908" s="459"/>
      <c r="C908" s="459"/>
      <c r="D908" s="459"/>
      <c r="E908" s="459"/>
      <c r="F908" s="459"/>
      <c r="G908" s="459"/>
      <c r="H908" s="459"/>
      <c r="I908" s="459"/>
      <c r="J908" s="459"/>
      <c r="K908" s="459"/>
      <c r="L908" s="416"/>
      <c r="M908" s="459"/>
      <c r="N908" s="459"/>
    </row>
    <row r="909" spans="1:14">
      <c r="A909" s="459"/>
      <c r="B909" s="459"/>
      <c r="C909" s="459"/>
      <c r="D909" s="459"/>
      <c r="E909" s="459"/>
      <c r="F909" s="459"/>
      <c r="G909" s="459"/>
      <c r="H909" s="459"/>
      <c r="I909" s="459"/>
      <c r="J909" s="459"/>
      <c r="K909" s="459"/>
      <c r="L909" s="416"/>
      <c r="M909" s="459"/>
      <c r="N909" s="459"/>
    </row>
    <row r="910" spans="1:14">
      <c r="A910" s="459"/>
      <c r="B910" s="459"/>
      <c r="C910" s="459"/>
      <c r="D910" s="459"/>
      <c r="E910" s="459"/>
      <c r="F910" s="459"/>
      <c r="G910" s="459"/>
      <c r="H910" s="459"/>
      <c r="I910" s="459"/>
      <c r="J910" s="459"/>
      <c r="K910" s="459"/>
      <c r="L910" s="416"/>
      <c r="M910" s="459"/>
      <c r="N910" s="459"/>
    </row>
    <row r="911" spans="1:14">
      <c r="A911" s="459"/>
      <c r="B911" s="459"/>
      <c r="C911" s="459"/>
      <c r="D911" s="459"/>
      <c r="E911" s="459"/>
      <c r="F911" s="459"/>
      <c r="G911" s="459"/>
      <c r="H911" s="459"/>
      <c r="I911" s="459"/>
      <c r="J911" s="459"/>
      <c r="K911" s="459"/>
      <c r="L911" s="416"/>
      <c r="M911" s="459"/>
      <c r="N911" s="459"/>
    </row>
    <row r="912" spans="1:14">
      <c r="A912" s="459"/>
      <c r="B912" s="459"/>
      <c r="C912" s="459"/>
      <c r="D912" s="459"/>
      <c r="E912" s="459"/>
      <c r="F912" s="459"/>
      <c r="G912" s="459"/>
      <c r="H912" s="459"/>
      <c r="I912" s="459"/>
      <c r="J912" s="459"/>
      <c r="K912" s="459"/>
      <c r="L912" s="416"/>
      <c r="M912" s="459"/>
      <c r="N912" s="459"/>
    </row>
    <row r="913" spans="1:14">
      <c r="A913" s="459"/>
      <c r="B913" s="459"/>
      <c r="C913" s="459"/>
      <c r="D913" s="459"/>
      <c r="E913" s="459"/>
      <c r="F913" s="459"/>
      <c r="G913" s="459"/>
      <c r="H913" s="459"/>
      <c r="I913" s="459"/>
      <c r="J913" s="459"/>
      <c r="K913" s="459"/>
      <c r="L913" s="416"/>
      <c r="M913" s="459"/>
      <c r="N913" s="459"/>
    </row>
    <row r="914" spans="1:14">
      <c r="A914" s="459"/>
      <c r="B914" s="459"/>
      <c r="C914" s="459"/>
      <c r="D914" s="459"/>
      <c r="E914" s="459"/>
      <c r="F914" s="459"/>
      <c r="G914" s="459"/>
      <c r="H914" s="459"/>
      <c r="I914" s="459"/>
      <c r="J914" s="459"/>
      <c r="K914" s="459"/>
      <c r="L914" s="416"/>
      <c r="M914" s="459"/>
      <c r="N914" s="459"/>
    </row>
    <row r="915" spans="1:14">
      <c r="A915" s="459"/>
      <c r="B915" s="459"/>
      <c r="C915" s="459"/>
      <c r="D915" s="459"/>
      <c r="E915" s="459"/>
      <c r="F915" s="459"/>
      <c r="G915" s="459"/>
      <c r="H915" s="459"/>
      <c r="I915" s="459"/>
      <c r="J915" s="459"/>
      <c r="K915" s="459"/>
      <c r="L915" s="416"/>
      <c r="M915" s="459"/>
      <c r="N915" s="459"/>
    </row>
    <row r="916" spans="1:14">
      <c r="A916" s="459"/>
      <c r="B916" s="459"/>
      <c r="C916" s="459"/>
      <c r="D916" s="459"/>
      <c r="E916" s="459"/>
      <c r="F916" s="459"/>
      <c r="G916" s="459"/>
      <c r="H916" s="459"/>
      <c r="I916" s="459"/>
      <c r="J916" s="459"/>
      <c r="K916" s="459"/>
      <c r="L916" s="416"/>
      <c r="M916" s="459"/>
      <c r="N916" s="459"/>
    </row>
    <row r="917" spans="1:14">
      <c r="A917" s="459"/>
      <c r="B917" s="459"/>
      <c r="C917" s="459"/>
      <c r="D917" s="459"/>
      <c r="E917" s="459"/>
      <c r="F917" s="459"/>
      <c r="G917" s="459"/>
      <c r="H917" s="459"/>
      <c r="I917" s="459"/>
      <c r="J917" s="459"/>
      <c r="K917" s="459"/>
      <c r="L917" s="416"/>
      <c r="M917" s="459"/>
      <c r="N917" s="459"/>
    </row>
    <row r="918" spans="1:14">
      <c r="A918" s="459"/>
      <c r="B918" s="459"/>
      <c r="C918" s="459"/>
      <c r="D918" s="459"/>
      <c r="E918" s="459"/>
      <c r="F918" s="459"/>
      <c r="G918" s="459"/>
      <c r="H918" s="459"/>
      <c r="I918" s="459"/>
      <c r="J918" s="459"/>
      <c r="K918" s="459"/>
      <c r="L918" s="416"/>
      <c r="M918" s="459"/>
      <c r="N918" s="459"/>
    </row>
    <row r="919" spans="1:14">
      <c r="A919" s="459"/>
      <c r="B919" s="459"/>
      <c r="C919" s="459"/>
      <c r="D919" s="459"/>
      <c r="E919" s="459"/>
      <c r="F919" s="459"/>
      <c r="G919" s="459"/>
      <c r="H919" s="459"/>
      <c r="I919" s="459"/>
      <c r="J919" s="459"/>
      <c r="K919" s="459"/>
      <c r="L919" s="416"/>
      <c r="M919" s="459"/>
      <c r="N919" s="459"/>
    </row>
    <row r="920" spans="1:14">
      <c r="A920" s="459"/>
      <c r="B920" s="459"/>
      <c r="C920" s="459"/>
      <c r="D920" s="459"/>
      <c r="E920" s="459"/>
      <c r="F920" s="459"/>
      <c r="G920" s="459"/>
      <c r="H920" s="459"/>
      <c r="I920" s="459"/>
      <c r="J920" s="459"/>
      <c r="K920" s="459"/>
      <c r="L920" s="416"/>
      <c r="M920" s="459"/>
      <c r="N920" s="459"/>
    </row>
    <row r="921" spans="1:14">
      <c r="A921" s="459"/>
      <c r="B921" s="459"/>
      <c r="C921" s="459"/>
      <c r="D921" s="459"/>
      <c r="E921" s="459"/>
      <c r="F921" s="459"/>
      <c r="G921" s="459"/>
      <c r="H921" s="459"/>
      <c r="I921" s="459"/>
      <c r="J921" s="459"/>
      <c r="K921" s="459"/>
      <c r="L921" s="416"/>
      <c r="M921" s="459"/>
      <c r="N921" s="459"/>
    </row>
    <row r="922" spans="1:14">
      <c r="A922" s="459"/>
      <c r="B922" s="459"/>
      <c r="C922" s="459"/>
      <c r="D922" s="459"/>
      <c r="E922" s="459"/>
      <c r="F922" s="459"/>
      <c r="G922" s="459"/>
      <c r="H922" s="459"/>
      <c r="I922" s="459"/>
      <c r="J922" s="459"/>
      <c r="K922" s="459"/>
      <c r="L922" s="416"/>
      <c r="M922" s="459"/>
      <c r="N922" s="459"/>
    </row>
    <row r="923" spans="1:14">
      <c r="A923" s="459"/>
      <c r="B923" s="459"/>
      <c r="C923" s="459"/>
      <c r="D923" s="459"/>
      <c r="E923" s="459"/>
      <c r="F923" s="459"/>
      <c r="G923" s="459"/>
      <c r="H923" s="459"/>
      <c r="I923" s="459"/>
      <c r="J923" s="459"/>
      <c r="K923" s="459"/>
      <c r="L923" s="416"/>
      <c r="M923" s="459"/>
      <c r="N923" s="459"/>
    </row>
    <row r="924" spans="1:14">
      <c r="A924" s="459"/>
      <c r="B924" s="459"/>
      <c r="C924" s="459"/>
      <c r="D924" s="459"/>
      <c r="E924" s="459"/>
      <c r="F924" s="459"/>
      <c r="G924" s="459"/>
      <c r="H924" s="459"/>
      <c r="I924" s="459"/>
      <c r="J924" s="459"/>
      <c r="K924" s="459"/>
      <c r="L924" s="416"/>
      <c r="M924" s="459"/>
      <c r="N924" s="459"/>
    </row>
    <row r="925" spans="1:14">
      <c r="A925" s="459"/>
      <c r="B925" s="459"/>
      <c r="C925" s="459"/>
      <c r="D925" s="459"/>
      <c r="E925" s="459"/>
      <c r="F925" s="459"/>
      <c r="G925" s="459"/>
      <c r="H925" s="459"/>
      <c r="I925" s="459"/>
      <c r="J925" s="459"/>
      <c r="K925" s="459"/>
      <c r="L925" s="416"/>
      <c r="M925" s="459"/>
      <c r="N925" s="459"/>
    </row>
    <row r="926" spans="1:14">
      <c r="A926" s="459"/>
      <c r="B926" s="459"/>
      <c r="C926" s="459"/>
      <c r="D926" s="459"/>
      <c r="E926" s="459"/>
      <c r="F926" s="459"/>
      <c r="G926" s="459"/>
      <c r="H926" s="459"/>
      <c r="I926" s="459"/>
      <c r="J926" s="459"/>
      <c r="K926" s="459"/>
      <c r="L926" s="416"/>
      <c r="M926" s="459"/>
      <c r="N926" s="459"/>
    </row>
    <row r="927" spans="1:14">
      <c r="A927" s="459"/>
      <c r="B927" s="459"/>
      <c r="C927" s="459"/>
      <c r="D927" s="459"/>
      <c r="E927" s="459"/>
      <c r="F927" s="459"/>
      <c r="G927" s="459"/>
      <c r="H927" s="459"/>
      <c r="I927" s="459"/>
      <c r="J927" s="459"/>
      <c r="K927" s="459"/>
      <c r="L927" s="416"/>
      <c r="M927" s="459"/>
      <c r="N927" s="459"/>
    </row>
    <row r="928" spans="1:14">
      <c r="A928" s="459"/>
      <c r="B928" s="459"/>
      <c r="C928" s="459"/>
      <c r="D928" s="459"/>
      <c r="E928" s="459"/>
      <c r="F928" s="459"/>
      <c r="G928" s="459"/>
      <c r="H928" s="459"/>
      <c r="I928" s="459"/>
      <c r="J928" s="459"/>
      <c r="K928" s="459"/>
      <c r="L928" s="416"/>
      <c r="M928" s="459"/>
      <c r="N928" s="459"/>
    </row>
    <row r="929" spans="1:14">
      <c r="A929" s="459"/>
      <c r="B929" s="459"/>
      <c r="C929" s="459"/>
      <c r="D929" s="459"/>
      <c r="E929" s="459"/>
      <c r="F929" s="459"/>
      <c r="G929" s="459"/>
      <c r="H929" s="459"/>
      <c r="I929" s="459"/>
      <c r="J929" s="459"/>
      <c r="K929" s="459"/>
      <c r="L929" s="416"/>
      <c r="M929" s="459"/>
      <c r="N929" s="459"/>
    </row>
    <row r="930" spans="1:14">
      <c r="A930" s="459"/>
      <c r="B930" s="459"/>
      <c r="C930" s="459"/>
      <c r="D930" s="459"/>
      <c r="E930" s="459"/>
      <c r="F930" s="459"/>
      <c r="G930" s="459"/>
      <c r="H930" s="459"/>
      <c r="I930" s="459"/>
      <c r="J930" s="459"/>
      <c r="K930" s="459"/>
      <c r="L930" s="416"/>
      <c r="M930" s="459"/>
      <c r="N930" s="459"/>
    </row>
    <row r="931" spans="1:14">
      <c r="A931" s="459"/>
      <c r="B931" s="459"/>
      <c r="C931" s="459"/>
      <c r="D931" s="459"/>
      <c r="E931" s="459"/>
      <c r="F931" s="459"/>
      <c r="G931" s="459"/>
      <c r="H931" s="459"/>
      <c r="I931" s="459"/>
      <c r="J931" s="459"/>
      <c r="K931" s="459"/>
      <c r="L931" s="416"/>
      <c r="M931" s="459"/>
      <c r="N931" s="459"/>
    </row>
    <row r="932" spans="1:14">
      <c r="A932" s="459"/>
      <c r="B932" s="459"/>
      <c r="C932" s="459"/>
      <c r="D932" s="459"/>
      <c r="E932" s="459"/>
      <c r="F932" s="459"/>
      <c r="G932" s="459"/>
      <c r="H932" s="459"/>
      <c r="I932" s="459"/>
      <c r="J932" s="459"/>
      <c r="K932" s="459"/>
      <c r="L932" s="416"/>
      <c r="M932" s="459"/>
      <c r="N932" s="459"/>
    </row>
    <row r="933" spans="1:14">
      <c r="A933" s="459"/>
      <c r="B933" s="459"/>
      <c r="C933" s="459"/>
      <c r="D933" s="459"/>
      <c r="E933" s="459"/>
      <c r="F933" s="459"/>
      <c r="G933" s="459"/>
      <c r="H933" s="459"/>
      <c r="I933" s="459"/>
      <c r="J933" s="459"/>
      <c r="K933" s="459"/>
      <c r="L933" s="416"/>
      <c r="M933" s="459"/>
      <c r="N933" s="459"/>
    </row>
    <row r="934" spans="1:14">
      <c r="A934" s="459"/>
      <c r="B934" s="459"/>
      <c r="C934" s="459"/>
      <c r="D934" s="459"/>
      <c r="E934" s="459"/>
      <c r="F934" s="459"/>
      <c r="G934" s="459"/>
      <c r="H934" s="459"/>
      <c r="I934" s="459"/>
      <c r="J934" s="459"/>
      <c r="K934" s="459"/>
      <c r="L934" s="416"/>
      <c r="M934" s="459"/>
      <c r="N934" s="459"/>
    </row>
    <row r="935" spans="1:14">
      <c r="A935" s="459"/>
      <c r="B935" s="459"/>
      <c r="C935" s="459"/>
      <c r="D935" s="459"/>
      <c r="E935" s="459"/>
      <c r="F935" s="459"/>
      <c r="G935" s="459"/>
      <c r="H935" s="459"/>
      <c r="I935" s="459"/>
      <c r="J935" s="459"/>
      <c r="K935" s="459"/>
      <c r="L935" s="416"/>
      <c r="M935" s="459"/>
      <c r="N935" s="459"/>
    </row>
    <row r="936" spans="1:14">
      <c r="A936" s="459"/>
      <c r="B936" s="459"/>
      <c r="C936" s="459"/>
      <c r="D936" s="459"/>
      <c r="E936" s="459"/>
      <c r="F936" s="459"/>
      <c r="G936" s="459"/>
      <c r="H936" s="459"/>
      <c r="I936" s="459"/>
      <c r="J936" s="459"/>
      <c r="K936" s="459"/>
      <c r="L936" s="416"/>
      <c r="M936" s="459"/>
      <c r="N936" s="459"/>
    </row>
    <row r="937" spans="1:14">
      <c r="A937" s="459"/>
      <c r="B937" s="459"/>
      <c r="C937" s="459"/>
      <c r="D937" s="459"/>
      <c r="E937" s="459"/>
      <c r="F937" s="459"/>
      <c r="G937" s="459"/>
      <c r="H937" s="459"/>
      <c r="I937" s="459"/>
      <c r="J937" s="459"/>
      <c r="K937" s="459"/>
      <c r="L937" s="416"/>
      <c r="M937" s="459"/>
      <c r="N937" s="459"/>
    </row>
    <row r="938" spans="1:14">
      <c r="A938" s="459"/>
      <c r="B938" s="459"/>
      <c r="C938" s="459"/>
      <c r="D938" s="459"/>
      <c r="E938" s="459"/>
      <c r="F938" s="459"/>
      <c r="G938" s="459"/>
      <c r="H938" s="459"/>
      <c r="I938" s="459"/>
      <c r="J938" s="459"/>
      <c r="K938" s="459"/>
      <c r="L938" s="416"/>
      <c r="M938" s="459"/>
      <c r="N938" s="459"/>
    </row>
    <row r="939" spans="1:14">
      <c r="A939" s="459"/>
      <c r="B939" s="459"/>
      <c r="C939" s="459"/>
      <c r="D939" s="459"/>
      <c r="E939" s="459"/>
      <c r="F939" s="459"/>
      <c r="G939" s="459"/>
      <c r="H939" s="459"/>
      <c r="I939" s="459"/>
      <c r="J939" s="459"/>
      <c r="K939" s="459"/>
      <c r="L939" s="416"/>
      <c r="M939" s="459"/>
      <c r="N939" s="459"/>
    </row>
    <row r="940" spans="1:14">
      <c r="A940" s="459"/>
      <c r="B940" s="459"/>
      <c r="C940" s="459"/>
      <c r="D940" s="459"/>
      <c r="E940" s="459"/>
      <c r="F940" s="459"/>
      <c r="G940" s="459"/>
      <c r="H940" s="459"/>
      <c r="I940" s="459"/>
      <c r="J940" s="459"/>
      <c r="K940" s="459"/>
      <c r="L940" s="416"/>
      <c r="M940" s="459"/>
      <c r="N940" s="459"/>
    </row>
    <row r="941" spans="1:14">
      <c r="A941" s="459"/>
      <c r="B941" s="459"/>
      <c r="C941" s="459"/>
      <c r="D941" s="459"/>
      <c r="E941" s="459"/>
      <c r="F941" s="459"/>
      <c r="G941" s="459"/>
      <c r="H941" s="459"/>
      <c r="I941" s="459"/>
      <c r="J941" s="459"/>
      <c r="K941" s="459"/>
      <c r="L941" s="416"/>
      <c r="M941" s="459"/>
      <c r="N941" s="459"/>
    </row>
    <row r="942" spans="1:14">
      <c r="A942" s="459"/>
      <c r="B942" s="459"/>
      <c r="C942" s="459"/>
      <c r="D942" s="459"/>
      <c r="E942" s="459"/>
      <c r="F942" s="459"/>
      <c r="G942" s="459"/>
      <c r="H942" s="459"/>
      <c r="I942" s="459"/>
      <c r="J942" s="459"/>
      <c r="K942" s="459"/>
      <c r="L942" s="416"/>
      <c r="M942" s="459"/>
      <c r="N942" s="459"/>
    </row>
    <row r="943" spans="1:14">
      <c r="A943" s="459"/>
      <c r="B943" s="459"/>
      <c r="C943" s="459"/>
      <c r="D943" s="459"/>
      <c r="E943" s="459"/>
      <c r="F943" s="459"/>
      <c r="G943" s="459"/>
      <c r="H943" s="459"/>
      <c r="I943" s="459"/>
      <c r="J943" s="459"/>
      <c r="K943" s="459"/>
      <c r="L943" s="416"/>
      <c r="M943" s="459"/>
      <c r="N943" s="459"/>
    </row>
    <row r="944" spans="1:14">
      <c r="A944" s="459"/>
      <c r="B944" s="459"/>
      <c r="C944" s="459"/>
      <c r="D944" s="459"/>
      <c r="E944" s="459"/>
      <c r="F944" s="459"/>
      <c r="G944" s="459"/>
      <c r="H944" s="459"/>
      <c r="I944" s="459"/>
      <c r="J944" s="459"/>
      <c r="K944" s="459"/>
      <c r="L944" s="416"/>
      <c r="M944" s="459"/>
      <c r="N944" s="459"/>
    </row>
    <row r="945" spans="1:14">
      <c r="A945" s="459"/>
      <c r="B945" s="459"/>
      <c r="C945" s="459"/>
      <c r="D945" s="459"/>
      <c r="E945" s="459"/>
      <c r="F945" s="459"/>
      <c r="G945" s="459"/>
      <c r="H945" s="459"/>
      <c r="I945" s="459"/>
      <c r="J945" s="459"/>
      <c r="K945" s="459"/>
      <c r="L945" s="416"/>
      <c r="M945" s="459"/>
      <c r="N945" s="459"/>
    </row>
    <row r="946" spans="1:14">
      <c r="A946" s="459"/>
      <c r="B946" s="459"/>
      <c r="C946" s="459"/>
      <c r="D946" s="459"/>
      <c r="E946" s="459"/>
      <c r="F946" s="459"/>
      <c r="G946" s="459"/>
      <c r="H946" s="459"/>
      <c r="I946" s="459"/>
      <c r="J946" s="459"/>
      <c r="K946" s="459"/>
      <c r="L946" s="416"/>
      <c r="M946" s="459"/>
      <c r="N946" s="459"/>
    </row>
    <row r="947" spans="1:14">
      <c r="A947" s="459"/>
      <c r="B947" s="459"/>
      <c r="C947" s="459"/>
      <c r="D947" s="459"/>
      <c r="E947" s="459"/>
      <c r="F947" s="459"/>
      <c r="G947" s="459"/>
      <c r="H947" s="459"/>
      <c r="I947" s="459"/>
      <c r="J947" s="459"/>
      <c r="K947" s="459"/>
      <c r="L947" s="416"/>
      <c r="M947" s="459"/>
      <c r="N947" s="459"/>
    </row>
    <row r="948" spans="1:14">
      <c r="A948" s="459"/>
      <c r="B948" s="459"/>
      <c r="C948" s="459"/>
      <c r="D948" s="459"/>
      <c r="E948" s="459"/>
      <c r="F948" s="459"/>
      <c r="G948" s="459"/>
      <c r="H948" s="459"/>
      <c r="I948" s="459"/>
      <c r="J948" s="459"/>
      <c r="K948" s="459"/>
      <c r="L948" s="416"/>
      <c r="M948" s="459"/>
      <c r="N948" s="459"/>
    </row>
    <row r="949" spans="1:14">
      <c r="A949" s="459"/>
      <c r="B949" s="459"/>
      <c r="C949" s="459"/>
      <c r="D949" s="459"/>
      <c r="E949" s="459"/>
      <c r="F949" s="459"/>
      <c r="G949" s="459"/>
      <c r="H949" s="459"/>
      <c r="I949" s="459"/>
      <c r="J949" s="459"/>
      <c r="K949" s="459"/>
      <c r="L949" s="416"/>
      <c r="M949" s="459"/>
      <c r="N949" s="459"/>
    </row>
    <row r="950" spans="1:14">
      <c r="A950" s="459"/>
      <c r="B950" s="459"/>
      <c r="C950" s="459"/>
      <c r="D950" s="459"/>
      <c r="E950" s="459"/>
      <c r="F950" s="459"/>
      <c r="G950" s="459"/>
      <c r="H950" s="459"/>
      <c r="I950" s="459"/>
      <c r="J950" s="459"/>
      <c r="K950" s="459"/>
      <c r="L950" s="416"/>
      <c r="M950" s="459"/>
      <c r="N950" s="459"/>
    </row>
    <row r="951" spans="1:14">
      <c r="A951" s="459"/>
      <c r="B951" s="459"/>
      <c r="C951" s="459"/>
      <c r="D951" s="459"/>
      <c r="E951" s="459"/>
      <c r="F951" s="459"/>
      <c r="G951" s="459"/>
      <c r="H951" s="459"/>
      <c r="I951" s="459"/>
      <c r="J951" s="459"/>
      <c r="K951" s="459"/>
      <c r="L951" s="416"/>
      <c r="M951" s="459"/>
      <c r="N951" s="459"/>
    </row>
    <row r="952" spans="1:14">
      <c r="A952" s="459"/>
      <c r="B952" s="459"/>
      <c r="C952" s="459"/>
      <c r="D952" s="459"/>
      <c r="E952" s="459"/>
      <c r="F952" s="459"/>
      <c r="G952" s="459"/>
      <c r="H952" s="459"/>
      <c r="I952" s="459"/>
      <c r="J952" s="459"/>
      <c r="K952" s="459"/>
      <c r="L952" s="416"/>
      <c r="M952" s="459"/>
      <c r="N952" s="459"/>
    </row>
    <row r="953" spans="1:14">
      <c r="A953" s="459"/>
      <c r="B953" s="459"/>
      <c r="C953" s="459"/>
      <c r="D953" s="459"/>
      <c r="E953" s="459"/>
      <c r="F953" s="459"/>
      <c r="G953" s="459"/>
      <c r="H953" s="459"/>
      <c r="I953" s="459"/>
      <c r="J953" s="459"/>
      <c r="K953" s="459"/>
      <c r="L953" s="416"/>
      <c r="M953" s="459"/>
      <c r="N953" s="459"/>
    </row>
    <row r="954" spans="1:14">
      <c r="A954" s="459"/>
      <c r="B954" s="459"/>
      <c r="C954" s="459"/>
      <c r="D954" s="459"/>
      <c r="E954" s="459"/>
      <c r="F954" s="459"/>
      <c r="G954" s="459"/>
      <c r="H954" s="459"/>
      <c r="I954" s="459"/>
      <c r="J954" s="459"/>
      <c r="K954" s="459"/>
      <c r="L954" s="416"/>
      <c r="M954" s="459"/>
      <c r="N954" s="459"/>
    </row>
    <row r="955" spans="1:14">
      <c r="A955" s="459"/>
      <c r="B955" s="459"/>
      <c r="C955" s="459"/>
      <c r="D955" s="459"/>
      <c r="E955" s="459"/>
      <c r="F955" s="459"/>
      <c r="G955" s="459"/>
      <c r="H955" s="459"/>
      <c r="I955" s="459"/>
      <c r="J955" s="459"/>
      <c r="K955" s="459"/>
      <c r="L955" s="416"/>
      <c r="M955" s="459"/>
      <c r="N955" s="459"/>
    </row>
    <row r="956" spans="1:14">
      <c r="A956" s="459"/>
      <c r="B956" s="459"/>
      <c r="C956" s="459"/>
      <c r="D956" s="459"/>
      <c r="E956" s="459"/>
      <c r="F956" s="459"/>
      <c r="G956" s="459"/>
      <c r="H956" s="459"/>
      <c r="I956" s="459"/>
      <c r="J956" s="459"/>
      <c r="K956" s="459"/>
      <c r="L956" s="416"/>
      <c r="M956" s="459"/>
      <c r="N956" s="459"/>
    </row>
    <row r="957" spans="1:14">
      <c r="A957" s="459"/>
      <c r="B957" s="459"/>
      <c r="C957" s="459"/>
      <c r="D957" s="459"/>
      <c r="E957" s="459"/>
      <c r="F957" s="459"/>
      <c r="G957" s="459"/>
      <c r="H957" s="459"/>
      <c r="I957" s="459"/>
      <c r="J957" s="459"/>
      <c r="K957" s="459"/>
      <c r="L957" s="416"/>
      <c r="M957" s="459"/>
      <c r="N957" s="459"/>
    </row>
    <row r="958" spans="1:14">
      <c r="A958" s="459"/>
      <c r="B958" s="459"/>
      <c r="C958" s="459"/>
      <c r="D958" s="459"/>
      <c r="E958" s="459"/>
      <c r="F958" s="459"/>
      <c r="G958" s="459"/>
      <c r="H958" s="459"/>
      <c r="I958" s="459"/>
      <c r="J958" s="459"/>
      <c r="K958" s="459"/>
      <c r="L958" s="416"/>
      <c r="M958" s="459"/>
      <c r="N958" s="459"/>
    </row>
    <row r="959" spans="1:14">
      <c r="A959" s="459"/>
      <c r="B959" s="459"/>
      <c r="C959" s="459"/>
      <c r="D959" s="459"/>
      <c r="E959" s="459"/>
      <c r="F959" s="459"/>
      <c r="G959" s="459"/>
      <c r="H959" s="459"/>
      <c r="I959" s="459"/>
      <c r="J959" s="459"/>
      <c r="K959" s="459"/>
      <c r="L959" s="416"/>
      <c r="M959" s="459"/>
      <c r="N959" s="459"/>
    </row>
    <row r="960" spans="1:14">
      <c r="A960" s="459"/>
      <c r="B960" s="459"/>
      <c r="C960" s="459"/>
      <c r="D960" s="459"/>
      <c r="E960" s="459"/>
      <c r="F960" s="459"/>
      <c r="G960" s="459"/>
      <c r="H960" s="459"/>
      <c r="I960" s="459"/>
      <c r="J960" s="459"/>
      <c r="K960" s="459"/>
      <c r="L960" s="416"/>
      <c r="M960" s="459"/>
      <c r="N960" s="459"/>
    </row>
    <row r="961" spans="1:14">
      <c r="A961" s="459"/>
      <c r="B961" s="459"/>
      <c r="C961" s="459"/>
      <c r="D961" s="459"/>
      <c r="E961" s="459"/>
      <c r="F961" s="459"/>
      <c r="G961" s="459"/>
      <c r="H961" s="459"/>
      <c r="I961" s="459"/>
      <c r="J961" s="459"/>
      <c r="K961" s="459"/>
      <c r="L961" s="416"/>
      <c r="M961" s="459"/>
      <c r="N961" s="459"/>
    </row>
    <row r="962" spans="1:14">
      <c r="A962" s="459"/>
      <c r="B962" s="459"/>
      <c r="C962" s="459"/>
      <c r="D962" s="459"/>
      <c r="E962" s="459"/>
      <c r="F962" s="459"/>
      <c r="G962" s="459"/>
      <c r="H962" s="459"/>
      <c r="I962" s="459"/>
      <c r="J962" s="459"/>
      <c r="K962" s="459"/>
      <c r="L962" s="416"/>
      <c r="M962" s="459"/>
      <c r="N962" s="459"/>
    </row>
    <row r="963" spans="1:14">
      <c r="A963" s="459"/>
      <c r="B963" s="459"/>
      <c r="C963" s="459"/>
      <c r="D963" s="459"/>
      <c r="E963" s="459"/>
      <c r="F963" s="459"/>
      <c r="G963" s="459"/>
      <c r="H963" s="459"/>
      <c r="I963" s="459"/>
      <c r="J963" s="459"/>
      <c r="K963" s="459"/>
      <c r="L963" s="416"/>
      <c r="M963" s="459"/>
      <c r="N963" s="459"/>
    </row>
    <row r="964" spans="1:14">
      <c r="A964" s="459"/>
      <c r="B964" s="459"/>
      <c r="C964" s="459"/>
      <c r="D964" s="459"/>
      <c r="E964" s="459"/>
      <c r="F964" s="459"/>
      <c r="G964" s="459"/>
      <c r="H964" s="459"/>
      <c r="I964" s="459"/>
      <c r="J964" s="459"/>
      <c r="K964" s="459"/>
      <c r="L964" s="416"/>
      <c r="M964" s="459"/>
      <c r="N964" s="459"/>
    </row>
    <row r="965" spans="1:14">
      <c r="A965" s="459"/>
      <c r="B965" s="459"/>
      <c r="C965" s="459"/>
      <c r="D965" s="459"/>
      <c r="E965" s="459"/>
      <c r="F965" s="459"/>
      <c r="G965" s="459"/>
      <c r="H965" s="459"/>
      <c r="I965" s="459"/>
      <c r="J965" s="459"/>
      <c r="K965" s="459"/>
      <c r="L965" s="416"/>
      <c r="M965" s="459"/>
      <c r="N965" s="459"/>
    </row>
    <row r="966" spans="1:14">
      <c r="A966" s="459"/>
      <c r="B966" s="459"/>
      <c r="C966" s="459"/>
      <c r="D966" s="459"/>
      <c r="E966" s="459"/>
      <c r="F966" s="459"/>
      <c r="G966" s="459"/>
      <c r="H966" s="459"/>
      <c r="I966" s="459"/>
      <c r="J966" s="459"/>
      <c r="K966" s="459"/>
      <c r="L966" s="416"/>
      <c r="M966" s="459"/>
      <c r="N966" s="459"/>
    </row>
    <row r="967" spans="1:14">
      <c r="A967" s="459"/>
      <c r="B967" s="459"/>
      <c r="C967" s="459"/>
      <c r="D967" s="459"/>
      <c r="E967" s="459"/>
      <c r="F967" s="459"/>
      <c r="G967" s="459"/>
      <c r="H967" s="459"/>
      <c r="I967" s="459"/>
      <c r="J967" s="459"/>
      <c r="K967" s="459"/>
      <c r="L967" s="416"/>
      <c r="M967" s="459"/>
      <c r="N967" s="459"/>
    </row>
    <row r="968" spans="1:14">
      <c r="A968" s="459"/>
      <c r="B968" s="459"/>
      <c r="C968" s="459"/>
      <c r="D968" s="459"/>
      <c r="E968" s="459"/>
      <c r="F968" s="459"/>
      <c r="G968" s="459"/>
      <c r="H968" s="459"/>
      <c r="I968" s="459"/>
      <c r="J968" s="459"/>
      <c r="K968" s="459"/>
      <c r="L968" s="416"/>
      <c r="M968" s="459"/>
      <c r="N968" s="459"/>
    </row>
    <row r="969" spans="1:14">
      <c r="A969" s="459"/>
      <c r="B969" s="459"/>
      <c r="C969" s="459"/>
      <c r="D969" s="459"/>
      <c r="E969" s="459"/>
      <c r="F969" s="459"/>
      <c r="G969" s="459"/>
      <c r="H969" s="459"/>
      <c r="I969" s="459"/>
      <c r="J969" s="459"/>
      <c r="K969" s="459"/>
      <c r="L969" s="416"/>
      <c r="M969" s="459"/>
      <c r="N969" s="459"/>
    </row>
    <row r="970" spans="1:14">
      <c r="A970" s="459"/>
      <c r="B970" s="459"/>
      <c r="C970" s="459"/>
      <c r="D970" s="459"/>
      <c r="E970" s="459"/>
      <c r="F970" s="459"/>
      <c r="G970" s="459"/>
      <c r="H970" s="459"/>
      <c r="I970" s="459"/>
      <c r="J970" s="459"/>
      <c r="K970" s="459"/>
      <c r="L970" s="416"/>
      <c r="M970" s="459"/>
      <c r="N970" s="459"/>
    </row>
    <row r="971" spans="1:14">
      <c r="A971" s="459"/>
      <c r="B971" s="459"/>
      <c r="C971" s="459"/>
      <c r="D971" s="459"/>
      <c r="E971" s="459"/>
      <c r="F971" s="459"/>
      <c r="G971" s="459"/>
      <c r="H971" s="459"/>
      <c r="I971" s="459"/>
      <c r="J971" s="459"/>
      <c r="K971" s="459"/>
      <c r="L971" s="416"/>
      <c r="M971" s="459"/>
      <c r="N971" s="459"/>
    </row>
    <row r="972" spans="1:14">
      <c r="A972" s="459"/>
      <c r="B972" s="459"/>
      <c r="C972" s="459"/>
      <c r="D972" s="459"/>
      <c r="E972" s="459"/>
      <c r="F972" s="459"/>
      <c r="G972" s="459"/>
      <c r="H972" s="459"/>
      <c r="I972" s="459"/>
      <c r="J972" s="459"/>
      <c r="K972" s="459"/>
      <c r="L972" s="416"/>
      <c r="M972" s="459"/>
      <c r="N972" s="459"/>
    </row>
    <row r="973" spans="1:14">
      <c r="A973" s="459"/>
      <c r="B973" s="459"/>
      <c r="C973" s="459"/>
      <c r="D973" s="459"/>
      <c r="E973" s="459"/>
      <c r="F973" s="459"/>
      <c r="G973" s="459"/>
      <c r="H973" s="459"/>
      <c r="I973" s="459"/>
      <c r="J973" s="459"/>
      <c r="K973" s="459"/>
      <c r="L973" s="416"/>
      <c r="M973" s="459"/>
      <c r="N973" s="459"/>
    </row>
    <row r="974" spans="1:14">
      <c r="A974" s="459"/>
      <c r="B974" s="459"/>
      <c r="C974" s="459"/>
      <c r="D974" s="459"/>
      <c r="E974" s="459"/>
      <c r="F974" s="459"/>
      <c r="G974" s="459"/>
      <c r="H974" s="459"/>
      <c r="I974" s="459"/>
      <c r="J974" s="459"/>
      <c r="K974" s="459"/>
      <c r="L974" s="416"/>
      <c r="M974" s="459"/>
      <c r="N974" s="459"/>
    </row>
    <row r="975" spans="1:14">
      <c r="A975" s="459"/>
      <c r="B975" s="459"/>
      <c r="C975" s="459"/>
      <c r="D975" s="459"/>
      <c r="E975" s="459"/>
      <c r="F975" s="459"/>
      <c r="G975" s="459"/>
      <c r="H975" s="459"/>
      <c r="I975" s="459"/>
      <c r="J975" s="459"/>
      <c r="K975" s="459"/>
      <c r="L975" s="416"/>
      <c r="M975" s="459"/>
      <c r="N975" s="459"/>
    </row>
    <row r="976" spans="1:14">
      <c r="A976" s="459"/>
      <c r="B976" s="459"/>
      <c r="C976" s="459"/>
      <c r="D976" s="459"/>
      <c r="E976" s="459"/>
      <c r="F976" s="459"/>
      <c r="G976" s="459"/>
      <c r="H976" s="459"/>
      <c r="I976" s="459"/>
      <c r="J976" s="459"/>
      <c r="K976" s="459"/>
      <c r="L976" s="416"/>
      <c r="M976" s="459"/>
      <c r="N976" s="459"/>
    </row>
    <row r="977" spans="1:14">
      <c r="A977" s="459"/>
      <c r="B977" s="459"/>
      <c r="C977" s="459"/>
      <c r="D977" s="459"/>
      <c r="E977" s="459"/>
      <c r="F977" s="459"/>
      <c r="G977" s="459"/>
      <c r="H977" s="459"/>
      <c r="I977" s="459"/>
      <c r="J977" s="459"/>
      <c r="K977" s="459"/>
      <c r="L977" s="416"/>
      <c r="M977" s="459"/>
      <c r="N977" s="459"/>
    </row>
    <row r="978" spans="1:14">
      <c r="A978" s="459"/>
      <c r="B978" s="459"/>
      <c r="C978" s="459"/>
      <c r="D978" s="459"/>
      <c r="E978" s="459"/>
      <c r="F978" s="459"/>
      <c r="G978" s="459"/>
      <c r="H978" s="459"/>
      <c r="I978" s="459"/>
      <c r="J978" s="459"/>
      <c r="K978" s="459"/>
      <c r="L978" s="416"/>
      <c r="M978" s="459"/>
      <c r="N978" s="459"/>
    </row>
    <row r="979" spans="1:14">
      <c r="A979" s="459"/>
      <c r="B979" s="459"/>
      <c r="C979" s="459"/>
      <c r="D979" s="459"/>
      <c r="E979" s="459"/>
      <c r="F979" s="459"/>
      <c r="G979" s="459"/>
      <c r="H979" s="459"/>
      <c r="I979" s="459"/>
      <c r="J979" s="459"/>
      <c r="K979" s="459"/>
      <c r="L979" s="416"/>
      <c r="M979" s="459"/>
      <c r="N979" s="459"/>
    </row>
    <row r="980" spans="1:14">
      <c r="A980" s="459"/>
      <c r="B980" s="459"/>
      <c r="C980" s="459"/>
      <c r="D980" s="459"/>
      <c r="E980" s="459"/>
      <c r="F980" s="459"/>
      <c r="G980" s="459"/>
      <c r="H980" s="459"/>
      <c r="I980" s="459"/>
      <c r="J980" s="459"/>
      <c r="K980" s="459"/>
      <c r="L980" s="416"/>
      <c r="M980" s="459"/>
      <c r="N980" s="459"/>
    </row>
    <row r="981" spans="1:14">
      <c r="A981" s="459"/>
      <c r="B981" s="459"/>
      <c r="C981" s="459"/>
      <c r="D981" s="459"/>
      <c r="E981" s="459"/>
      <c r="F981" s="459"/>
      <c r="G981" s="459"/>
      <c r="H981" s="459"/>
      <c r="I981" s="459"/>
      <c r="J981" s="459"/>
      <c r="K981" s="459"/>
      <c r="L981" s="416"/>
      <c r="M981" s="459"/>
      <c r="N981" s="459"/>
    </row>
    <row r="982" spans="1:14">
      <c r="A982" s="459"/>
      <c r="B982" s="459"/>
      <c r="C982" s="459"/>
      <c r="D982" s="459"/>
      <c r="E982" s="459"/>
      <c r="F982" s="459"/>
      <c r="G982" s="459"/>
      <c r="H982" s="459"/>
      <c r="I982" s="459"/>
      <c r="J982" s="459"/>
      <c r="K982" s="459"/>
      <c r="L982" s="416"/>
      <c r="M982" s="459"/>
      <c r="N982" s="459"/>
    </row>
    <row r="983" spans="1:14">
      <c r="A983" s="459"/>
      <c r="B983" s="459"/>
      <c r="C983" s="459"/>
      <c r="D983" s="459"/>
      <c r="E983" s="459"/>
      <c r="F983" s="459"/>
      <c r="G983" s="459"/>
      <c r="H983" s="459"/>
      <c r="I983" s="459"/>
      <c r="J983" s="459"/>
      <c r="K983" s="459"/>
      <c r="L983" s="416"/>
      <c r="M983" s="459"/>
      <c r="N983" s="459"/>
    </row>
    <row r="984" spans="1:14">
      <c r="A984" s="459"/>
      <c r="B984" s="459"/>
      <c r="C984" s="459"/>
      <c r="D984" s="459"/>
      <c r="E984" s="459"/>
      <c r="F984" s="459"/>
      <c r="G984" s="459"/>
      <c r="H984" s="459"/>
      <c r="I984" s="459"/>
      <c r="J984" s="459"/>
      <c r="K984" s="459"/>
      <c r="L984" s="416"/>
      <c r="M984" s="459"/>
      <c r="N984" s="459"/>
    </row>
    <row r="985" spans="1:14">
      <c r="A985" s="459"/>
      <c r="B985" s="459"/>
      <c r="C985" s="459"/>
      <c r="D985" s="459"/>
      <c r="E985" s="459"/>
      <c r="F985" s="459"/>
      <c r="G985" s="459"/>
      <c r="H985" s="459"/>
      <c r="I985" s="459"/>
      <c r="J985" s="459"/>
      <c r="K985" s="459"/>
      <c r="L985" s="416"/>
      <c r="M985" s="459"/>
      <c r="N985" s="459"/>
    </row>
    <row r="986" spans="1:14">
      <c r="A986" s="459"/>
      <c r="B986" s="459"/>
      <c r="C986" s="459"/>
      <c r="D986" s="459"/>
      <c r="E986" s="459"/>
      <c r="F986" s="459"/>
      <c r="G986" s="459"/>
      <c r="H986" s="459"/>
      <c r="I986" s="459"/>
      <c r="J986" s="459"/>
      <c r="K986" s="459"/>
      <c r="L986" s="416"/>
      <c r="M986" s="459"/>
      <c r="N986" s="459"/>
    </row>
    <row r="987" spans="1:14">
      <c r="A987" s="459"/>
      <c r="B987" s="459"/>
      <c r="C987" s="459"/>
      <c r="D987" s="459"/>
      <c r="E987" s="459"/>
      <c r="F987" s="459"/>
      <c r="G987" s="459"/>
      <c r="H987" s="459"/>
      <c r="I987" s="459"/>
      <c r="J987" s="459"/>
      <c r="K987" s="459"/>
      <c r="L987" s="416"/>
      <c r="M987" s="459"/>
      <c r="N987" s="459"/>
    </row>
    <row r="988" spans="1:14">
      <c r="A988" s="459"/>
      <c r="B988" s="459"/>
      <c r="C988" s="459"/>
      <c r="D988" s="459"/>
      <c r="E988" s="459"/>
      <c r="F988" s="459"/>
      <c r="G988" s="459"/>
      <c r="H988" s="459"/>
      <c r="I988" s="459"/>
      <c r="J988" s="459"/>
      <c r="K988" s="459"/>
      <c r="L988" s="416"/>
      <c r="M988" s="459"/>
      <c r="N988" s="459"/>
    </row>
    <row r="989" spans="1:14">
      <c r="A989" s="459"/>
      <c r="B989" s="459"/>
      <c r="C989" s="459"/>
      <c r="D989" s="459"/>
      <c r="E989" s="459"/>
      <c r="F989" s="459"/>
      <c r="G989" s="459"/>
      <c r="H989" s="459"/>
      <c r="I989" s="459"/>
      <c r="J989" s="459"/>
      <c r="K989" s="459"/>
      <c r="L989" s="416"/>
      <c r="M989" s="459"/>
      <c r="N989" s="459"/>
    </row>
    <row r="990" spans="1:14">
      <c r="A990" s="459"/>
      <c r="B990" s="459"/>
      <c r="C990" s="459"/>
      <c r="D990" s="459"/>
      <c r="E990" s="459"/>
      <c r="F990" s="459"/>
      <c r="G990" s="459"/>
      <c r="H990" s="459"/>
      <c r="I990" s="459"/>
      <c r="J990" s="459"/>
      <c r="K990" s="459"/>
      <c r="L990" s="416"/>
      <c r="M990" s="459"/>
      <c r="N990" s="459"/>
    </row>
    <row r="991" spans="1:14">
      <c r="A991" s="459"/>
      <c r="B991" s="459"/>
      <c r="C991" s="459"/>
      <c r="D991" s="459"/>
      <c r="E991" s="459"/>
      <c r="F991" s="459"/>
      <c r="G991" s="459"/>
      <c r="H991" s="459"/>
      <c r="I991" s="459"/>
      <c r="J991" s="459"/>
      <c r="K991" s="459"/>
      <c r="L991" s="416"/>
      <c r="M991" s="459"/>
      <c r="N991" s="459"/>
    </row>
    <row r="992" spans="1:14">
      <c r="A992" s="459"/>
      <c r="B992" s="459"/>
      <c r="C992" s="459"/>
      <c r="D992" s="459"/>
      <c r="E992" s="459"/>
      <c r="F992" s="459"/>
      <c r="G992" s="459"/>
      <c r="H992" s="459"/>
      <c r="I992" s="459"/>
      <c r="J992" s="459"/>
      <c r="K992" s="459"/>
      <c r="L992" s="416"/>
      <c r="M992" s="459"/>
      <c r="N992" s="459"/>
    </row>
    <row r="993" spans="1:14">
      <c r="A993" s="459"/>
      <c r="B993" s="459"/>
      <c r="C993" s="459"/>
      <c r="D993" s="459"/>
      <c r="E993" s="459"/>
      <c r="F993" s="459"/>
      <c r="G993" s="459"/>
      <c r="H993" s="459"/>
      <c r="I993" s="459"/>
      <c r="J993" s="459"/>
      <c r="K993" s="459"/>
      <c r="L993" s="416"/>
      <c r="M993" s="459"/>
      <c r="N993" s="459"/>
    </row>
    <row r="994" spans="1:14">
      <c r="A994" s="459"/>
      <c r="B994" s="459"/>
      <c r="C994" s="459"/>
      <c r="D994" s="459"/>
      <c r="E994" s="459"/>
      <c r="F994" s="459"/>
      <c r="G994" s="459"/>
      <c r="H994" s="459"/>
      <c r="I994" s="459"/>
      <c r="J994" s="459"/>
      <c r="K994" s="459"/>
      <c r="L994" s="416"/>
      <c r="M994" s="459"/>
      <c r="N994" s="459"/>
    </row>
    <row r="995" spans="1:14">
      <c r="A995" s="459"/>
      <c r="B995" s="459"/>
      <c r="C995" s="459"/>
      <c r="D995" s="459"/>
      <c r="E995" s="459"/>
      <c r="F995" s="459"/>
      <c r="G995" s="459"/>
      <c r="H995" s="459"/>
      <c r="I995" s="459"/>
      <c r="J995" s="459"/>
      <c r="K995" s="459"/>
      <c r="L995" s="416"/>
      <c r="M995" s="459"/>
      <c r="N995" s="459"/>
    </row>
    <row r="996" spans="1:14">
      <c r="A996" s="459"/>
      <c r="B996" s="459"/>
      <c r="C996" s="459"/>
      <c r="D996" s="459"/>
      <c r="E996" s="459"/>
      <c r="F996" s="459"/>
      <c r="G996" s="459"/>
      <c r="H996" s="459"/>
      <c r="I996" s="459"/>
      <c r="J996" s="459"/>
      <c r="K996" s="459"/>
      <c r="L996" s="416"/>
      <c r="M996" s="459"/>
      <c r="N996" s="459"/>
    </row>
    <row r="997" spans="1:14">
      <c r="A997" s="459"/>
      <c r="B997" s="459"/>
      <c r="C997" s="459"/>
      <c r="D997" s="459"/>
      <c r="E997" s="459"/>
      <c r="F997" s="459"/>
      <c r="G997" s="459"/>
      <c r="H997" s="459"/>
      <c r="I997" s="459"/>
      <c r="J997" s="459"/>
      <c r="K997" s="459"/>
      <c r="L997" s="416"/>
      <c r="M997" s="459"/>
      <c r="N997" s="459"/>
    </row>
    <row r="998" spans="1:14">
      <c r="A998" s="459"/>
      <c r="B998" s="459"/>
      <c r="C998" s="459"/>
      <c r="D998" s="459"/>
      <c r="E998" s="459"/>
      <c r="F998" s="459"/>
      <c r="G998" s="459"/>
      <c r="H998" s="459"/>
      <c r="I998" s="459"/>
      <c r="J998" s="459"/>
      <c r="K998" s="459"/>
      <c r="L998" s="416"/>
      <c r="M998" s="459"/>
      <c r="N998" s="459"/>
    </row>
    <row r="999" spans="1:14">
      <c r="A999" s="459"/>
      <c r="B999" s="459"/>
      <c r="C999" s="459"/>
      <c r="D999" s="459"/>
      <c r="E999" s="459"/>
      <c r="F999" s="459"/>
      <c r="G999" s="459"/>
      <c r="H999" s="459"/>
      <c r="I999" s="459"/>
      <c r="J999" s="459"/>
      <c r="K999" s="459"/>
      <c r="L999" s="416"/>
      <c r="M999" s="459"/>
      <c r="N999" s="459"/>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1:Q1003"/>
  <sheetViews>
    <sheetView workbookViewId="0"/>
  </sheetViews>
  <sheetFormatPr defaultColWidth="12.5703125" defaultRowHeight="15" customHeight="1"/>
  <cols>
    <col min="2" max="2" width="17.140625" customWidth="1"/>
    <col min="14" max="14" width="16" customWidth="1"/>
  </cols>
  <sheetData>
    <row r="1" spans="2:8" ht="24.75" customHeight="1">
      <c r="B1" s="429" t="s">
        <v>1446</v>
      </c>
      <c r="C1" s="409">
        <v>87</v>
      </c>
      <c r="E1" s="409" t="s">
        <v>1365</v>
      </c>
    </row>
    <row r="2" spans="2:8" ht="15.75" customHeight="1">
      <c r="B2" s="414" t="s">
        <v>1366</v>
      </c>
      <c r="C2" s="430">
        <v>58</v>
      </c>
      <c r="E2" s="409" t="s">
        <v>39</v>
      </c>
    </row>
    <row r="3" spans="2:8" ht="15.75" customHeight="1">
      <c r="B3" s="430" t="s">
        <v>1447</v>
      </c>
      <c r="C3" s="430">
        <v>5</v>
      </c>
      <c r="E3" s="409" t="s">
        <v>1368</v>
      </c>
    </row>
    <row r="4" spans="2:8" ht="15.75" customHeight="1">
      <c r="B4" s="430" t="s">
        <v>1448</v>
      </c>
      <c r="C4" s="430">
        <v>4</v>
      </c>
    </row>
    <row r="5" spans="2:8" ht="15.75" customHeight="1">
      <c r="B5" s="409" t="s">
        <v>1449</v>
      </c>
      <c r="C5" s="409">
        <v>2</v>
      </c>
    </row>
    <row r="6" spans="2:8" ht="15.75" customHeight="1">
      <c r="E6" s="409" t="s">
        <v>1450</v>
      </c>
      <c r="F6" s="409" t="s">
        <v>1451</v>
      </c>
      <c r="G6" s="409" t="s">
        <v>1452</v>
      </c>
      <c r="H6" s="409" t="s">
        <v>1453</v>
      </c>
    </row>
    <row r="7" spans="2:8" ht="15.75" customHeight="1">
      <c r="B7" s="409" t="s">
        <v>1454</v>
      </c>
      <c r="C7" s="430">
        <v>87</v>
      </c>
      <c r="G7" s="409">
        <v>66</v>
      </c>
      <c r="H7" s="409">
        <v>87</v>
      </c>
    </row>
    <row r="8" spans="2:8" ht="15.75" customHeight="1">
      <c r="B8" s="409" t="s">
        <v>41</v>
      </c>
      <c r="C8" s="430">
        <v>68</v>
      </c>
      <c r="G8" s="413">
        <v>1</v>
      </c>
      <c r="H8" s="413">
        <v>2</v>
      </c>
    </row>
    <row r="9" spans="2:8" ht="15.75" customHeight="1">
      <c r="B9" s="409" t="s">
        <v>79</v>
      </c>
      <c r="C9" s="430">
        <v>10</v>
      </c>
      <c r="D9" s="431" t="s">
        <v>1455</v>
      </c>
      <c r="E9" s="431" t="s">
        <v>1456</v>
      </c>
      <c r="G9" s="413">
        <v>2</v>
      </c>
      <c r="H9" s="413">
        <v>2</v>
      </c>
    </row>
    <row r="10" spans="2:8" ht="15.75" customHeight="1">
      <c r="B10" s="409" t="s">
        <v>1371</v>
      </c>
      <c r="C10" s="409">
        <v>1</v>
      </c>
      <c r="D10" s="431">
        <v>2023</v>
      </c>
      <c r="E10" s="431">
        <v>87</v>
      </c>
      <c r="G10" s="413">
        <v>35</v>
      </c>
      <c r="H10" s="413">
        <v>37</v>
      </c>
    </row>
    <row r="11" spans="2:8" ht="15.75" customHeight="1">
      <c r="B11" s="409" t="s">
        <v>1372</v>
      </c>
      <c r="C11" s="409">
        <v>1</v>
      </c>
      <c r="D11" s="431">
        <v>2024</v>
      </c>
      <c r="E11" s="431">
        <v>111</v>
      </c>
      <c r="G11" s="413">
        <v>7</v>
      </c>
      <c r="H11" s="413">
        <v>7</v>
      </c>
    </row>
    <row r="12" spans="2:8" ht="15.75" customHeight="1">
      <c r="B12" s="409" t="s">
        <v>1373</v>
      </c>
      <c r="C12" s="409">
        <v>1</v>
      </c>
      <c r="D12" s="431">
        <v>2025</v>
      </c>
      <c r="E12" s="431">
        <v>67</v>
      </c>
      <c r="G12" s="413">
        <v>2</v>
      </c>
      <c r="H12" s="413">
        <v>2</v>
      </c>
    </row>
    <row r="13" spans="2:8" ht="15.75" customHeight="1">
      <c r="B13" s="409" t="s">
        <v>1374</v>
      </c>
      <c r="C13" s="409">
        <v>1</v>
      </c>
      <c r="G13" s="413">
        <v>19</v>
      </c>
      <c r="H13" s="413">
        <v>37</v>
      </c>
    </row>
    <row r="14" spans="2:8" ht="15.75" customHeight="1">
      <c r="B14" s="409" t="s">
        <v>1375</v>
      </c>
      <c r="C14" s="409">
        <v>1</v>
      </c>
    </row>
    <row r="15" spans="2:8" ht="15.75" customHeight="1">
      <c r="B15" s="409" t="s">
        <v>1457</v>
      </c>
      <c r="C15" s="409">
        <v>1</v>
      </c>
    </row>
    <row r="16" spans="2:8" ht="15.75" customHeight="1">
      <c r="B16" s="409" t="s">
        <v>1458</v>
      </c>
      <c r="C16" s="409">
        <v>1</v>
      </c>
    </row>
    <row r="17" spans="2:7" ht="15.75" customHeight="1">
      <c r="B17" s="409" t="s">
        <v>1351</v>
      </c>
      <c r="C17" s="409">
        <v>1</v>
      </c>
    </row>
    <row r="18" spans="2:7" ht="15.75" customHeight="1">
      <c r="B18" s="409" t="s">
        <v>1459</v>
      </c>
      <c r="C18" s="409">
        <v>1</v>
      </c>
    </row>
    <row r="19" spans="2:7" ht="15.75" customHeight="1"/>
    <row r="20" spans="2:7" ht="15.75" customHeight="1">
      <c r="B20" s="432" t="s">
        <v>104</v>
      </c>
      <c r="C20" s="433">
        <v>54</v>
      </c>
    </row>
    <row r="21" spans="2:7" ht="15.75" customHeight="1">
      <c r="B21" s="434" t="s">
        <v>40</v>
      </c>
      <c r="C21" s="435">
        <v>31</v>
      </c>
    </row>
    <row r="22" spans="2:7" ht="15.75" customHeight="1">
      <c r="B22" s="436" t="s">
        <v>627</v>
      </c>
      <c r="C22" s="437">
        <v>2</v>
      </c>
    </row>
    <row r="23" spans="2:7" ht="15.75" customHeight="1"/>
    <row r="24" spans="2:7" ht="39.75" customHeight="1">
      <c r="B24" s="413" t="s">
        <v>1376</v>
      </c>
      <c r="C24" s="416" t="s">
        <v>1460</v>
      </c>
      <c r="D24" s="417" t="s">
        <v>1378</v>
      </c>
      <c r="E24" s="409" t="s">
        <v>1461</v>
      </c>
    </row>
    <row r="25" spans="2:7" ht="15.75" customHeight="1">
      <c r="B25" s="413" t="s">
        <v>1379</v>
      </c>
      <c r="C25" s="413">
        <v>2</v>
      </c>
      <c r="D25" s="418" t="s">
        <v>1462</v>
      </c>
      <c r="E25" s="409" t="s">
        <v>1463</v>
      </c>
    </row>
    <row r="26" spans="2:7" ht="15.75" customHeight="1">
      <c r="B26" s="413" t="s">
        <v>772</v>
      </c>
      <c r="C26" s="413">
        <v>2</v>
      </c>
      <c r="D26" s="418" t="s">
        <v>1464</v>
      </c>
      <c r="E26" s="409" t="s">
        <v>1394</v>
      </c>
    </row>
    <row r="27" spans="2:7" ht="15.75" customHeight="1">
      <c r="B27" s="413" t="s">
        <v>80</v>
      </c>
      <c r="C27" s="413">
        <v>37</v>
      </c>
      <c r="D27" s="418" t="s">
        <v>1465</v>
      </c>
    </row>
    <row r="28" spans="2:7" ht="15.75" customHeight="1">
      <c r="B28" s="413" t="s">
        <v>1034</v>
      </c>
      <c r="C28" s="413">
        <v>7</v>
      </c>
      <c r="D28" s="418" t="s">
        <v>1466</v>
      </c>
    </row>
    <row r="29" spans="2:7" ht="15.75" customHeight="1">
      <c r="B29" s="413" t="s">
        <v>1091</v>
      </c>
      <c r="C29" s="413">
        <v>2</v>
      </c>
      <c r="D29" s="418" t="s">
        <v>1467</v>
      </c>
    </row>
    <row r="30" spans="2:7" ht="15.75" customHeight="1">
      <c r="B30" s="413" t="s">
        <v>1380</v>
      </c>
      <c r="C30" s="413">
        <v>37</v>
      </c>
      <c r="D30" s="418" t="s">
        <v>1468</v>
      </c>
    </row>
    <row r="31" spans="2:7" ht="15.75" customHeight="1"/>
    <row r="32" spans="2:7" ht="15.75" customHeight="1">
      <c r="G32" s="420">
        <v>1</v>
      </c>
    </row>
    <row r="33" spans="2:16" ht="15.75" customHeight="1">
      <c r="B33" s="419" t="s">
        <v>1381</v>
      </c>
      <c r="C33" s="409">
        <v>53</v>
      </c>
      <c r="D33" s="420">
        <v>1</v>
      </c>
      <c r="E33" s="419" t="s">
        <v>1382</v>
      </c>
      <c r="F33" s="419">
        <v>66</v>
      </c>
      <c r="G33" s="421">
        <v>0.81499999999999995</v>
      </c>
    </row>
    <row r="34" spans="2:16" ht="15.75" customHeight="1">
      <c r="B34" s="419" t="s">
        <v>1383</v>
      </c>
      <c r="C34" s="409">
        <v>37</v>
      </c>
      <c r="D34" s="420">
        <v>0.70499999999999996</v>
      </c>
      <c r="E34" s="419" t="s">
        <v>1384</v>
      </c>
      <c r="F34" s="419">
        <v>53</v>
      </c>
      <c r="G34" s="422">
        <v>0.08</v>
      </c>
    </row>
    <row r="35" spans="2:16" ht="15.75" customHeight="1">
      <c r="B35" s="419" t="s">
        <v>1385</v>
      </c>
      <c r="C35" s="409">
        <v>14</v>
      </c>
      <c r="D35" s="422">
        <v>0.39</v>
      </c>
      <c r="E35" s="419" t="s">
        <v>1002</v>
      </c>
      <c r="F35" s="419">
        <v>5</v>
      </c>
      <c r="G35" s="422">
        <v>0.08</v>
      </c>
    </row>
    <row r="36" spans="2:16" ht="15.75" customHeight="1">
      <c r="B36" s="419" t="s">
        <v>1386</v>
      </c>
      <c r="C36" s="409">
        <v>1</v>
      </c>
      <c r="D36" s="420">
        <v>7.0999999999999994E-2</v>
      </c>
      <c r="E36" s="419" t="s">
        <v>1387</v>
      </c>
      <c r="F36" s="419">
        <v>6</v>
      </c>
      <c r="G36" s="422">
        <v>0.04</v>
      </c>
    </row>
    <row r="37" spans="2:16" ht="15.75" customHeight="1">
      <c r="B37" s="419" t="s">
        <v>1388</v>
      </c>
      <c r="C37" s="409">
        <v>2</v>
      </c>
      <c r="D37" s="422">
        <v>0.04</v>
      </c>
      <c r="E37" s="419" t="s">
        <v>1389</v>
      </c>
      <c r="F37" s="419">
        <v>2</v>
      </c>
      <c r="G37" s="419"/>
    </row>
    <row r="38" spans="2:16" ht="15.75" customHeight="1">
      <c r="B38" s="419" t="s">
        <v>1002</v>
      </c>
      <c r="C38" s="409">
        <v>5</v>
      </c>
      <c r="G38" s="419"/>
    </row>
    <row r="39" spans="2:16" ht="15.75" customHeight="1">
      <c r="B39" s="419" t="s">
        <v>1387</v>
      </c>
      <c r="C39" s="409">
        <v>5</v>
      </c>
      <c r="G39" s="419"/>
    </row>
    <row r="40" spans="2:16" ht="15.75" customHeight="1">
      <c r="B40" s="419" t="s">
        <v>1389</v>
      </c>
      <c r="C40" s="409">
        <v>2</v>
      </c>
    </row>
    <row r="41" spans="2:16" ht="15.75" customHeight="1"/>
    <row r="42" spans="2:16" ht="15.75" customHeight="1"/>
    <row r="43" spans="2:16" ht="15.75" customHeight="1"/>
    <row r="44" spans="2:16" ht="15.75" customHeight="1"/>
    <row r="45" spans="2:16" ht="15.75" customHeight="1">
      <c r="O45" s="409">
        <v>87</v>
      </c>
    </row>
    <row r="46" spans="2:16" ht="15.75" customHeight="1">
      <c r="N46" s="409" t="s">
        <v>1469</v>
      </c>
      <c r="O46" s="409">
        <v>72</v>
      </c>
      <c r="P46" s="409">
        <v>57</v>
      </c>
    </row>
    <row r="47" spans="2:16" ht="15.75" customHeight="1">
      <c r="N47" s="409" t="s">
        <v>1470</v>
      </c>
      <c r="O47" s="409">
        <v>5</v>
      </c>
    </row>
    <row r="48" spans="2:16" ht="15.75" customHeight="1">
      <c r="N48" s="409" t="s">
        <v>1471</v>
      </c>
      <c r="O48" s="409">
        <v>3</v>
      </c>
      <c r="P48" s="409">
        <v>3</v>
      </c>
    </row>
    <row r="49" spans="9:17" ht="15.75" customHeight="1">
      <c r="N49" s="409" t="s">
        <v>1472</v>
      </c>
      <c r="O49" s="409">
        <v>4</v>
      </c>
      <c r="P49" s="409">
        <v>5</v>
      </c>
    </row>
    <row r="50" spans="9:17" ht="15.75" customHeight="1">
      <c r="N50" s="409" t="s">
        <v>1473</v>
      </c>
      <c r="O50" s="409">
        <v>3</v>
      </c>
      <c r="P50" s="409">
        <v>3</v>
      </c>
    </row>
    <row r="51" spans="9:17" ht="15.75" customHeight="1">
      <c r="O51" s="409">
        <v>87</v>
      </c>
      <c r="Q51" s="409">
        <v>87</v>
      </c>
    </row>
    <row r="52" spans="9:17" ht="15.75" customHeight="1">
      <c r="I52" s="419" t="s">
        <v>1381</v>
      </c>
      <c r="J52" s="419">
        <v>51</v>
      </c>
      <c r="K52" s="422">
        <v>0.85</v>
      </c>
      <c r="N52" s="409" t="s">
        <v>1474</v>
      </c>
      <c r="O52" s="409">
        <v>72</v>
      </c>
      <c r="Q52" s="409">
        <v>11</v>
      </c>
    </row>
    <row r="53" spans="9:17" ht="15.75" customHeight="1">
      <c r="I53" s="419" t="s">
        <v>1002</v>
      </c>
      <c r="J53" s="419">
        <v>6</v>
      </c>
      <c r="K53" s="420"/>
      <c r="N53" s="409" t="s">
        <v>1475</v>
      </c>
      <c r="O53" s="409">
        <v>65</v>
      </c>
      <c r="Q53" s="409">
        <v>76</v>
      </c>
    </row>
    <row r="54" spans="9:17" ht="15.75" customHeight="1">
      <c r="I54" s="419" t="s">
        <v>1387</v>
      </c>
      <c r="J54" s="419">
        <v>5</v>
      </c>
      <c r="K54" s="422"/>
      <c r="N54" s="409" t="s">
        <v>1476</v>
      </c>
      <c r="O54" s="409">
        <v>60</v>
      </c>
    </row>
    <row r="55" spans="9:17" ht="15.75" customHeight="1">
      <c r="I55" s="419" t="s">
        <v>99</v>
      </c>
      <c r="J55" s="419">
        <v>2</v>
      </c>
      <c r="K55" s="420"/>
      <c r="N55" s="409" t="s">
        <v>1477</v>
      </c>
      <c r="O55" s="409">
        <v>5</v>
      </c>
    </row>
    <row r="56" spans="9:17" ht="15.75" customHeight="1">
      <c r="I56" s="419"/>
      <c r="J56" s="419"/>
      <c r="K56" s="422"/>
      <c r="N56" s="409" t="s">
        <v>1478</v>
      </c>
      <c r="Q56" s="409" t="s">
        <v>1479</v>
      </c>
    </row>
    <row r="57" spans="9:17" ht="15.75" customHeight="1">
      <c r="K57" s="419"/>
    </row>
    <row r="58" spans="9:17" ht="15.75" customHeight="1">
      <c r="K58" s="419"/>
    </row>
    <row r="59" spans="9:17" ht="15.75" customHeight="1">
      <c r="K59" s="419"/>
    </row>
    <row r="60" spans="9:17" ht="15.75" customHeight="1"/>
    <row r="61" spans="9:17" ht="15.75" customHeight="1"/>
    <row r="62" spans="9:17" ht="15.75" customHeight="1"/>
    <row r="63" spans="9:17" ht="15.75" customHeight="1"/>
    <row r="64" spans="9: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511811024" right="0.511811024" top="0.78740157499999996" bottom="0.78740157499999996"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1000"/>
  <sheetViews>
    <sheetView workbookViewId="0"/>
  </sheetViews>
  <sheetFormatPr defaultColWidth="12.5703125" defaultRowHeight="15" customHeight="1"/>
  <cols>
    <col min="2" max="2" width="17.140625" customWidth="1"/>
  </cols>
  <sheetData>
    <row r="1" spans="1:8" ht="24.75" customHeight="1">
      <c r="A1" s="409" t="s">
        <v>1480</v>
      </c>
      <c r="B1" s="412" t="s">
        <v>1364</v>
      </c>
      <c r="C1" s="413"/>
      <c r="E1" s="413" t="s">
        <v>1365</v>
      </c>
      <c r="F1" s="413"/>
      <c r="G1" s="409"/>
      <c r="H1" s="409"/>
    </row>
    <row r="2" spans="1:8" ht="15.75" customHeight="1">
      <c r="B2" s="414">
        <v>2023</v>
      </c>
      <c r="C2" s="415">
        <v>87</v>
      </c>
      <c r="E2" s="413" t="s">
        <v>39</v>
      </c>
      <c r="F2" s="413"/>
      <c r="G2" s="409"/>
      <c r="H2" s="409"/>
    </row>
    <row r="3" spans="1:8" ht="15.75" customHeight="1">
      <c r="B3" s="415">
        <v>2024</v>
      </c>
      <c r="C3" s="415">
        <v>111</v>
      </c>
      <c r="E3" s="413" t="s">
        <v>1368</v>
      </c>
      <c r="F3" s="413"/>
      <c r="G3" s="409"/>
      <c r="H3" s="409"/>
    </row>
    <row r="4" spans="1:8" ht="15.75" customHeight="1">
      <c r="B4" s="415">
        <v>2025</v>
      </c>
      <c r="C4" s="415">
        <v>61</v>
      </c>
    </row>
    <row r="5" spans="1:8" ht="15.75" customHeight="1"/>
    <row r="6" spans="1:8" ht="15.75" customHeight="1">
      <c r="B6" s="413" t="s">
        <v>104</v>
      </c>
      <c r="C6" s="413">
        <v>48</v>
      </c>
    </row>
    <row r="7" spans="1:8" ht="15.75" customHeight="1">
      <c r="B7" s="413" t="s">
        <v>40</v>
      </c>
      <c r="C7" s="413">
        <v>16</v>
      </c>
    </row>
    <row r="8" spans="1:8" ht="15.75" customHeight="1">
      <c r="B8" s="413" t="s">
        <v>627</v>
      </c>
      <c r="C8" s="413">
        <v>2</v>
      </c>
    </row>
    <row r="9" spans="1:8" ht="15.75" customHeight="1"/>
    <row r="10" spans="1:8" ht="15.75" customHeight="1">
      <c r="B10" s="413" t="s">
        <v>1370</v>
      </c>
      <c r="C10" s="415"/>
    </row>
    <row r="11" spans="1:8" ht="15.75" customHeight="1">
      <c r="B11" s="413" t="s">
        <v>41</v>
      </c>
      <c r="C11" s="415"/>
    </row>
    <row r="12" spans="1:8" ht="15.75" customHeight="1">
      <c r="B12" s="413" t="s">
        <v>79</v>
      </c>
      <c r="C12" s="415"/>
    </row>
    <row r="13" spans="1:8" ht="15.75" customHeight="1">
      <c r="B13" s="413" t="s">
        <v>1371</v>
      </c>
      <c r="C13" s="413"/>
    </row>
    <row r="14" spans="1:8" ht="15.75" customHeight="1">
      <c r="B14" s="413" t="s">
        <v>1372</v>
      </c>
      <c r="C14" s="413"/>
    </row>
    <row r="15" spans="1:8" ht="15.75" customHeight="1">
      <c r="B15" s="413" t="s">
        <v>1373</v>
      </c>
      <c r="C15" s="413"/>
    </row>
    <row r="16" spans="1:8" ht="15.75" customHeight="1">
      <c r="B16" s="413" t="s">
        <v>1374</v>
      </c>
      <c r="C16" s="413"/>
    </row>
    <row r="17" spans="2:8" ht="15.75" customHeight="1">
      <c r="B17" s="413" t="s">
        <v>1375</v>
      </c>
      <c r="C17" s="413"/>
      <c r="E17" s="409"/>
    </row>
    <row r="18" spans="2:8" ht="15.75" customHeight="1"/>
    <row r="19" spans="2:8" ht="15.75" customHeight="1"/>
    <row r="20" spans="2:8" ht="15.75" customHeight="1"/>
    <row r="21" spans="2:8" ht="39.75" customHeight="1">
      <c r="B21" s="413" t="s">
        <v>1376</v>
      </c>
      <c r="C21" s="416" t="s">
        <v>1377</v>
      </c>
      <c r="D21" s="417" t="s">
        <v>1378</v>
      </c>
      <c r="E21" s="409"/>
      <c r="F21" s="409"/>
      <c r="G21" s="409"/>
    </row>
    <row r="22" spans="2:8" ht="15.75" customHeight="1">
      <c r="B22" s="413" t="s">
        <v>1379</v>
      </c>
      <c r="C22" s="413">
        <v>1</v>
      </c>
      <c r="D22" s="418"/>
    </row>
    <row r="23" spans="2:8" ht="15.75" customHeight="1">
      <c r="B23" s="413" t="s">
        <v>772</v>
      </c>
      <c r="C23" s="413">
        <v>2</v>
      </c>
      <c r="D23" s="418"/>
    </row>
    <row r="24" spans="2:8" ht="15.75" customHeight="1">
      <c r="B24" s="413" t="s">
        <v>80</v>
      </c>
      <c r="C24" s="413">
        <v>35</v>
      </c>
      <c r="D24" s="418"/>
    </row>
    <row r="25" spans="2:8" ht="15.75" customHeight="1">
      <c r="B25" s="413" t="s">
        <v>1034</v>
      </c>
      <c r="C25" s="413">
        <v>7</v>
      </c>
      <c r="D25" s="418"/>
    </row>
    <row r="26" spans="2:8" ht="15.75" customHeight="1">
      <c r="B26" s="413" t="s">
        <v>1091</v>
      </c>
      <c r="C26" s="413">
        <v>2</v>
      </c>
      <c r="D26" s="418"/>
    </row>
    <row r="27" spans="2:8" ht="15.75" customHeight="1">
      <c r="B27" s="413" t="s">
        <v>1380</v>
      </c>
      <c r="C27" s="413">
        <v>19</v>
      </c>
      <c r="D27" s="418"/>
    </row>
    <row r="28" spans="2:8" ht="15.75" customHeight="1"/>
    <row r="29" spans="2:8" ht="15.75" customHeight="1"/>
    <row r="30" spans="2:8" ht="15.75" customHeight="1">
      <c r="B30" s="419" t="s">
        <v>1381</v>
      </c>
      <c r="C30" s="409">
        <v>53</v>
      </c>
      <c r="D30" s="420">
        <v>1</v>
      </c>
      <c r="E30" s="419" t="s">
        <v>1382</v>
      </c>
      <c r="F30" s="419">
        <v>66</v>
      </c>
      <c r="G30" s="420"/>
      <c r="H30" s="420">
        <v>1</v>
      </c>
    </row>
    <row r="31" spans="2:8" ht="15.75" customHeight="1">
      <c r="B31" s="419" t="s">
        <v>1383</v>
      </c>
      <c r="C31" s="409">
        <v>37</v>
      </c>
      <c r="D31" s="420">
        <v>0.70499999999999996</v>
      </c>
      <c r="E31" s="419" t="s">
        <v>1384</v>
      </c>
      <c r="F31" s="419">
        <v>53</v>
      </c>
      <c r="G31" s="421"/>
      <c r="H31" s="421">
        <v>0.81499999999999995</v>
      </c>
    </row>
    <row r="32" spans="2:8" ht="15.75" customHeight="1">
      <c r="B32" s="419" t="s">
        <v>1385</v>
      </c>
      <c r="C32" s="409">
        <v>14</v>
      </c>
      <c r="D32" s="422">
        <v>0.39</v>
      </c>
      <c r="E32" s="419" t="s">
        <v>1002</v>
      </c>
      <c r="F32" s="419">
        <v>5</v>
      </c>
      <c r="G32" s="422"/>
      <c r="H32" s="422">
        <v>0.08</v>
      </c>
    </row>
    <row r="33" spans="2:8" ht="15.75" customHeight="1">
      <c r="B33" s="419" t="s">
        <v>1386</v>
      </c>
      <c r="C33" s="409">
        <v>1</v>
      </c>
      <c r="D33" s="420">
        <v>7.0999999999999994E-2</v>
      </c>
      <c r="E33" s="419" t="s">
        <v>1387</v>
      </c>
      <c r="F33" s="419">
        <v>6</v>
      </c>
      <c r="G33" s="422"/>
      <c r="H33" s="422">
        <v>0.08</v>
      </c>
    </row>
    <row r="34" spans="2:8" ht="15.75" customHeight="1">
      <c r="B34" s="419" t="s">
        <v>1388</v>
      </c>
      <c r="C34" s="409">
        <v>2</v>
      </c>
      <c r="D34" s="422">
        <v>0.04</v>
      </c>
      <c r="E34" s="419" t="s">
        <v>1389</v>
      </c>
      <c r="F34" s="419">
        <v>2</v>
      </c>
      <c r="G34" s="422"/>
      <c r="H34" s="422">
        <v>0.04</v>
      </c>
    </row>
    <row r="35" spans="2:8" ht="15.75" customHeight="1">
      <c r="B35" s="419" t="s">
        <v>1002</v>
      </c>
      <c r="C35" s="409">
        <v>5</v>
      </c>
      <c r="G35" s="419"/>
      <c r="H35" s="419"/>
    </row>
    <row r="36" spans="2:8" ht="15.75" customHeight="1">
      <c r="B36" s="419" t="s">
        <v>1387</v>
      </c>
      <c r="C36" s="409">
        <v>5</v>
      </c>
      <c r="G36" s="419"/>
      <c r="H36" s="419"/>
    </row>
    <row r="37" spans="2:8" ht="15.75" customHeight="1">
      <c r="B37" s="419" t="s">
        <v>1389</v>
      </c>
      <c r="C37" s="409">
        <v>2</v>
      </c>
      <c r="G37" s="419"/>
      <c r="H37" s="419"/>
    </row>
    <row r="38" spans="2:8" ht="15.75" customHeight="1"/>
    <row r="39" spans="2:8" ht="15.75" customHeight="1"/>
    <row r="40" spans="2:8" ht="15.75" customHeight="1"/>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spans="10:12" ht="15.75" customHeight="1">
      <c r="J49" s="419" t="s">
        <v>1381</v>
      </c>
      <c r="K49" s="419">
        <v>51</v>
      </c>
      <c r="L49" s="422">
        <v>0.85</v>
      </c>
    </row>
    <row r="50" spans="10:12" ht="15.75" customHeight="1">
      <c r="J50" s="419" t="s">
        <v>1002</v>
      </c>
      <c r="K50" s="419">
        <v>6</v>
      </c>
      <c r="L50" s="420"/>
    </row>
    <row r="51" spans="10:12" ht="15.75" customHeight="1">
      <c r="J51" s="419" t="s">
        <v>1387</v>
      </c>
      <c r="K51" s="419">
        <v>5</v>
      </c>
      <c r="L51" s="422"/>
    </row>
    <row r="52" spans="10:12" ht="15.75" customHeight="1">
      <c r="J52" s="419" t="s">
        <v>99</v>
      </c>
      <c r="K52" s="419">
        <v>2</v>
      </c>
      <c r="L52" s="420"/>
    </row>
    <row r="53" spans="10:12" ht="15.75" customHeight="1">
      <c r="J53" s="419"/>
      <c r="K53" s="419"/>
      <c r="L53" s="422"/>
    </row>
    <row r="54" spans="10:12" ht="15.75" customHeight="1">
      <c r="L54" s="419"/>
    </row>
    <row r="55" spans="10:12" ht="15.75" customHeight="1">
      <c r="L55" s="419"/>
    </row>
    <row r="56" spans="10:12" ht="15.75" customHeight="1">
      <c r="L56" s="419"/>
    </row>
    <row r="57" spans="10:12" ht="15.75" customHeight="1"/>
    <row r="58" spans="10:12" ht="15.75" customHeight="1"/>
    <row r="59" spans="10:12" ht="15.75" customHeight="1"/>
    <row r="60" spans="10:12" ht="15.75" customHeight="1"/>
    <row r="61" spans="10:12" ht="15.75" customHeight="1"/>
    <row r="62" spans="10:12" ht="15.75" customHeight="1"/>
    <row r="63" spans="10:12" ht="15.75" customHeight="1"/>
    <row r="64" spans="10: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511811024" right="0.511811024" top="0.78740157499999996" bottom="0.78740157499999996"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1:Q1003"/>
  <sheetViews>
    <sheetView workbookViewId="0"/>
  </sheetViews>
  <sheetFormatPr defaultColWidth="12.5703125" defaultRowHeight="15" customHeight="1"/>
  <cols>
    <col min="2" max="2" width="17.140625" customWidth="1"/>
    <col min="14" max="14" width="16" customWidth="1"/>
  </cols>
  <sheetData>
    <row r="1" spans="2:8" ht="24.75" customHeight="1">
      <c r="B1" s="429" t="s">
        <v>1446</v>
      </c>
      <c r="C1" s="409">
        <v>87</v>
      </c>
      <c r="E1" s="409" t="s">
        <v>1365</v>
      </c>
    </row>
    <row r="2" spans="2:8" ht="15.75" customHeight="1">
      <c r="B2" s="414" t="s">
        <v>1366</v>
      </c>
      <c r="C2" s="430">
        <v>58</v>
      </c>
      <c r="E2" s="409" t="s">
        <v>39</v>
      </c>
    </row>
    <row r="3" spans="2:8" ht="15.75" customHeight="1">
      <c r="B3" s="430" t="s">
        <v>1447</v>
      </c>
      <c r="C3" s="430">
        <v>5</v>
      </c>
      <c r="E3" s="409" t="s">
        <v>1368</v>
      </c>
    </row>
    <row r="4" spans="2:8" ht="15.75" customHeight="1">
      <c r="B4" s="430" t="s">
        <v>1448</v>
      </c>
      <c r="C4" s="430">
        <v>4</v>
      </c>
    </row>
    <row r="5" spans="2:8" ht="15.75" customHeight="1">
      <c r="B5" s="409" t="s">
        <v>1449</v>
      </c>
      <c r="C5" s="409">
        <v>2</v>
      </c>
    </row>
    <row r="6" spans="2:8" ht="15.75" customHeight="1">
      <c r="E6" s="409" t="s">
        <v>1450</v>
      </c>
      <c r="F6" s="409" t="s">
        <v>1451</v>
      </c>
      <c r="G6" s="409" t="s">
        <v>1452</v>
      </c>
      <c r="H6" s="409" t="s">
        <v>1453</v>
      </c>
    </row>
    <row r="7" spans="2:8" ht="15.75" customHeight="1">
      <c r="B7" s="409" t="s">
        <v>1454</v>
      </c>
      <c r="C7" s="430">
        <v>87</v>
      </c>
      <c r="G7" s="409">
        <v>66</v>
      </c>
      <c r="H7" s="409">
        <v>87</v>
      </c>
    </row>
    <row r="8" spans="2:8" ht="15.75" customHeight="1">
      <c r="B8" s="409" t="s">
        <v>41</v>
      </c>
      <c r="C8" s="430">
        <v>68</v>
      </c>
      <c r="E8" s="389" t="s">
        <v>1481</v>
      </c>
      <c r="F8" s="389">
        <v>11</v>
      </c>
      <c r="G8" s="413">
        <v>1</v>
      </c>
      <c r="H8" s="413">
        <v>2</v>
      </c>
    </row>
    <row r="9" spans="2:8" ht="15.75" customHeight="1">
      <c r="B9" s="409" t="s">
        <v>79</v>
      </c>
      <c r="C9" s="430">
        <v>10</v>
      </c>
      <c r="E9" s="389" t="s">
        <v>1482</v>
      </c>
      <c r="G9" s="413">
        <v>2</v>
      </c>
      <c r="H9" s="413">
        <v>2</v>
      </c>
    </row>
    <row r="10" spans="2:8" ht="15.75" customHeight="1">
      <c r="B10" s="409" t="s">
        <v>1371</v>
      </c>
      <c r="C10" s="409">
        <v>1</v>
      </c>
      <c r="E10" s="389" t="s">
        <v>1483</v>
      </c>
      <c r="G10" s="413">
        <v>35</v>
      </c>
      <c r="H10" s="413">
        <v>37</v>
      </c>
    </row>
    <row r="11" spans="2:8" ht="15.75" customHeight="1">
      <c r="B11" s="409" t="s">
        <v>1372</v>
      </c>
      <c r="C11" s="409">
        <v>1</v>
      </c>
      <c r="E11" s="389" t="s">
        <v>1484</v>
      </c>
      <c r="G11" s="413">
        <v>7</v>
      </c>
      <c r="H11" s="413">
        <v>7</v>
      </c>
    </row>
    <row r="12" spans="2:8" ht="15.75" customHeight="1">
      <c r="B12" s="409" t="s">
        <v>1373</v>
      </c>
      <c r="C12" s="409">
        <v>1</v>
      </c>
      <c r="E12" s="389" t="s">
        <v>1485</v>
      </c>
      <c r="G12" s="413">
        <v>2</v>
      </c>
      <c r="H12" s="413">
        <v>2</v>
      </c>
    </row>
    <row r="13" spans="2:8" ht="15.75" customHeight="1">
      <c r="B13" s="409" t="s">
        <v>1374</v>
      </c>
      <c r="C13" s="409">
        <v>1</v>
      </c>
      <c r="E13" s="389" t="s">
        <v>1486</v>
      </c>
      <c r="G13" s="413">
        <v>19</v>
      </c>
      <c r="H13" s="413">
        <v>37</v>
      </c>
    </row>
    <row r="14" spans="2:8" ht="15.75" customHeight="1">
      <c r="B14" s="409" t="s">
        <v>1375</v>
      </c>
      <c r="C14" s="409">
        <v>1</v>
      </c>
      <c r="E14" s="389" t="s">
        <v>1487</v>
      </c>
    </row>
    <row r="15" spans="2:8" ht="15.75" customHeight="1">
      <c r="B15" s="409" t="s">
        <v>1457</v>
      </c>
      <c r="C15" s="409">
        <v>1</v>
      </c>
    </row>
    <row r="16" spans="2:8" ht="15.75" customHeight="1">
      <c r="B16" s="409" t="s">
        <v>1458</v>
      </c>
      <c r="C16" s="409">
        <v>1</v>
      </c>
    </row>
    <row r="17" spans="2:7" ht="15.75" customHeight="1">
      <c r="B17" s="409" t="s">
        <v>1351</v>
      </c>
      <c r="C17" s="409">
        <v>1</v>
      </c>
    </row>
    <row r="18" spans="2:7" ht="15.75" customHeight="1">
      <c r="B18" s="409" t="s">
        <v>1459</v>
      </c>
      <c r="C18" s="409">
        <v>1</v>
      </c>
    </row>
    <row r="19" spans="2:7" ht="15.75" customHeight="1"/>
    <row r="20" spans="2:7" ht="15.75" customHeight="1">
      <c r="B20" s="432" t="s">
        <v>104</v>
      </c>
      <c r="C20" s="433">
        <v>54</v>
      </c>
    </row>
    <row r="21" spans="2:7" ht="15.75" customHeight="1">
      <c r="B21" s="434" t="s">
        <v>40</v>
      </c>
      <c r="C21" s="435">
        <v>31</v>
      </c>
    </row>
    <row r="22" spans="2:7" ht="15.75" customHeight="1">
      <c r="B22" s="436" t="s">
        <v>627</v>
      </c>
      <c r="C22" s="437">
        <v>2</v>
      </c>
    </row>
    <row r="23" spans="2:7" ht="15.75" customHeight="1"/>
    <row r="24" spans="2:7" ht="39.75" customHeight="1">
      <c r="B24" s="413" t="s">
        <v>1376</v>
      </c>
      <c r="C24" s="416" t="s">
        <v>1460</v>
      </c>
      <c r="D24" s="417" t="s">
        <v>1378</v>
      </c>
      <c r="E24" s="409" t="s">
        <v>1461</v>
      </c>
    </row>
    <row r="25" spans="2:7" ht="15.75" customHeight="1">
      <c r="B25" s="413" t="s">
        <v>1379</v>
      </c>
      <c r="C25" s="413">
        <v>2</v>
      </c>
      <c r="D25" s="418" t="s">
        <v>1462</v>
      </c>
      <c r="E25" s="409" t="s">
        <v>1463</v>
      </c>
    </row>
    <row r="26" spans="2:7" ht="15.75" customHeight="1">
      <c r="B26" s="413" t="s">
        <v>772</v>
      </c>
      <c r="C26" s="413">
        <v>2</v>
      </c>
      <c r="D26" s="418" t="s">
        <v>1464</v>
      </c>
      <c r="E26" s="409" t="s">
        <v>1394</v>
      </c>
    </row>
    <row r="27" spans="2:7" ht="15.75" customHeight="1">
      <c r="B27" s="413" t="s">
        <v>80</v>
      </c>
      <c r="C27" s="413">
        <v>37</v>
      </c>
      <c r="D27" s="418" t="s">
        <v>1465</v>
      </c>
    </row>
    <row r="28" spans="2:7" ht="15.75" customHeight="1">
      <c r="B28" s="413" t="s">
        <v>1034</v>
      </c>
      <c r="C28" s="413">
        <v>7</v>
      </c>
      <c r="D28" s="418" t="s">
        <v>1466</v>
      </c>
    </row>
    <row r="29" spans="2:7" ht="15.75" customHeight="1">
      <c r="B29" s="413" t="s">
        <v>1091</v>
      </c>
      <c r="C29" s="413">
        <v>2</v>
      </c>
      <c r="D29" s="418" t="s">
        <v>1467</v>
      </c>
    </row>
    <row r="30" spans="2:7" ht="15.75" customHeight="1">
      <c r="B30" s="413" t="s">
        <v>1380</v>
      </c>
      <c r="C30" s="413">
        <v>37</v>
      </c>
      <c r="D30" s="418" t="s">
        <v>1468</v>
      </c>
    </row>
    <row r="31" spans="2:7" ht="15.75" customHeight="1"/>
    <row r="32" spans="2:7" ht="15.75" customHeight="1">
      <c r="G32" s="420">
        <v>1</v>
      </c>
    </row>
    <row r="33" spans="2:16" ht="15.75" customHeight="1">
      <c r="B33" s="419" t="s">
        <v>1381</v>
      </c>
      <c r="C33" s="409">
        <v>53</v>
      </c>
      <c r="D33" s="420">
        <v>1</v>
      </c>
      <c r="E33" s="419" t="s">
        <v>1382</v>
      </c>
      <c r="F33" s="419">
        <v>66</v>
      </c>
      <c r="G33" s="421">
        <v>0.81499999999999995</v>
      </c>
    </row>
    <row r="34" spans="2:16" ht="15.75" customHeight="1">
      <c r="B34" s="419" t="s">
        <v>1383</v>
      </c>
      <c r="C34" s="409">
        <v>37</v>
      </c>
      <c r="D34" s="420">
        <v>0.70499999999999996</v>
      </c>
      <c r="E34" s="419" t="s">
        <v>1384</v>
      </c>
      <c r="F34" s="419">
        <v>53</v>
      </c>
      <c r="G34" s="422">
        <v>0.08</v>
      </c>
    </row>
    <row r="35" spans="2:16" ht="15.75" customHeight="1">
      <c r="B35" s="419" t="s">
        <v>1385</v>
      </c>
      <c r="C35" s="409">
        <v>14</v>
      </c>
      <c r="D35" s="422">
        <v>0.39</v>
      </c>
      <c r="E35" s="419" t="s">
        <v>1002</v>
      </c>
      <c r="F35" s="419">
        <v>5</v>
      </c>
      <c r="G35" s="422">
        <v>0.08</v>
      </c>
    </row>
    <row r="36" spans="2:16" ht="15.75" customHeight="1">
      <c r="B36" s="419" t="s">
        <v>1386</v>
      </c>
      <c r="C36" s="409">
        <v>1</v>
      </c>
      <c r="D36" s="420">
        <v>7.0999999999999994E-2</v>
      </c>
      <c r="E36" s="419" t="s">
        <v>1387</v>
      </c>
      <c r="F36" s="419">
        <v>6</v>
      </c>
      <c r="G36" s="422">
        <v>0.04</v>
      </c>
    </row>
    <row r="37" spans="2:16" ht="15.75" customHeight="1">
      <c r="B37" s="419" t="s">
        <v>1388</v>
      </c>
      <c r="C37" s="409">
        <v>2</v>
      </c>
      <c r="D37" s="422">
        <v>0.04</v>
      </c>
      <c r="E37" s="419" t="s">
        <v>1389</v>
      </c>
      <c r="F37" s="419">
        <v>2</v>
      </c>
      <c r="G37" s="419"/>
    </row>
    <row r="38" spans="2:16" ht="15.75" customHeight="1">
      <c r="B38" s="419" t="s">
        <v>1002</v>
      </c>
      <c r="C38" s="409">
        <v>5</v>
      </c>
      <c r="G38" s="419"/>
    </row>
    <row r="39" spans="2:16" ht="15.75" customHeight="1">
      <c r="B39" s="419" t="s">
        <v>1387</v>
      </c>
      <c r="C39" s="409">
        <v>5</v>
      </c>
      <c r="G39" s="419"/>
    </row>
    <row r="40" spans="2:16" ht="15.75" customHeight="1">
      <c r="B40" s="419" t="s">
        <v>1389</v>
      </c>
      <c r="C40" s="409">
        <v>2</v>
      </c>
    </row>
    <row r="41" spans="2:16" ht="15.75" customHeight="1"/>
    <row r="42" spans="2:16" ht="15.75" customHeight="1"/>
    <row r="43" spans="2:16" ht="15.75" customHeight="1"/>
    <row r="44" spans="2:16" ht="15.75" customHeight="1"/>
    <row r="45" spans="2:16" ht="15.75" customHeight="1">
      <c r="O45" s="409">
        <v>87</v>
      </c>
    </row>
    <row r="46" spans="2:16" ht="15.75" customHeight="1">
      <c r="N46" s="409" t="s">
        <v>1469</v>
      </c>
      <c r="O46" s="409">
        <v>72</v>
      </c>
      <c r="P46" s="409">
        <v>57</v>
      </c>
    </row>
    <row r="47" spans="2:16" ht="15.75" customHeight="1">
      <c r="N47" s="409" t="s">
        <v>1470</v>
      </c>
      <c r="O47" s="409">
        <v>5</v>
      </c>
    </row>
    <row r="48" spans="2:16" ht="15.75" customHeight="1">
      <c r="N48" s="409" t="s">
        <v>1471</v>
      </c>
      <c r="O48" s="409">
        <v>3</v>
      </c>
      <c r="P48" s="409">
        <v>3</v>
      </c>
    </row>
    <row r="49" spans="9:17" ht="15.75" customHeight="1">
      <c r="N49" s="409" t="s">
        <v>1472</v>
      </c>
      <c r="O49" s="409">
        <v>4</v>
      </c>
      <c r="P49" s="409">
        <v>5</v>
      </c>
    </row>
    <row r="50" spans="9:17" ht="15.75" customHeight="1">
      <c r="N50" s="409" t="s">
        <v>1473</v>
      </c>
      <c r="O50" s="409">
        <v>3</v>
      </c>
      <c r="P50" s="409">
        <v>3</v>
      </c>
    </row>
    <row r="51" spans="9:17" ht="15.75" customHeight="1">
      <c r="O51" s="409">
        <v>87</v>
      </c>
      <c r="Q51" s="409">
        <v>87</v>
      </c>
    </row>
    <row r="52" spans="9:17" ht="15.75" customHeight="1">
      <c r="I52" s="419" t="s">
        <v>1381</v>
      </c>
      <c r="J52" s="419">
        <v>51</v>
      </c>
      <c r="K52" s="422">
        <v>0.85</v>
      </c>
      <c r="N52" s="409" t="s">
        <v>1474</v>
      </c>
      <c r="O52" s="409">
        <v>72</v>
      </c>
      <c r="Q52" s="409">
        <v>11</v>
      </c>
    </row>
    <row r="53" spans="9:17" ht="15.75" customHeight="1">
      <c r="I53" s="419" t="s">
        <v>1002</v>
      </c>
      <c r="J53" s="419">
        <v>6</v>
      </c>
      <c r="K53" s="420"/>
      <c r="N53" s="409" t="s">
        <v>1475</v>
      </c>
      <c r="O53" s="409">
        <v>65</v>
      </c>
      <c r="Q53" s="409">
        <v>76</v>
      </c>
    </row>
    <row r="54" spans="9:17" ht="15.75" customHeight="1">
      <c r="I54" s="419" t="s">
        <v>1387</v>
      </c>
      <c r="J54" s="419">
        <v>5</v>
      </c>
      <c r="K54" s="422"/>
      <c r="N54" s="409" t="s">
        <v>1476</v>
      </c>
      <c r="O54" s="409">
        <v>60</v>
      </c>
    </row>
    <row r="55" spans="9:17" ht="15.75" customHeight="1">
      <c r="I55" s="419" t="s">
        <v>99</v>
      </c>
      <c r="J55" s="419">
        <v>2</v>
      </c>
      <c r="K55" s="420"/>
      <c r="N55" s="409" t="s">
        <v>1477</v>
      </c>
      <c r="O55" s="409">
        <v>5</v>
      </c>
    </row>
    <row r="56" spans="9:17" ht="15.75" customHeight="1">
      <c r="I56" s="419"/>
      <c r="J56" s="419"/>
      <c r="K56" s="422"/>
      <c r="N56" s="409" t="s">
        <v>1478</v>
      </c>
      <c r="Q56" s="409" t="s">
        <v>1479</v>
      </c>
    </row>
    <row r="57" spans="9:17" ht="15.75" customHeight="1">
      <c r="K57" s="419"/>
    </row>
    <row r="58" spans="9:17" ht="15.75" customHeight="1">
      <c r="K58" s="419"/>
    </row>
    <row r="59" spans="9:17" ht="15.75" customHeight="1">
      <c r="K59" s="419"/>
    </row>
    <row r="60" spans="9:17" ht="15.75" customHeight="1"/>
    <row r="61" spans="9:17" ht="15.75" customHeight="1"/>
    <row r="62" spans="9:17" ht="15.75" customHeight="1"/>
    <row r="63" spans="9:17" ht="15.75" customHeight="1"/>
    <row r="64" spans="9: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511811024" right="0.511811024" top="0.78740157499999996" bottom="0.78740157499999996"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1:Q1003"/>
  <sheetViews>
    <sheetView workbookViewId="0"/>
  </sheetViews>
  <sheetFormatPr defaultColWidth="12.5703125" defaultRowHeight="15" customHeight="1"/>
  <cols>
    <col min="2" max="2" width="17.140625" customWidth="1"/>
    <col min="14" max="14" width="16" customWidth="1"/>
  </cols>
  <sheetData>
    <row r="1" spans="2:8" ht="24.75" customHeight="1">
      <c r="B1" s="429" t="s">
        <v>1446</v>
      </c>
      <c r="C1" s="409">
        <v>87</v>
      </c>
      <c r="E1" s="409" t="s">
        <v>1365</v>
      </c>
    </row>
    <row r="2" spans="2:8" ht="15.75" customHeight="1">
      <c r="B2" s="414" t="s">
        <v>1488</v>
      </c>
      <c r="C2" s="430">
        <v>58</v>
      </c>
      <c r="E2" s="409" t="s">
        <v>39</v>
      </c>
    </row>
    <row r="3" spans="2:8" ht="15.75" customHeight="1">
      <c r="B3" s="430" t="s">
        <v>1489</v>
      </c>
      <c r="C3" s="430">
        <v>5</v>
      </c>
      <c r="E3" s="409" t="s">
        <v>1368</v>
      </c>
    </row>
    <row r="4" spans="2:8" ht="15.75" customHeight="1">
      <c r="B4" s="430" t="s">
        <v>1369</v>
      </c>
      <c r="C4" s="430">
        <v>4</v>
      </c>
    </row>
    <row r="5" spans="2:8" ht="15.75" customHeight="1">
      <c r="B5" s="409" t="s">
        <v>1449</v>
      </c>
      <c r="C5" s="409">
        <v>2</v>
      </c>
    </row>
    <row r="6" spans="2:8" ht="15.75" customHeight="1">
      <c r="E6" s="409" t="s">
        <v>1450</v>
      </c>
      <c r="F6" s="409" t="s">
        <v>1451</v>
      </c>
      <c r="G6" s="409" t="s">
        <v>1452</v>
      </c>
      <c r="H6" s="409" t="s">
        <v>1453</v>
      </c>
    </row>
    <row r="7" spans="2:8" ht="15.75" customHeight="1">
      <c r="B7" s="409" t="s">
        <v>1454</v>
      </c>
      <c r="C7" s="430"/>
      <c r="G7" s="409">
        <v>66</v>
      </c>
      <c r="H7" s="409">
        <v>87</v>
      </c>
    </row>
    <row r="8" spans="2:8" ht="15.75" customHeight="1">
      <c r="B8" s="409" t="s">
        <v>41</v>
      </c>
      <c r="C8" s="430"/>
      <c r="E8" s="389" t="s">
        <v>1481</v>
      </c>
      <c r="F8" s="389">
        <v>11</v>
      </c>
      <c r="G8" s="413">
        <v>1</v>
      </c>
      <c r="H8" s="413">
        <v>2</v>
      </c>
    </row>
    <row r="9" spans="2:8" ht="15.75" customHeight="1">
      <c r="B9" s="409" t="s">
        <v>79</v>
      </c>
      <c r="C9" s="430"/>
      <c r="E9" s="389" t="s">
        <v>1482</v>
      </c>
      <c r="G9" s="413">
        <v>2</v>
      </c>
      <c r="H9" s="413">
        <v>2</v>
      </c>
    </row>
    <row r="10" spans="2:8" ht="15.75" customHeight="1">
      <c r="B10" s="409" t="s">
        <v>1371</v>
      </c>
      <c r="C10" s="430"/>
      <c r="E10" s="389" t="s">
        <v>1483</v>
      </c>
      <c r="G10" s="413">
        <v>35</v>
      </c>
      <c r="H10" s="413">
        <v>37</v>
      </c>
    </row>
    <row r="11" spans="2:8" ht="15.75" customHeight="1">
      <c r="B11" s="409" t="s">
        <v>1372</v>
      </c>
      <c r="C11" s="430"/>
      <c r="E11" s="389" t="s">
        <v>1484</v>
      </c>
      <c r="G11" s="413">
        <v>7</v>
      </c>
      <c r="H11" s="413">
        <v>7</v>
      </c>
    </row>
    <row r="12" spans="2:8" ht="15.75" customHeight="1">
      <c r="B12" s="409" t="s">
        <v>1373</v>
      </c>
      <c r="C12" s="430"/>
      <c r="E12" s="389" t="s">
        <v>1485</v>
      </c>
      <c r="G12" s="413">
        <v>2</v>
      </c>
      <c r="H12" s="413">
        <v>2</v>
      </c>
    </row>
    <row r="13" spans="2:8" ht="15.75" customHeight="1">
      <c r="B13" s="409" t="s">
        <v>1374</v>
      </c>
      <c r="C13" s="430"/>
      <c r="E13" s="389" t="s">
        <v>1486</v>
      </c>
      <c r="G13" s="413">
        <v>19</v>
      </c>
      <c r="H13" s="413">
        <v>37</v>
      </c>
    </row>
    <row r="14" spans="2:8" ht="15.75" customHeight="1">
      <c r="B14" s="409" t="s">
        <v>1375</v>
      </c>
      <c r="C14" s="430"/>
      <c r="E14" s="389" t="s">
        <v>1487</v>
      </c>
    </row>
    <row r="15" spans="2:8" ht="15.75" customHeight="1">
      <c r="B15" s="409" t="s">
        <v>1457</v>
      </c>
      <c r="C15" s="430"/>
    </row>
    <row r="16" spans="2:8" ht="15.75" customHeight="1">
      <c r="B16" s="409" t="s">
        <v>1458</v>
      </c>
      <c r="C16" s="430"/>
    </row>
    <row r="17" spans="2:7" ht="15.75" customHeight="1">
      <c r="B17" s="409" t="s">
        <v>1351</v>
      </c>
      <c r="C17" s="430"/>
    </row>
    <row r="18" spans="2:7" ht="15.75" customHeight="1">
      <c r="B18" s="409" t="s">
        <v>1459</v>
      </c>
      <c r="C18" s="430"/>
    </row>
    <row r="19" spans="2:7" ht="15.75" customHeight="1"/>
    <row r="20" spans="2:7" ht="15.75" customHeight="1">
      <c r="B20" s="432" t="s">
        <v>104</v>
      </c>
      <c r="C20" s="433">
        <v>54</v>
      </c>
    </row>
    <row r="21" spans="2:7" ht="15.75" customHeight="1">
      <c r="B21" s="434" t="s">
        <v>40</v>
      </c>
      <c r="C21" s="435">
        <v>31</v>
      </c>
    </row>
    <row r="22" spans="2:7" ht="15.75" customHeight="1">
      <c r="B22" s="436" t="s">
        <v>627</v>
      </c>
      <c r="C22" s="437">
        <v>2</v>
      </c>
    </row>
    <row r="23" spans="2:7" ht="15.75" customHeight="1"/>
    <row r="24" spans="2:7" ht="39.75" customHeight="1">
      <c r="B24" s="413" t="s">
        <v>1376</v>
      </c>
      <c r="C24" s="416" t="s">
        <v>1460</v>
      </c>
      <c r="D24" s="417" t="s">
        <v>1378</v>
      </c>
      <c r="E24" s="409" t="s">
        <v>1461</v>
      </c>
    </row>
    <row r="25" spans="2:7" ht="15.75" customHeight="1">
      <c r="B25" s="413" t="s">
        <v>1379</v>
      </c>
      <c r="C25" s="413">
        <v>2</v>
      </c>
      <c r="D25" s="418" t="s">
        <v>1462</v>
      </c>
      <c r="E25" s="409" t="s">
        <v>1463</v>
      </c>
    </row>
    <row r="26" spans="2:7" ht="15.75" customHeight="1">
      <c r="B26" s="413" t="s">
        <v>772</v>
      </c>
      <c r="C26" s="413">
        <v>2</v>
      </c>
      <c r="D26" s="418" t="s">
        <v>1464</v>
      </c>
      <c r="E26" s="409" t="s">
        <v>1394</v>
      </c>
    </row>
    <row r="27" spans="2:7" ht="15.75" customHeight="1">
      <c r="B27" s="413" t="s">
        <v>80</v>
      </c>
      <c r="C27" s="413">
        <v>37</v>
      </c>
      <c r="D27" s="418" t="s">
        <v>1465</v>
      </c>
    </row>
    <row r="28" spans="2:7" ht="15.75" customHeight="1">
      <c r="B28" s="413" t="s">
        <v>1034</v>
      </c>
      <c r="C28" s="413">
        <v>7</v>
      </c>
      <c r="D28" s="418" t="s">
        <v>1466</v>
      </c>
    </row>
    <row r="29" spans="2:7" ht="15.75" customHeight="1">
      <c r="B29" s="413" t="s">
        <v>1091</v>
      </c>
      <c r="C29" s="413">
        <v>2</v>
      </c>
      <c r="D29" s="418" t="s">
        <v>1467</v>
      </c>
    </row>
    <row r="30" spans="2:7" ht="15.75" customHeight="1">
      <c r="B30" s="413" t="s">
        <v>1380</v>
      </c>
      <c r="C30" s="413">
        <v>37</v>
      </c>
      <c r="D30" s="418" t="s">
        <v>1468</v>
      </c>
    </row>
    <row r="31" spans="2:7" ht="15.75" customHeight="1"/>
    <row r="32" spans="2:7" ht="15.75" customHeight="1">
      <c r="G32" s="420">
        <v>1</v>
      </c>
    </row>
    <row r="33" spans="2:16" ht="15.75" customHeight="1">
      <c r="B33" s="419" t="s">
        <v>1381</v>
      </c>
      <c r="C33" s="409">
        <v>53</v>
      </c>
      <c r="D33" s="420">
        <v>1</v>
      </c>
      <c r="E33" s="419" t="s">
        <v>1382</v>
      </c>
      <c r="F33" s="419">
        <v>66</v>
      </c>
      <c r="G33" s="421">
        <v>0.81499999999999995</v>
      </c>
    </row>
    <row r="34" spans="2:16" ht="15.75" customHeight="1">
      <c r="B34" s="419" t="s">
        <v>1383</v>
      </c>
      <c r="C34" s="409">
        <v>37</v>
      </c>
      <c r="D34" s="420">
        <v>0.70499999999999996</v>
      </c>
      <c r="E34" s="419" t="s">
        <v>1384</v>
      </c>
      <c r="F34" s="419">
        <v>53</v>
      </c>
      <c r="G34" s="422">
        <v>0.08</v>
      </c>
    </row>
    <row r="35" spans="2:16" ht="15.75" customHeight="1">
      <c r="B35" s="419" t="s">
        <v>1385</v>
      </c>
      <c r="C35" s="409">
        <v>14</v>
      </c>
      <c r="D35" s="422">
        <v>0.39</v>
      </c>
      <c r="E35" s="419" t="s">
        <v>1002</v>
      </c>
      <c r="F35" s="419">
        <v>5</v>
      </c>
      <c r="G35" s="422">
        <v>0.08</v>
      </c>
    </row>
    <row r="36" spans="2:16" ht="15.75" customHeight="1">
      <c r="B36" s="419" t="s">
        <v>1386</v>
      </c>
      <c r="C36" s="409">
        <v>1</v>
      </c>
      <c r="D36" s="420">
        <v>7.0999999999999994E-2</v>
      </c>
      <c r="E36" s="419" t="s">
        <v>1387</v>
      </c>
      <c r="F36" s="419">
        <v>6</v>
      </c>
      <c r="G36" s="422">
        <v>0.04</v>
      </c>
    </row>
    <row r="37" spans="2:16" ht="15.75" customHeight="1">
      <c r="B37" s="419" t="s">
        <v>1388</v>
      </c>
      <c r="C37" s="409">
        <v>2</v>
      </c>
      <c r="D37" s="422">
        <v>0.04</v>
      </c>
      <c r="E37" s="419" t="s">
        <v>1389</v>
      </c>
      <c r="F37" s="419">
        <v>2</v>
      </c>
      <c r="G37" s="419"/>
    </row>
    <row r="38" spans="2:16" ht="15.75" customHeight="1">
      <c r="B38" s="419" t="s">
        <v>1002</v>
      </c>
      <c r="C38" s="409">
        <v>5</v>
      </c>
      <c r="G38" s="419"/>
    </row>
    <row r="39" spans="2:16" ht="15.75" customHeight="1">
      <c r="B39" s="419" t="s">
        <v>1387</v>
      </c>
      <c r="C39" s="409">
        <v>5</v>
      </c>
      <c r="G39" s="419"/>
    </row>
    <row r="40" spans="2:16" ht="15.75" customHeight="1">
      <c r="B40" s="419" t="s">
        <v>1389</v>
      </c>
      <c r="C40" s="409">
        <v>2</v>
      </c>
    </row>
    <row r="41" spans="2:16" ht="15.75" customHeight="1"/>
    <row r="42" spans="2:16" ht="15.75" customHeight="1"/>
    <row r="43" spans="2:16" ht="15.75" customHeight="1"/>
    <row r="44" spans="2:16" ht="15.75" customHeight="1"/>
    <row r="45" spans="2:16" ht="15.75" customHeight="1">
      <c r="O45" s="409">
        <v>87</v>
      </c>
    </row>
    <row r="46" spans="2:16" ht="15.75" customHeight="1">
      <c r="N46" s="409" t="s">
        <v>1469</v>
      </c>
      <c r="O46" s="409">
        <v>72</v>
      </c>
      <c r="P46" s="409">
        <v>57</v>
      </c>
    </row>
    <row r="47" spans="2:16" ht="15.75" customHeight="1">
      <c r="N47" s="409" t="s">
        <v>1470</v>
      </c>
      <c r="O47" s="409">
        <v>5</v>
      </c>
    </row>
    <row r="48" spans="2:16" ht="15.75" customHeight="1">
      <c r="N48" s="409" t="s">
        <v>1471</v>
      </c>
      <c r="O48" s="409">
        <v>3</v>
      </c>
      <c r="P48" s="409">
        <v>3</v>
      </c>
    </row>
    <row r="49" spans="9:17" ht="15.75" customHeight="1">
      <c r="N49" s="409" t="s">
        <v>1472</v>
      </c>
      <c r="O49" s="409">
        <v>4</v>
      </c>
      <c r="P49" s="409">
        <v>5</v>
      </c>
    </row>
    <row r="50" spans="9:17" ht="15.75" customHeight="1">
      <c r="N50" s="409" t="s">
        <v>1473</v>
      </c>
      <c r="O50" s="409">
        <v>3</v>
      </c>
      <c r="P50" s="409">
        <v>3</v>
      </c>
    </row>
    <row r="51" spans="9:17" ht="15.75" customHeight="1">
      <c r="O51" s="409">
        <v>87</v>
      </c>
      <c r="Q51" s="409">
        <v>87</v>
      </c>
    </row>
    <row r="52" spans="9:17" ht="15.75" customHeight="1">
      <c r="I52" s="419" t="s">
        <v>1381</v>
      </c>
      <c r="J52" s="419">
        <v>51</v>
      </c>
      <c r="K52" s="422">
        <v>0.85</v>
      </c>
      <c r="N52" s="409" t="s">
        <v>1474</v>
      </c>
      <c r="O52" s="409">
        <v>72</v>
      </c>
      <c r="Q52" s="409">
        <v>11</v>
      </c>
    </row>
    <row r="53" spans="9:17" ht="15.75" customHeight="1">
      <c r="I53" s="419" t="s">
        <v>1002</v>
      </c>
      <c r="J53" s="419">
        <v>6</v>
      </c>
      <c r="K53" s="420"/>
      <c r="N53" s="409" t="s">
        <v>1475</v>
      </c>
      <c r="O53" s="409">
        <v>65</v>
      </c>
      <c r="Q53" s="409">
        <v>76</v>
      </c>
    </row>
    <row r="54" spans="9:17" ht="15.75" customHeight="1">
      <c r="I54" s="419" t="s">
        <v>1387</v>
      </c>
      <c r="J54" s="419">
        <v>5</v>
      </c>
      <c r="K54" s="422"/>
      <c r="N54" s="409" t="s">
        <v>1476</v>
      </c>
      <c r="O54" s="409">
        <v>60</v>
      </c>
    </row>
    <row r="55" spans="9:17" ht="15.75" customHeight="1">
      <c r="I55" s="419" t="s">
        <v>99</v>
      </c>
      <c r="J55" s="419">
        <v>2</v>
      </c>
      <c r="K55" s="420"/>
      <c r="N55" s="409" t="s">
        <v>1477</v>
      </c>
      <c r="O55" s="409">
        <v>5</v>
      </c>
    </row>
    <row r="56" spans="9:17" ht="15.75" customHeight="1">
      <c r="I56" s="419"/>
      <c r="J56" s="419"/>
      <c r="K56" s="422"/>
      <c r="N56" s="409" t="s">
        <v>1478</v>
      </c>
      <c r="Q56" s="409" t="s">
        <v>1479</v>
      </c>
    </row>
    <row r="57" spans="9:17" ht="15.75" customHeight="1">
      <c r="K57" s="419"/>
    </row>
    <row r="58" spans="9:17" ht="15.75" customHeight="1">
      <c r="K58" s="419"/>
    </row>
    <row r="59" spans="9:17" ht="15.75" customHeight="1">
      <c r="K59" s="419"/>
    </row>
    <row r="60" spans="9:17" ht="15.75" customHeight="1"/>
    <row r="61" spans="9:17" ht="15.75" customHeight="1"/>
    <row r="62" spans="9:17" ht="15.75" customHeight="1"/>
    <row r="63" spans="9:17" ht="15.75" customHeight="1"/>
    <row r="64" spans="9: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511811024" right="0.511811024" top="0.78740157499999996" bottom="0.78740157499999996"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Miguel Otavio Conrado Trindade</cp:lastModifiedBy>
  <cp:revision/>
  <dcterms:created xsi:type="dcterms:W3CDTF">2023-09-04T19:45:58Z</dcterms:created>
  <dcterms:modified xsi:type="dcterms:W3CDTF">2026-05-18T10:38:07Z</dcterms:modified>
  <cp:category/>
  <cp:contentStatus/>
</cp:coreProperties>
</file>